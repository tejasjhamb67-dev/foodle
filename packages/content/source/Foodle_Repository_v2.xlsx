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Scoring" sheetId="3" state="visible" r:id="rId5"/>
    <sheet name="Dishes" sheetId="4" state="visible" r:id="rId6"/>
    <sheet name="Drinks" sheetId="5" state="visible" r:id="rId7"/>
    <sheet name="Removed" sheetId="6" state="visible" r:id="rId8"/>
    <sheet name="All Items" sheetId="7" state="visible" r:id="rId9"/>
    <sheet name="Pantry" sheetId="8" state="visible" r:id="rId10"/>
    <sheet name="Ingredients" sheetId="9" state="visible" r:id="rId11"/>
    <sheet name="Cuisines" sheetId="10" state="visible" r:id="rId12"/>
    <sheet name="India States" sheetId="11" state="visible" r:id="rId13"/>
    <sheet name="Countries" sheetId="12" state="visible" r:id="rId14"/>
    <sheet name="Daily Schedule (sample)" sheetId="13" state="visible" r:id="rId15"/>
  </sheets>
  <definedNames>
    <definedName function="false" hidden="true" localSheetId="6" name="_xlnm._FilterDatabase" vbProcedure="false">'All Items'!$A$1:$S$1159</definedName>
    <definedName function="false" hidden="true" localSheetId="11" name="_xlnm._FilterDatabase" vbProcedure="false">Countries!$A$1:$J$251</definedName>
    <definedName function="false" hidden="true" localSheetId="9" name="_xlnm._FilterDatabase" vbProcedure="false">Cuisines!$A$1:$H$97</definedName>
    <definedName function="false" hidden="true" localSheetId="12" name="_xlnm._FilterDatabase" vbProcedure="false">'Daily Schedule (sample)'!$A$1:$N$91</definedName>
    <definedName function="false" hidden="true" localSheetId="3" name="_xlnm._FilterDatabase" vbProcedure="false">Dishes!$A$1:$AF$610</definedName>
    <definedName function="false" hidden="true" localSheetId="4" name="_xlnm._FilterDatabase" vbProcedure="false">Drinks!$A$1:$AG$139</definedName>
    <definedName function="false" hidden="true" localSheetId="10" name="_xlnm._FilterDatabase" vbProcedure="false">'India States'!$A$1:$D$30</definedName>
    <definedName function="false" hidden="true" localSheetId="8" name="_xlnm._FilterDatabase" vbProcedure="false">Ingredients!$A$1:$F$1042</definedName>
    <definedName function="false" hidden="true" localSheetId="7" name="_xlnm._FilterDatabase" vbProcedure="false">Pantry!$A$4:$D$83</definedName>
    <definedName function="false" hidden="true" localSheetId="5" name="_xlnm._FilterDatabase" vbProcedure="false">Removed!$A$1:$I$412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M1" authorId="0">
      <text>
        <r>
          <rPr>
            <sz val="10"/>
            <rFont val="Arial"/>
            <family val="2"/>
          </rPr>
          <t xml:space="preserve">Least telling first. Pantry staples are never clues (see Pantry).</t>
        </r>
      </text>
    </comment>
    <comment ref="S1" authorId="0">
      <text>
        <r>
          <rPr>
            <sz val="10"/>
            <rFont val="Arial"/>
            <family val="2"/>
          </rPr>
          <t xml:space="preserve">Shown after the last clue. Never names the item.</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N1" authorId="0">
      <text>
        <r>
          <rPr>
            <sz val="10"/>
            <rFont val="Arial"/>
            <family val="2"/>
          </rPr>
          <t xml:space="preserve">Least telling first. Pantry staples are never clues (see Pantry).</t>
        </r>
      </text>
    </comment>
    <comment ref="T1" authorId="0">
      <text>
        <r>
          <rPr>
            <sz val="10"/>
            <rFont val="Arial"/>
            <family val="2"/>
          </rPr>
          <t xml:space="preserve">Shown after the last clue. Never names the item.</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Editorial input, 1-5. See Scoring for the scale.</t>
        </r>
      </text>
    </comment>
    <comment ref="S1" authorId="0">
      <text>
        <r>
          <rPr>
            <sz val="10"/>
            <rFont val="Arial"/>
            <family val="2"/>
          </rPr>
          <t xml:space="preserve">Reason recorded when the workbook was built at the default weights.</t>
        </r>
      </text>
    </comment>
  </commentList>
</comments>
</file>

<file path=xl/sharedStrings.xml><?xml version="1.0" encoding="utf-8"?>
<sst xmlns="http://schemas.openxmlformats.org/spreadsheetml/2006/main" count="36669" uniqueCount="10771">
  <si>
    <t xml:space="preserve">Foodle - curated content repository (v2)</t>
  </si>
  <si>
    <t xml:space="preserve">Prepared</t>
  </si>
  <si>
    <t xml:space="preserve">16 October 2026</t>
  </si>
  <si>
    <t xml:space="preserve">Built from</t>
  </si>
  <si>
    <t xml:space="preserve">Foodle_Starter_Repository.xlsx (v1, 15 October 2026, 1,158 dishes and drinks)</t>
  </si>
  <si>
    <t xml:space="preserve">Status</t>
  </si>
  <si>
    <t xml:space="preserve">Draft. Rows still need an editorial fact check before launch. Clues and hints marked as authored in v2 were written for this version.</t>
  </si>
  <si>
    <t xml:space="preserve">What changed and why</t>
  </si>
  <si>
    <t xml:space="preserve">1. Smaller, better-known pool</t>
  </si>
  <si>
    <t xml:space="preserve">Every dish and drink was scored 0-10 (see Scoring). Items below 6.5 were removed: niche items, near-duplicates and products that can't be clued well. 747 of 1,158 items stay (65%). Removed items and the reason for each are on the Removed sheet.</t>
  </si>
  <si>
    <t xml:space="preserve">2. Clues that say more</t>
  </si>
  <si>
    <t xml:space="preserve">Basic pantry ingredients (salt, oil, ghee, onion, garlic and so on) are no longer clues. Each item now has six clues running from least to most telling, mixing specific ingredients with technique, serving and occasion details, plus one final hint sentence.</t>
  </si>
  <si>
    <t xml:space="preserve">3. Pantry note for players</t>
  </si>
  <si>
    <t xml:space="preserve">Basic pantry isn't shown as a clue: salt, pepper, water, ice, sugar, cooking oil, ghee, flour, onion, garlic, ginger, green or red chilli, turmeric, cumin, coriander, garam masala, yeast and baking soda. Clues are the ingredients and details that make a dish what it is.</t>
  </si>
  <si>
    <t xml:space="preserve">Target difficulty</t>
  </si>
  <si>
    <t xml:space="preserve">Pick items most players recognise (aim: 60-80% of players win a daily puzzle) and give clues that let most players get there by the last clue or the final hint (aim: 75-90%).</t>
  </si>
  <si>
    <t xml:space="preserve">Sheets</t>
  </si>
  <si>
    <t xml:space="preserve">Scoring</t>
  </si>
  <si>
    <t xml:space="preserve">The scoring method. Weights and the cut-off are yellow input cells: change them and the Status column on All Items updates.</t>
  </si>
  <si>
    <t xml:space="preserve">All Items</t>
  </si>
  <si>
    <t xml:space="preserve">All 1,158 source items with their score, Keep/Remove status and the reason. Recognition, near-duplicate and single-ingredient columns are editorial inputs (yellow).</t>
  </si>
  <si>
    <t xml:space="preserve">Dishes / Drinks</t>
  </si>
  <si>
    <t xml:space="preserve">The kept items with their new clues (Clue 1-6), final hint, ingredient clues and mode flags. Score is looked up live from All Items.</t>
  </si>
  <si>
    <t xml:space="preserve">Removed</t>
  </si>
  <si>
    <t xml:space="preserve">Items cut from the pool, with score and reason. They can come back by raising their recognition or lowering the cut-off.</t>
  </si>
  <si>
    <t xml:space="preserve">Pantry</t>
  </si>
  <si>
    <t xml:space="preserve">The pantry list (always hidden) and the common list (used only when an item has few other clues).</t>
  </si>
  <si>
    <t xml:space="preserve">Summary</t>
  </si>
  <si>
    <t xml:space="preserve">Before/after counts by region, course, drink type, Indian state and game mode, all as live formulas.</t>
  </si>
  <si>
    <t xml:space="preserve">Ingredients</t>
  </si>
  <si>
    <t xml:space="preserve">Ingredients still used as clues, with live usage counts across the new clue columns.</t>
  </si>
  <si>
    <t xml:space="preserve">Cuisines / India States / Countries</t>
  </si>
  <si>
    <t xml:space="preserve">Reference sheets; item counts are live formulas over Dishes and Drinks.</t>
  </si>
  <si>
    <t xml:space="preserve">Daily Schedule (sample)</t>
  </si>
  <si>
    <t xml:space="preserve">A fresh 90-day sample drawn from the curated pool with the same rules as v1.</t>
  </si>
  <si>
    <t xml:space="preserve">How a clue row works now</t>
  </si>
  <si>
    <t xml:space="preserve">Clue 1 ... Clue 6</t>
  </si>
  <si>
    <t xml:space="preserve">Reveal order: least telling first. Clue 1 is never a pantry staple. Clues that name part of the answer (giveaways) are always last.</t>
  </si>
  <si>
    <t xml:space="preserve">Final hint</t>
  </si>
  <si>
    <t xml:space="preserve">One sentence describing the dish without naming it. Shown after the last clue, so players who are still stuck get a fair last chance.</t>
  </si>
  <si>
    <t xml:space="preserve">Rebuild changes after editing</t>
  </si>
  <si>
    <t xml:space="preserve">Changing weights updates the Status column here. To move items between Dishes/Drinks and Removed, run packages/content/curation/build_workbook.py, which applies the same rules.</t>
  </si>
  <si>
    <t xml:space="preserve">Colour key</t>
  </si>
  <si>
    <t xml:space="preserve">Yellow cells</t>
  </si>
  <si>
    <t xml:space="preserve">Editorial inputs and scoring weights you can change.</t>
  </si>
  <si>
    <t xml:space="preserve">Blue text</t>
  </si>
  <si>
    <t xml:space="preserve">Hard-coded editorial values (recognition scores, weights).</t>
  </si>
  <si>
    <t xml:space="preserve">Green text</t>
  </si>
  <si>
    <t xml:space="preserve">Values looked up from another sheet.</t>
  </si>
  <si>
    <t xml:space="preserve">Black text</t>
  </si>
  <si>
    <t xml:space="preserve">Formulas or source data.</t>
  </si>
  <si>
    <t xml:space="preserve">Sources and licences</t>
  </si>
  <si>
    <t xml:space="preserve">Dish and drink content</t>
  </si>
  <si>
    <t xml:space="preserve">Compiled from general knowledge for the v1 draft; v2 clues and hints authored for Foodle. Check against a reference (Wikipedia/Wikidata, IBA for cocktails) before launch.</t>
  </si>
  <si>
    <t xml:space="preserve">Countries sheet</t>
  </si>
  <si>
    <t xml:space="preserve">mledoze/countries (github.com/mledoze/countries), ODbL 1.0: attribution required, share-alike applies.</t>
  </si>
  <si>
    <t xml:space="preserve">Images</t>
  </si>
  <si>
    <t xml:space="preserve">Image URL columns hold Wikimedia Commons candidates found by script (accepted licence, long edge at least 2,400 px). Status 'Candidate' means not yet reviewed by a person.</t>
  </si>
  <si>
    <t xml:space="preserve">Before and after</t>
  </si>
  <si>
    <t xml:space="preserve">v1 counts are fixed values from the source workbook. v2 counts are live formulas.</t>
  </si>
  <si>
    <t xml:space="preserve">Totals</t>
  </si>
  <si>
    <t xml:space="preserve">Items</t>
  </si>
  <si>
    <t xml:space="preserve">v1 (source)</t>
  </si>
  <si>
    <t xml:space="preserve">v2 (kept)</t>
  </si>
  <si>
    <t xml:space="preserve">Share kept</t>
  </si>
  <si>
    <t xml:space="preserve">Dishes</t>
  </si>
  <si>
    <t xml:space="preserve">Drinks</t>
  </si>
  <si>
    <t xml:space="preserve">All items</t>
  </si>
  <si>
    <t xml:space="preserve">Dishes by continent</t>
  </si>
  <si>
    <t xml:space="preserve">Continent</t>
  </si>
  <si>
    <t xml:space="preserve">Asia</t>
  </si>
  <si>
    <t xml:space="preserve">Europe</t>
  </si>
  <si>
    <t xml:space="preserve">Americas</t>
  </si>
  <si>
    <t xml:space="preserve">Africa</t>
  </si>
  <si>
    <t xml:space="preserve">Oceania</t>
  </si>
  <si>
    <t xml:space="preserve">of which India</t>
  </si>
  <si>
    <t xml:space="preserve">Dishes by course</t>
  </si>
  <si>
    <t xml:space="preserve">Course</t>
  </si>
  <si>
    <t xml:space="preserve">Main</t>
  </si>
  <si>
    <t xml:space="preserve">Snack</t>
  </si>
  <si>
    <t xml:space="preserve">Dessert</t>
  </si>
  <si>
    <t xml:space="preserve">Street</t>
  </si>
  <si>
    <t xml:space="preserve">Breakfast</t>
  </si>
  <si>
    <t xml:space="preserve">Soup</t>
  </si>
  <si>
    <t xml:space="preserve">Sweet</t>
  </si>
  <si>
    <t xml:space="preserve">Rice</t>
  </si>
  <si>
    <t xml:space="preserve">Side</t>
  </si>
  <si>
    <t xml:space="preserve">Bread</t>
  </si>
  <si>
    <t xml:space="preserve">Condiment</t>
  </si>
  <si>
    <t xml:space="preserve">Salad</t>
  </si>
  <si>
    <t xml:space="preserve">Drinks by type</t>
  </si>
  <si>
    <t xml:space="preserve">Type</t>
  </si>
  <si>
    <t xml:space="preserve">Cocktail</t>
  </si>
  <si>
    <t xml:space="preserve">Cold</t>
  </si>
  <si>
    <t xml:space="preserve">Hot</t>
  </si>
  <si>
    <t xml:space="preserve">Spirit</t>
  </si>
  <si>
    <t xml:space="preserve">Fermented</t>
  </si>
  <si>
    <t xml:space="preserve">Beer</t>
  </si>
  <si>
    <t xml:space="preserve">Wine</t>
  </si>
  <si>
    <t xml:space="preserve">Mocktail</t>
  </si>
  <si>
    <t xml:space="preserve">Liqueur</t>
  </si>
  <si>
    <t xml:space="preserve">India items by state</t>
  </si>
  <si>
    <t xml:space="preserve">State / region</t>
  </si>
  <si>
    <t xml:space="preserve">Pan-India</t>
  </si>
  <si>
    <t xml:space="preserve">Maharashtra</t>
  </si>
  <si>
    <t xml:space="preserve">Tamil Nadu</t>
  </si>
  <si>
    <t xml:space="preserve">West Bengal</t>
  </si>
  <si>
    <t xml:space="preserve">Kerala</t>
  </si>
  <si>
    <t xml:space="preserve">Delhi</t>
  </si>
  <si>
    <t xml:space="preserve">Karnataka</t>
  </si>
  <si>
    <t xml:space="preserve">Punjab</t>
  </si>
  <si>
    <t xml:space="preserve">Gujarat</t>
  </si>
  <si>
    <t xml:space="preserve">Uttar Pradesh</t>
  </si>
  <si>
    <t xml:space="preserve">Andhra Pradesh</t>
  </si>
  <si>
    <t xml:space="preserve">Telangana</t>
  </si>
  <si>
    <t xml:space="preserve">Rajasthan</t>
  </si>
  <si>
    <t xml:space="preserve">Goa</t>
  </si>
  <si>
    <t xml:space="preserve">Jammu &amp; Kashmir</t>
  </si>
  <si>
    <t xml:space="preserve">Bihar</t>
  </si>
  <si>
    <t xml:space="preserve">Odisha</t>
  </si>
  <si>
    <t xml:space="preserve">Madhya Pradesh</t>
  </si>
  <si>
    <t xml:space="preserve">Assam</t>
  </si>
  <si>
    <t xml:space="preserve">Sikkim</t>
  </si>
  <si>
    <t xml:space="preserve">Uttarakhand</t>
  </si>
  <si>
    <t xml:space="preserve">Himachal Pradesh</t>
  </si>
  <si>
    <t xml:space="preserve">Manipur</t>
  </si>
  <si>
    <t xml:space="preserve">Chhattisgarh</t>
  </si>
  <si>
    <t xml:space="preserve">Nagaland</t>
  </si>
  <si>
    <t xml:space="preserve">Meghalaya</t>
  </si>
  <si>
    <t xml:space="preserve">Mizoram</t>
  </si>
  <si>
    <t xml:space="preserve">Arunachal Pradesh</t>
  </si>
  <si>
    <t xml:space="preserve">Tripura</t>
  </si>
  <si>
    <t xml:space="preserve">Daily answer pools (puzzle-ready items)</t>
  </si>
  <si>
    <t xml:space="preserve">Mode</t>
  </si>
  <si>
    <t xml:space="preserve">Dish - Global</t>
  </si>
  <si>
    <t xml:space="preserve">Dish - India</t>
  </si>
  <si>
    <t xml:space="preserve">Drink - Global</t>
  </si>
  <si>
    <t xml:space="preserve">Drink - India</t>
  </si>
  <si>
    <t xml:space="preserve">Cuisine - Global (clue dishes)</t>
  </si>
  <si>
    <t xml:space="preserve">Cuisine - India (clue dishes)</t>
  </si>
  <si>
    <t xml:space="preserve">In v2 every kept item has at least five clues, so every kept item is puzzle-ready.</t>
  </si>
  <si>
    <t xml:space="preserve">Recognition of kept items</t>
  </si>
  <si>
    <t xml:space="preserve">Recognition</t>
  </si>
  <si>
    <t xml:space="preserve">Kept items</t>
  </si>
  <si>
    <t xml:space="preserve">Share</t>
  </si>
  <si>
    <t xml:space="preserve">Clue counts of kept items</t>
  </si>
  <si>
    <t xml:space="preserve">Clues</t>
  </si>
  <si>
    <t xml:space="preserve">Scoring method</t>
  </si>
  <si>
    <t xml:space="preserve">Score out of 10 = recognition + distinctiveness + fit + clue strength. Items at or above the cut-off are kept.</t>
  </si>
  <si>
    <t xml:space="preserve">Component</t>
  </si>
  <si>
    <t xml:space="preserve">Weight</t>
  </si>
  <si>
    <t xml:space="preserve">Max points</t>
  </si>
  <si>
    <t xml:space="preserve">How it is scored</t>
  </si>
  <si>
    <t xml:space="preserve">Recognition (1-5)</t>
  </si>
  <si>
    <t xml:space="preserve">Editorial score: how widely known the item is to the players of its edition (Global players for non-Indian items, Indian players for Indian items). 5 household name, 4 widely known, 3 known to food-curious players, 2 niche, 1 obscure. Points = score x weight.</t>
  </si>
  <si>
    <t xml:space="preserve">Distinctiveness</t>
  </si>
  <si>
    <t xml:space="preserve">Full points unless the item is a near-duplicate of a better-known item (biryani variants, a second version of the same dumpling, a virgin version of a cocktail). Duplicates were flagged by hand and by checking 60%+ clue overlap within the same country.</t>
  </si>
  <si>
    <t xml:space="preserve">Fit for clue play</t>
  </si>
  <si>
    <t xml:space="preserve">Full points for dishes and mixed drinks. Zero for single-ingredient products (straight spirits, wines, beers, plain teas), which are hard to clue.</t>
  </si>
  <si>
    <t xml:space="preserve">Clue strength</t>
  </si>
  <si>
    <t xml:space="preserve">From the source data, how many telling clues remain once the pantry is removed: 5+ = 1, 4 = 0.75, 3 = 0.5, 2 = 0.25, fewer = 0. Points = that fraction x weight.</t>
  </si>
  <si>
    <t xml:space="preserve">Maximum score</t>
  </si>
  <si>
    <t xml:space="preserve">Keep cut-off (score at or above)</t>
  </si>
  <si>
    <t xml:space="preserve">Chosen so that 60-70% of items stay, as briefed. 6.5 keeps every recognisable, distinct item and drops niche ones (recognition 2 can reach at most 6.3).</t>
  </si>
  <si>
    <t xml:space="preserve">Result (live)</t>
  </si>
  <si>
    <t xml:space="preserve">Items scored</t>
  </si>
  <si>
    <t xml:space="preserve">Kept</t>
  </si>
  <si>
    <t xml:space="preserve">Dishes kept</t>
  </si>
  <si>
    <t xml:space="preserve">Drinks kept</t>
  </si>
  <si>
    <t xml:space="preserve">Average score of kept items</t>
  </si>
  <si>
    <t xml:space="preserve">Recognition scale</t>
  </si>
  <si>
    <t xml:space="preserve">Household name for this audience (Butter Chicken, Sushi, Mojito)</t>
  </si>
  <si>
    <t xml:space="preserve">Widely known (Rogan Josh, Bibimbap, Negroni)</t>
  </si>
  <si>
    <t xml:space="preserve">Known to food-curious players (Shorshe Ilish, Khao Soi, Pisco Sour)</t>
  </si>
  <si>
    <t xml:space="preserve">Niche (Chicken Changezi, Ma La Xiang Guo, Aviation)</t>
  </si>
  <si>
    <t xml:space="preserve">Obscure</t>
  </si>
  <si>
    <t xml:space="preserve">Defaults: recognition starts from the source fame tier (fame 1 = 4, fame 2 = 3, fame 3 = 2) and was then set item by item; 230 items were moved up or down by hand.</t>
  </si>
  <si>
    <t xml:space="preserve">ID</t>
  </si>
  <si>
    <t xml:space="preserve">Dish</t>
  </si>
  <si>
    <t xml:space="preserve">Also known as</t>
  </si>
  <si>
    <t xml:space="preserve">Country</t>
  </si>
  <si>
    <t xml:space="preserve">Subregion</t>
  </si>
  <si>
    <t xml:space="preserve">Diet</t>
  </si>
  <si>
    <t xml:space="preserve">Fame (1-3)</t>
  </si>
  <si>
    <t xml:space="preserve">Score</t>
  </si>
  <si>
    <t xml:space="preserve">Clue 1</t>
  </si>
  <si>
    <t xml:space="preserve">Clue 2</t>
  </si>
  <si>
    <t xml:space="preserve">Clue 3</t>
  </si>
  <si>
    <t xml:space="preserve">Clue 4</t>
  </si>
  <si>
    <t xml:space="preserve">Clue 5</t>
  </si>
  <si>
    <t xml:space="preserve">Clue 6</t>
  </si>
  <si>
    <t xml:space="preserve">Ingredient clues</t>
  </si>
  <si>
    <t xml:space="preserve">Giveaway clues (shown last)</t>
  </si>
  <si>
    <t xml:space="preserve">Clue count</t>
  </si>
  <si>
    <t xml:space="preserve">Global mode</t>
  </si>
  <si>
    <t xml:space="preserve">India mode</t>
  </si>
  <si>
    <t xml:space="preserve">Country mode</t>
  </si>
  <si>
    <t xml:space="preserve">Origin note</t>
  </si>
  <si>
    <t xml:space="preserve">Image search (Wikimedia)</t>
  </si>
  <si>
    <t xml:space="preserve">Image URL</t>
  </si>
  <si>
    <t xml:space="preserve">Image licence</t>
  </si>
  <si>
    <t xml:space="preserve">Image credit</t>
  </si>
  <si>
    <t xml:space="preserve">Image status</t>
  </si>
  <si>
    <t xml:space="preserve">D0001</t>
  </si>
  <si>
    <t xml:space="preserve">Butter Chicken</t>
  </si>
  <si>
    <t xml:space="preserve">Murgh Makhani</t>
  </si>
  <si>
    <t xml:space="preserve">India</t>
  </si>
  <si>
    <t xml:space="preserve">Southern Asia</t>
  </si>
  <si>
    <t xml:space="preserve">Non-veg</t>
  </si>
  <si>
    <t xml:space="preserve">kasuri methi</t>
  </si>
  <si>
    <t xml:space="preserve">smoky tandoor-grilled pieces</t>
  </si>
  <si>
    <t xml:space="preserve">silky orange gravy</t>
  </si>
  <si>
    <t xml:space="preserve">served with naan</t>
  </si>
  <si>
    <t xml:space="preserve">chicken</t>
  </si>
  <si>
    <t xml:space="preserve">butter</t>
  </si>
  <si>
    <t xml:space="preserve">Delhi's creamy, mildly spiced tomato curry with tandoori chicken, born at Moti Mahal</t>
  </si>
  <si>
    <t xml:space="preserve">kasuri methi; chicken; butter</t>
  </si>
  <si>
    <t xml:space="preserve">chicken; butter</t>
  </si>
  <si>
    <t xml:space="preserve">Yes</t>
  </si>
  <si>
    <t xml:space="preserve">https://commons.wikimedia.org/w/index.php?search=Butter+Chicken+food&amp;title=Special:MediaSearch&amp;type=image</t>
  </si>
  <si>
    <t xml:space="preserve">https://thumb.wikimedia.org/wikipedia/commons/thumb/4/41/Butter_Chicken_%26_Butter_Naan_-_Home_-_Chandigarh_-_India_-_0006.jpg/1280px-Butter_Chicken_%26_Butter_Naan_-_Home_-_Chandigarh_-_India_-_0006.jpg</t>
  </si>
  <si>
    <t xml:space="preserve">CC BY-SA 4.0</t>
  </si>
  <si>
    <t xml:space="preserve">Yuvraj Singh 97</t>
  </si>
  <si>
    <t xml:space="preserve">Candidate - review</t>
  </si>
  <si>
    <t xml:space="preserve">Draft v2 - editorial check</t>
  </si>
  <si>
    <t xml:space="preserve">D0002</t>
  </si>
  <si>
    <t xml:space="preserve">Chole Bhature</t>
  </si>
  <si>
    <t xml:space="preserve">Veg</t>
  </si>
  <si>
    <t xml:space="preserve">chana masala</t>
  </si>
  <si>
    <t xml:space="preserve">chickpeas</t>
  </si>
  <si>
    <t xml:space="preserve">bhatura dough</t>
  </si>
  <si>
    <t xml:space="preserve">deep-fried puffed bread</t>
  </si>
  <si>
    <t xml:space="preserve">spicy chickpea curry</t>
  </si>
  <si>
    <t xml:space="preserve">pickled onions on the side</t>
  </si>
  <si>
    <t xml:space="preserve">Punjab's big weekend plate: fluffy fried bread with spicy chickpea curry</t>
  </si>
  <si>
    <t xml:space="preserve">chana masala; chickpeas; bhatura dough</t>
  </si>
  <si>
    <t xml:space="preserve">https://commons.wikimedia.org/w/index.php?search=Chole+Bhature+food&amp;title=Special:MediaSearch&amp;type=image</t>
  </si>
  <si>
    <t xml:space="preserve">Needed</t>
  </si>
  <si>
    <t xml:space="preserve">D0003</t>
  </si>
  <si>
    <t xml:space="preserve">Sarson da Saag</t>
  </si>
  <si>
    <t xml:space="preserve">maize flour</t>
  </si>
  <si>
    <t xml:space="preserve">mustard greens</t>
  </si>
  <si>
    <t xml:space="preserve">winter greens</t>
  </si>
  <si>
    <t xml:space="preserve">slow-cooked and mashed</t>
  </si>
  <si>
    <t xml:space="preserve">white butter on top</t>
  </si>
  <si>
    <t xml:space="preserve">eaten with corn flatbread</t>
  </si>
  <si>
    <t xml:space="preserve">Punjab's winter mustard-leaf mash, paired with makki di roti</t>
  </si>
  <si>
    <t xml:space="preserve">maize flour; mustard greens</t>
  </si>
  <si>
    <t xml:space="preserve">https://commons.wikimedia.org/w/index.php?search=Sarson+da+Saag+food&amp;title=Special:MediaSearch&amp;type=image</t>
  </si>
  <si>
    <t xml:space="preserve">D0005</t>
  </si>
  <si>
    <t xml:space="preserve">Amritsari Kulcha</t>
  </si>
  <si>
    <t xml:space="preserve">potato</t>
  </si>
  <si>
    <t xml:space="preserve">ajwain</t>
  </si>
  <si>
    <t xml:space="preserve">tandoor</t>
  </si>
  <si>
    <t xml:space="preserve">stuffed flatbread</t>
  </si>
  <si>
    <t xml:space="preserve">crisp layered crust</t>
  </si>
  <si>
    <t xml:space="preserve">served with chole</t>
  </si>
  <si>
    <t xml:space="preserve">Amritsar's stuffed, tandoor-baked bread with a crisp, buttery crust</t>
  </si>
  <si>
    <t xml:space="preserve">potato; ajwain</t>
  </si>
  <si>
    <t xml:space="preserve">No</t>
  </si>
  <si>
    <t xml:space="preserve">https://commons.wikimedia.org/w/index.php?search=Amritsari+Kulcha+food&amp;title=Special:MediaSearch&amp;type=image</t>
  </si>
  <si>
    <t xml:space="preserve">D0006</t>
  </si>
  <si>
    <t xml:space="preserve">Dal Makhani</t>
  </si>
  <si>
    <t xml:space="preserve">kidney beans</t>
  </si>
  <si>
    <t xml:space="preserve">simmered overnight</t>
  </si>
  <si>
    <t xml:space="preserve">rich and creamy</t>
  </si>
  <si>
    <t xml:space="preserve">dhaba favourite</t>
  </si>
  <si>
    <t xml:space="preserve">whole black urad dal</t>
  </si>
  <si>
    <t xml:space="preserve">Punjab's slow-cooked black lentils with butter and cream</t>
  </si>
  <si>
    <t xml:space="preserve">butter; kidney beans; whole black urad dal</t>
  </si>
  <si>
    <t xml:space="preserve">https://commons.wikimedia.org/w/index.php?search=Dal+Makhani+food&amp;title=Special:MediaSearch&amp;type=image</t>
  </si>
  <si>
    <t xml:space="preserve">D0007</t>
  </si>
  <si>
    <t xml:space="preserve">Rajma Chawal</t>
  </si>
  <si>
    <t xml:space="preserve">Vegan</t>
  </si>
  <si>
    <t xml:space="preserve">tomato</t>
  </si>
  <si>
    <t xml:space="preserve">rice</t>
  </si>
  <si>
    <t xml:space="preserve">red beans in thick gravy</t>
  </si>
  <si>
    <t xml:space="preserve">Sunday lunch staple</t>
  </si>
  <si>
    <t xml:space="preserve">served over steamed rice</t>
  </si>
  <si>
    <t xml:space="preserve">North India's comfort plate of kidney-bean curry over rice</t>
  </si>
  <si>
    <t xml:space="preserve">tomato; rice; kidney beans</t>
  </si>
  <si>
    <t xml:space="preserve">https://commons.wikimedia.org/w/index.php?search=Rajma+Chawal+food&amp;title=Special:MediaSearch&amp;type=image</t>
  </si>
  <si>
    <t xml:space="preserve">D0008</t>
  </si>
  <si>
    <t xml:space="preserve">Paneer Tikka</t>
  </si>
  <si>
    <t xml:space="preserve">tandoori masala</t>
  </si>
  <si>
    <t xml:space="preserve">skewers</t>
  </si>
  <si>
    <t xml:space="preserve">marinated cubes</t>
  </si>
  <si>
    <t xml:space="preserve">charred edges</t>
  </si>
  <si>
    <t xml:space="preserve">tandoor-grilled</t>
  </si>
  <si>
    <t xml:space="preserve">paneer</t>
  </si>
  <si>
    <t xml:space="preserve">Cottage cheese cubes marinated in spiced yogurt and grilled on skewers</t>
  </si>
  <si>
    <t xml:space="preserve">tandoori masala; paneer</t>
  </si>
  <si>
    <t xml:space="preserve">https://commons.wikimedia.org/w/index.php?search=Paneer+Tikka+food&amp;title=Special:MediaSearch&amp;type=image</t>
  </si>
  <si>
    <t xml:space="preserve">https://thumb.wikimedia.org/wikipedia/commons/thumb/f/f2/Paneer_tikka.jpg/1280px-Paneer_tikka.jpg</t>
  </si>
  <si>
    <t xml:space="preserve">Meghana Mohanty</t>
  </si>
  <si>
    <t xml:space="preserve">D0009</t>
  </si>
  <si>
    <t xml:space="preserve">Tandoori Chicken</t>
  </si>
  <si>
    <t xml:space="preserve">kashmiri chilli</t>
  </si>
  <si>
    <t xml:space="preserve">bright red marinade</t>
  </si>
  <si>
    <t xml:space="preserve">charred on the bone</t>
  </si>
  <si>
    <t xml:space="preserve">served with onion rings</t>
  </si>
  <si>
    <t xml:space="preserve">Bone-in chicken marinated red and roasted in a clay oven</t>
  </si>
  <si>
    <t xml:space="preserve">kashmiri chilli; chicken</t>
  </si>
  <si>
    <t xml:space="preserve">https://commons.wikimedia.org/w/index.php?search=Tandoori+Chicken+food&amp;title=Special:MediaSearch&amp;type=image</t>
  </si>
  <si>
    <t xml:space="preserve">D0010</t>
  </si>
  <si>
    <t xml:space="preserve">Amritsari Fish</t>
  </si>
  <si>
    <t xml:space="preserve">carom seeds</t>
  </si>
  <si>
    <t xml:space="preserve">gram flour</t>
  </si>
  <si>
    <t xml:space="preserve">batter-fried</t>
  </si>
  <si>
    <t xml:space="preserve">carom-spiced crust</t>
  </si>
  <si>
    <t xml:space="preserve">Amritsar street snack</t>
  </si>
  <si>
    <t xml:space="preserve">fish</t>
  </si>
  <si>
    <t xml:space="preserve">Fried fish in a spiced gram-flour batter from Amritsar</t>
  </si>
  <si>
    <t xml:space="preserve">carom seeds; gram flour; fish</t>
  </si>
  <si>
    <t xml:space="preserve">https://commons.wikimedia.org/w/index.php?search=Amritsari+Fish+food&amp;title=Special:MediaSearch&amp;type=image</t>
  </si>
  <si>
    <t xml:space="preserve">D0012</t>
  </si>
  <si>
    <t xml:space="preserve">Aloo Paratha</t>
  </si>
  <si>
    <t xml:space="preserve">spiced mashed filling</t>
  </si>
  <si>
    <t xml:space="preserve">dollop of white butter</t>
  </si>
  <si>
    <t xml:space="preserve">eaten with curd and pickle</t>
  </si>
  <si>
    <t xml:space="preserve">Punjab's favourite breakfast: flatbread stuffed with spiced mashed potato</t>
  </si>
  <si>
    <t xml:space="preserve">https://commons.wikimedia.org/w/index.php?search=Aloo+Paratha+food&amp;title=Special:MediaSearch&amp;type=image</t>
  </si>
  <si>
    <t xml:space="preserve">D0014</t>
  </si>
  <si>
    <t xml:space="preserve">Kadhi Pakora</t>
  </si>
  <si>
    <t xml:space="preserve">yogurt</t>
  </si>
  <si>
    <t xml:space="preserve">fenugreek seeds</t>
  </si>
  <si>
    <t xml:space="preserve">fritters</t>
  </si>
  <si>
    <t xml:space="preserve">tangy yogurt curry</t>
  </si>
  <si>
    <t xml:space="preserve">served with rice</t>
  </si>
  <si>
    <t xml:space="preserve">A sour yogurt-and-gram-flour curry with onion fritters</t>
  </si>
  <si>
    <t xml:space="preserve">yogurt; fenugreek seeds; gram flour; fritters</t>
  </si>
  <si>
    <t xml:space="preserve">https://commons.wikimedia.org/w/index.php?search=Kadhi+Pakora+food&amp;title=Special:MediaSearch&amp;type=image</t>
  </si>
  <si>
    <t xml:space="preserve">D0016</t>
  </si>
  <si>
    <t xml:space="preserve">Paneer Butter Masala</t>
  </si>
  <si>
    <t xml:space="preserve">orange buttery gravy</t>
  </si>
  <si>
    <t xml:space="preserve">restaurant favourite</t>
  </si>
  <si>
    <t xml:space="preserve">vegetarian cousin of a famous chicken dish</t>
  </si>
  <si>
    <t xml:space="preserve">Cottage cheese in a rich, mildly sweet, buttery tomato gravy</t>
  </si>
  <si>
    <t xml:space="preserve">kasuri methi; paneer; butter</t>
  </si>
  <si>
    <t xml:space="preserve">paneer; butter</t>
  </si>
  <si>
    <t xml:space="preserve">https://commons.wikimedia.org/w/index.php?search=Paneer+Butter+Masala+food&amp;title=Special:MediaSearch&amp;type=image</t>
  </si>
  <si>
    <t xml:space="preserve">https://thumb.wikimedia.org/wikipedia/commons/thumb/a/ad/Shahi_panner.jpg/1280px-Shahi_panner.jpg</t>
  </si>
  <si>
    <t xml:space="preserve">Om shankar singh</t>
  </si>
  <si>
    <t xml:space="preserve">D0017</t>
  </si>
  <si>
    <t xml:space="preserve">Shahi Paneer</t>
  </si>
  <si>
    <t xml:space="preserve">cream</t>
  </si>
  <si>
    <t xml:space="preserve">cashew</t>
  </si>
  <si>
    <t xml:space="preserve">saffron</t>
  </si>
  <si>
    <t xml:space="preserve">royal Mughlai style</t>
  </si>
  <si>
    <t xml:space="preserve">pale creamy gravy</t>
  </si>
  <si>
    <t xml:space="preserve">Cottage cheese in a rich, nutty, saffron-scented cream gravy</t>
  </si>
  <si>
    <t xml:space="preserve">cream; cashew; saffron; paneer</t>
  </si>
  <si>
    <t xml:space="preserve">https://commons.wikimedia.org/w/index.php?search=Shahi+Paneer+food&amp;title=Special:MediaSearch&amp;type=image</t>
  </si>
  <si>
    <t xml:space="preserve">D0018</t>
  </si>
  <si>
    <t xml:space="preserve">Kadai Paneer</t>
  </si>
  <si>
    <t xml:space="preserve">coriander seed</t>
  </si>
  <si>
    <t xml:space="preserve">capsicum</t>
  </si>
  <si>
    <t xml:space="preserve">wok-like iron pan</t>
  </si>
  <si>
    <t xml:space="preserve">chunky peppers</t>
  </si>
  <si>
    <t xml:space="preserve">kadai masala</t>
  </si>
  <si>
    <t xml:space="preserve">Cottage cheese and peppers tossed in a freshly ground spice mix in an iron wok</t>
  </si>
  <si>
    <t xml:space="preserve">coriander seed; capsicum; paneer; kadai masala</t>
  </si>
  <si>
    <t xml:space="preserve">paneer; kadai masala</t>
  </si>
  <si>
    <t xml:space="preserve">https://commons.wikimedia.org/w/index.php?search=Kadai+Paneer+food&amp;title=Special:MediaSearch&amp;type=image</t>
  </si>
  <si>
    <t xml:space="preserve">D0019</t>
  </si>
  <si>
    <t xml:space="preserve">Malai Kofta</t>
  </si>
  <si>
    <t xml:space="preserve">raisins</t>
  </si>
  <si>
    <t xml:space="preserve">paneer dumplings</t>
  </si>
  <si>
    <t xml:space="preserve">fried dumplings</t>
  </si>
  <si>
    <t xml:space="preserve">dumplings in cream gravy</t>
  </si>
  <si>
    <t xml:space="preserve">party dish</t>
  </si>
  <si>
    <t xml:space="preserve">Fried paneer-and-potato balls in a creamy cashew gravy</t>
  </si>
  <si>
    <t xml:space="preserve">cashew; raisins; paneer dumplings</t>
  </si>
  <si>
    <t xml:space="preserve">https://commons.wikimedia.org/w/index.php?search=Malai+Kofta+food&amp;title=Special:MediaSearch&amp;type=image</t>
  </si>
  <si>
    <t xml:space="preserve">D0020</t>
  </si>
  <si>
    <t xml:space="preserve">Chicken Tikka Masala</t>
  </si>
  <si>
    <t xml:space="preserve">grilled chunks in creamy orange sauce</t>
  </si>
  <si>
    <t xml:space="preserve">Britain's favourite curry</t>
  </si>
  <si>
    <t xml:space="preserve">grilled chicken</t>
  </si>
  <si>
    <t xml:space="preserve">Grilled chicken pieces in a creamy, spiced tomato sauce</t>
  </si>
  <si>
    <t xml:space="preserve">cream; tomato; yogurt; grilled chicken</t>
  </si>
  <si>
    <t xml:space="preserve">Origin disputed between India and the UK (Glasgow)</t>
  </si>
  <si>
    <t xml:space="preserve">https://commons.wikimedia.org/w/index.php?search=Chicken+Tikka+Masala+food&amp;title=Special:MediaSearch&amp;type=image</t>
  </si>
  <si>
    <t xml:space="preserve">https://thumb.wikimedia.org/wikipedia/commons/thumb/0/00/Chicken_tikka_masala_%28cropped%29.jpg/1280px-Chicken_tikka_masala_%28cropped%29.jpg</t>
  </si>
  <si>
    <t xml:space="preserve">CC BY 2.0</t>
  </si>
  <si>
    <t xml:space="preserve">Michael Hays</t>
  </si>
  <si>
    <t xml:space="preserve">D0021</t>
  </si>
  <si>
    <t xml:space="preserve">Seekh Kebab</t>
  </si>
  <si>
    <t xml:space="preserve">mint</t>
  </si>
  <si>
    <t xml:space="preserve">minced mutton</t>
  </si>
  <si>
    <t xml:space="preserve">long kebabs</t>
  </si>
  <si>
    <t xml:space="preserve">cooked on skewers over coals</t>
  </si>
  <si>
    <t xml:space="preserve">green chutney on the side</t>
  </si>
  <si>
    <t xml:space="preserve">Spiced minced meat moulded on skewers and grilled</t>
  </si>
  <si>
    <t xml:space="preserve">mint; minced mutton</t>
  </si>
  <si>
    <t xml:space="preserve">https://commons.wikimedia.org/w/index.php?search=Seekh+Kebab+food&amp;title=Special:MediaSearch&amp;type=image</t>
  </si>
  <si>
    <t xml:space="preserve">https://thumb.wikimedia.org/wikipedia/commons/thumb/0/0c/Pakistani_Food_Beef_Kabobs.jpg/1280px-Pakistani_Food_Beef_Kabobs.jpg</t>
  </si>
  <si>
    <t xml:space="preserve">Jess Lander from Culver City, CA, USA</t>
  </si>
  <si>
    <t xml:space="preserve">D0022</t>
  </si>
  <si>
    <t xml:space="preserve">Nihari</t>
  </si>
  <si>
    <t xml:space="preserve">bone marrow</t>
  </si>
  <si>
    <t xml:space="preserve">slow-cooked beef shank</t>
  </si>
  <si>
    <t xml:space="preserve">eaten at dawn</t>
  </si>
  <si>
    <t xml:space="preserve">sticky rich stew</t>
  </si>
  <si>
    <t xml:space="preserve">Old Delhi breakfast</t>
  </si>
  <si>
    <t xml:space="preserve">nihari masala</t>
  </si>
  <si>
    <t xml:space="preserve">A slow-cooked meat stew eaten for breakfast in Old Delhi</t>
  </si>
  <si>
    <t xml:space="preserve">bone marrow; slow-cooked beef shank; nihari masala</t>
  </si>
  <si>
    <t xml:space="preserve">https://commons.wikimedia.org/w/index.php?search=Nihari+food&amp;title=Special:MediaSearch&amp;type=image</t>
  </si>
  <si>
    <t xml:space="preserve">D0024</t>
  </si>
  <si>
    <t xml:space="preserve">Aloo Tikki</t>
  </si>
  <si>
    <t xml:space="preserve">tamarind chutney</t>
  </si>
  <si>
    <t xml:space="preserve">breadcrumbs</t>
  </si>
  <si>
    <t xml:space="preserve">potato patty</t>
  </si>
  <si>
    <t xml:space="preserve">crispy fried patty</t>
  </si>
  <si>
    <t xml:space="preserve">chaat topping</t>
  </si>
  <si>
    <t xml:space="preserve">street snack</t>
  </si>
  <si>
    <t xml:space="preserve">Crisp shallow-fried potato patties topped with chutneys and yogurt</t>
  </si>
  <si>
    <t xml:space="preserve">tamarind chutney; breadcrumbs; potato patty</t>
  </si>
  <si>
    <t xml:space="preserve">https://commons.wikimedia.org/w/index.php?search=Aloo+Tikki+food&amp;title=Special:MediaSearch&amp;type=image</t>
  </si>
  <si>
    <t xml:space="preserve">D0025</t>
  </si>
  <si>
    <t xml:space="preserve">Papdi Chaat</t>
  </si>
  <si>
    <t xml:space="preserve">crisp fried wafers</t>
  </si>
  <si>
    <t xml:space="preserve">sweet, sour and spicy</t>
  </si>
  <si>
    <t xml:space="preserve">chaat masala</t>
  </si>
  <si>
    <t xml:space="preserve">papdi</t>
  </si>
  <si>
    <t xml:space="preserve">Crisp wafers topped with potato, chickpeas, yogurt and chutneys</t>
  </si>
  <si>
    <t xml:space="preserve">tamarind chutney; chaat masala; papdi</t>
  </si>
  <si>
    <t xml:space="preserve">chaat topping; chaat masala; papdi</t>
  </si>
  <si>
    <t xml:space="preserve">https://commons.wikimedia.org/w/index.php?search=Papdi+Chaat+food&amp;title=Special:MediaSearch&amp;type=image</t>
  </si>
  <si>
    <t xml:space="preserve">D0026</t>
  </si>
  <si>
    <t xml:space="preserve">Dahi Bhalla</t>
  </si>
  <si>
    <t xml:space="preserve">urad dal</t>
  </si>
  <si>
    <t xml:space="preserve">lentil dumplings</t>
  </si>
  <si>
    <t xml:space="preserve">soaked dumplings</t>
  </si>
  <si>
    <t xml:space="preserve">cool and tangy</t>
  </si>
  <si>
    <t xml:space="preserve">Holi favourite</t>
  </si>
  <si>
    <t xml:space="preserve">Soft lentil dumplings soaked in yogurt with sweet tamarind chutney</t>
  </si>
  <si>
    <t xml:space="preserve">tamarind chutney; urad dal; lentil dumplings</t>
  </si>
  <si>
    <t xml:space="preserve">https://commons.wikimedia.org/w/index.php?search=Dahi+Bhalla+food&amp;title=Special:MediaSearch&amp;type=image</t>
  </si>
  <si>
    <t xml:space="preserve">D0029</t>
  </si>
  <si>
    <t xml:space="preserve">Chole Kulche</t>
  </si>
  <si>
    <t xml:space="preserve">lemon</t>
  </si>
  <si>
    <t xml:space="preserve">tamarind</t>
  </si>
  <si>
    <t xml:space="preserve">kulcha</t>
  </si>
  <si>
    <t xml:space="preserve">leavened bread</t>
  </si>
  <si>
    <t xml:space="preserve">Delhi street plate</t>
  </si>
  <si>
    <t xml:space="preserve">Delhi's street plate of soft bread with tangy white-pea or chickpea curry</t>
  </si>
  <si>
    <t xml:space="preserve">lemon; chickpeas; tamarind; kulcha</t>
  </si>
  <si>
    <t xml:space="preserve">https://commons.wikimedia.org/w/index.php?search=Chole+Kulche+food&amp;title=Special:MediaSearch&amp;type=image</t>
  </si>
  <si>
    <t xml:space="preserve">D0031</t>
  </si>
  <si>
    <t xml:space="preserve">Jalebi</t>
  </si>
  <si>
    <t xml:space="preserve">spiral</t>
  </si>
  <si>
    <t xml:space="preserve">deep fried in ghee</t>
  </si>
  <si>
    <t xml:space="preserve">soaked in syrup</t>
  </si>
  <si>
    <t xml:space="preserve">bright orange coils</t>
  </si>
  <si>
    <t xml:space="preserve">Crisp orange spirals fried and soaked in sugar syrup</t>
  </si>
  <si>
    <t xml:space="preserve">West Asian origin, shared across South Asia</t>
  </si>
  <si>
    <t xml:space="preserve">https://commons.wikimedia.org/w/index.php?search=Jalebi+food&amp;title=Special:MediaSearch&amp;type=image</t>
  </si>
  <si>
    <t xml:space="preserve">https://thumb.wikimedia.org/wikipedia/commons/thumb/9/96/Basavanagudi_Kadalekai_Parishe_%282025%29_Bangalore_%2886%29.jpg/1280px-Basavanagudi_Kadalekai_Parishe_%282025%29_Bangalore_%2886%29.jpg</t>
  </si>
  <si>
    <t xml:space="preserve">Gpkp</t>
  </si>
  <si>
    <t xml:space="preserve">D0032</t>
  </si>
  <si>
    <t xml:space="preserve">Rabri</t>
  </si>
  <si>
    <t xml:space="preserve">pistachio</t>
  </si>
  <si>
    <t xml:space="preserve">thickened milk layers</t>
  </si>
  <si>
    <t xml:space="preserve">layered milk skins</t>
  </si>
  <si>
    <t xml:space="preserve">slowly reduced</t>
  </si>
  <si>
    <t xml:space="preserve">served chilled</t>
  </si>
  <si>
    <t xml:space="preserve">Milk slowly reduced to thick, sweet layers of cream</t>
  </si>
  <si>
    <t xml:space="preserve">pistachio; saffron</t>
  </si>
  <si>
    <t xml:space="preserve">https://commons.wikimedia.org/w/index.php?search=Rabri+food&amp;title=Special:MediaSearch&amp;type=image</t>
  </si>
  <si>
    <t xml:space="preserve">https://thumb.wikimedia.org/wikipedia/commons/thumb/b/bb/Homemade_Rabri.jpg/1280px-Homemade_Rabri.jpg</t>
  </si>
  <si>
    <t xml:space="preserve">Ravi Talwar</t>
  </si>
  <si>
    <t xml:space="preserve">D0033</t>
  </si>
  <si>
    <t xml:space="preserve">Kachori</t>
  </si>
  <si>
    <t xml:space="preserve">asafoetida</t>
  </si>
  <si>
    <t xml:space="preserve">moong dal</t>
  </si>
  <si>
    <t xml:space="preserve">deep fried</t>
  </si>
  <si>
    <t xml:space="preserve">deep-fried round pastry</t>
  </si>
  <si>
    <t xml:space="preserve">spiced lentil filling</t>
  </si>
  <si>
    <t xml:space="preserve">flaky shell</t>
  </si>
  <si>
    <t xml:space="preserve">A flaky fried pastry ball stuffed with spiced lentils</t>
  </si>
  <si>
    <t xml:space="preserve">asafoetida; moong dal</t>
  </si>
  <si>
    <t xml:space="preserve">https://commons.wikimedia.org/w/index.php?search=Kachori+food&amp;title=Special:MediaSearch&amp;type=image</t>
  </si>
  <si>
    <t xml:space="preserve">D0034</t>
  </si>
  <si>
    <t xml:space="preserve">Lucknowi Biryani</t>
  </si>
  <si>
    <t xml:space="preserve">Awadhi Biryani</t>
  </si>
  <si>
    <t xml:space="preserve">basmati rice</t>
  </si>
  <si>
    <t xml:space="preserve">mutton</t>
  </si>
  <si>
    <t xml:space="preserve">dum cooking</t>
  </si>
  <si>
    <t xml:space="preserve">fragrant layered rice</t>
  </si>
  <si>
    <t xml:space="preserve">sealed pot</t>
  </si>
  <si>
    <t xml:space="preserve">Lucknow's delicate, fragrant layered rice with meat</t>
  </si>
  <si>
    <t xml:space="preserve">saffron; basmati rice; mutton</t>
  </si>
  <si>
    <t xml:space="preserve">https://commons.wikimedia.org/w/index.php?search=Lucknowi+Biryani+food&amp;title=Special:MediaSearch&amp;type=image</t>
  </si>
  <si>
    <t xml:space="preserve">D0035</t>
  </si>
  <si>
    <t xml:space="preserve">Galouti Kebab</t>
  </si>
  <si>
    <t xml:space="preserve">raw papaya</t>
  </si>
  <si>
    <t xml:space="preserve">melt-in-mouth</t>
  </si>
  <si>
    <t xml:space="preserve">so soft it melts</t>
  </si>
  <si>
    <t xml:space="preserve">Lucknow</t>
  </si>
  <si>
    <t xml:space="preserve">made for a toothless nawab</t>
  </si>
  <si>
    <t xml:space="preserve">Lucknow's ultra-soft minced-meat patty</t>
  </si>
  <si>
    <t xml:space="preserve">raw papaya; minced mutton</t>
  </si>
  <si>
    <t xml:space="preserve">https://commons.wikimedia.org/w/index.php?search=Galouti+Kebab+food&amp;title=Special:MediaSearch&amp;type=image</t>
  </si>
  <si>
    <t xml:space="preserve">https://thumb.wikimedia.org/wikipedia/commons/thumb/8/88/Tunday_Kebabs.jpg/1280px-Tunday_Kebabs.jpg</t>
  </si>
  <si>
    <t xml:space="preserve">Lillottama</t>
  </si>
  <si>
    <t xml:space="preserve">D0036</t>
  </si>
  <si>
    <t xml:space="preserve">Kakori Kebab</t>
  </si>
  <si>
    <t xml:space="preserve">kewra</t>
  </si>
  <si>
    <t xml:space="preserve">long, thin kebabs</t>
  </si>
  <si>
    <t xml:space="preserve">silky texture</t>
  </si>
  <si>
    <t xml:space="preserve">Lucknow's silky minced-meat skewers</t>
  </si>
  <si>
    <t xml:space="preserve">kewra; minced mutton</t>
  </si>
  <si>
    <t xml:space="preserve">https://commons.wikimedia.org/w/index.php?search=Kakori+Kebab+food&amp;title=Special:MediaSearch&amp;type=image</t>
  </si>
  <si>
    <t xml:space="preserve">https://thumb.wikimedia.org/wikipedia/commons/thumb/5/5b/Lula_kebab_2.jpg/1280px-Lula_kebab_2.jpg</t>
  </si>
  <si>
    <t xml:space="preserve">CC BY-SA 2.0</t>
  </si>
  <si>
    <t xml:space="preserve">Lesya Dolyk</t>
  </si>
  <si>
    <t xml:space="preserve">D0038</t>
  </si>
  <si>
    <t xml:space="preserve">Korma</t>
  </si>
  <si>
    <t xml:space="preserve">fried onion paste</t>
  </si>
  <si>
    <t xml:space="preserve">Mughlai</t>
  </si>
  <si>
    <t xml:space="preserve">mild nutty gravy</t>
  </si>
  <si>
    <t xml:space="preserve">A mild, rich Mughlai curry of meat braised in yogurt and nuts</t>
  </si>
  <si>
    <t xml:space="preserve">yogurt; cashew; mutton; fried onion paste</t>
  </si>
  <si>
    <t xml:space="preserve">https://commons.wikimedia.org/w/index.php?search=Korma+food&amp;title=Special:MediaSearch&amp;type=image</t>
  </si>
  <si>
    <t xml:space="preserve">https://thumb.wikimedia.org/wikipedia/commons/thumb/a/a8/Chicken_Korma.JPG/1280px-Chicken_Korma.JPG</t>
  </si>
  <si>
    <t xml:space="preserve">CC0</t>
  </si>
  <si>
    <t xml:space="preserve">Miansari66</t>
  </si>
  <si>
    <t xml:space="preserve">D0040</t>
  </si>
  <si>
    <t xml:space="preserve">Kulfi</t>
  </si>
  <si>
    <t xml:space="preserve">reduced milk</t>
  </si>
  <si>
    <t xml:space="preserve">matka</t>
  </si>
  <si>
    <t xml:space="preserve">frozen in cones</t>
  </si>
  <si>
    <t xml:space="preserve">dense not airy</t>
  </si>
  <si>
    <t xml:space="preserve">sold on a stick</t>
  </si>
  <si>
    <t xml:space="preserve">Dense frozen milk dessert set in cone-shaped moulds</t>
  </si>
  <si>
    <t xml:space="preserve">saffron; reduced milk</t>
  </si>
  <si>
    <t xml:space="preserve">https://commons.wikimedia.org/w/index.php?search=Kulfi+food&amp;title=Special:MediaSearch&amp;type=image</t>
  </si>
  <si>
    <t xml:space="preserve">D0041</t>
  </si>
  <si>
    <t xml:space="preserve">Bedmi Puri</t>
  </si>
  <si>
    <t xml:space="preserve">fennel</t>
  </si>
  <si>
    <t xml:space="preserve">potato curry</t>
  </si>
  <si>
    <t xml:space="preserve">wheat flour</t>
  </si>
  <si>
    <t xml:space="preserve">urad dal stuffing</t>
  </si>
  <si>
    <t xml:space="preserve">deep-fried bread</t>
  </si>
  <si>
    <t xml:space="preserve">Uttar Pradesh breakfast</t>
  </si>
  <si>
    <t xml:space="preserve">Lentil-stuffed fried bread with spicy potato curry</t>
  </si>
  <si>
    <t xml:space="preserve">fennel; potato curry; wheat flour; urad dal stuffing</t>
  </si>
  <si>
    <t xml:space="preserve">https://commons.wikimedia.org/w/index.php?search=Bedmi+Puri+food&amp;title=Special:MediaSearch&amp;type=image</t>
  </si>
  <si>
    <t xml:space="preserve">D0042</t>
  </si>
  <si>
    <t xml:space="preserve">Petha</t>
  </si>
  <si>
    <t xml:space="preserve">lime</t>
  </si>
  <si>
    <t xml:space="preserve">ash gourd</t>
  </si>
  <si>
    <t xml:space="preserve">translucent candy</t>
  </si>
  <si>
    <t xml:space="preserve">Agra sweet</t>
  </si>
  <si>
    <t xml:space="preserve">Agra</t>
  </si>
  <si>
    <t xml:space="preserve">Agra's translucent candied gourd sweet</t>
  </si>
  <si>
    <t xml:space="preserve">lime; kewra; ash gourd</t>
  </si>
  <si>
    <t xml:space="preserve">https://commons.wikimedia.org/w/index.php?search=Petha+food&amp;title=Special:MediaSearch&amp;type=image</t>
  </si>
  <si>
    <t xml:space="preserve">https://thumb.wikimedia.org/wikipedia/commons/thumb/b/bc/Petha_kesari.JPG/1280px-Petha_kesari.JPG</t>
  </si>
  <si>
    <t xml:space="preserve">PJ.wikilovesfood</t>
  </si>
  <si>
    <t xml:space="preserve">D0044</t>
  </si>
  <si>
    <t xml:space="preserve">Banarasi Paan</t>
  </si>
  <si>
    <t xml:space="preserve">areca nut</t>
  </si>
  <si>
    <t xml:space="preserve">betel leaf</t>
  </si>
  <si>
    <t xml:space="preserve">chewed after a meal</t>
  </si>
  <si>
    <t xml:space="preserve">folded into a triangle</t>
  </si>
  <si>
    <t xml:space="preserve">Varanasi</t>
  </si>
  <si>
    <t xml:space="preserve">Varanasi's famous after-dinner betel-leaf parcel</t>
  </si>
  <si>
    <t xml:space="preserve">fennel; areca nut; betel leaf</t>
  </si>
  <si>
    <t xml:space="preserve">https://commons.wikimedia.org/w/index.php?search=Banarasi+Paan+food&amp;title=Special:MediaSearch&amp;type=image</t>
  </si>
  <si>
    <t xml:space="preserve">D0046</t>
  </si>
  <si>
    <t xml:space="preserve">Litti Chokha</t>
  </si>
  <si>
    <t xml:space="preserve">aubergine</t>
  </si>
  <si>
    <t xml:space="preserve">roasted dough balls</t>
  </si>
  <si>
    <t xml:space="preserve">sattu</t>
  </si>
  <si>
    <t xml:space="preserve">roasted gram-flour balls</t>
  </si>
  <si>
    <t xml:space="preserve">smoky mash</t>
  </si>
  <si>
    <t xml:space="preserve">Bihar's roasted stuffed dough balls with smoky mashed vegetables</t>
  </si>
  <si>
    <t xml:space="preserve">aubergine; roasted dough balls; sattu</t>
  </si>
  <si>
    <t xml:space="preserve">https://commons.wikimedia.org/w/index.php?search=Litti+Chokha+food&amp;title=Special:MediaSearch&amp;type=image</t>
  </si>
  <si>
    <t xml:space="preserve">https://thumb.wikimedia.org/wikipedia/commons/thumb/a/ae/Litti_Chokha_2.jpg/1280px-Litti_Chokha_2.jpg</t>
  </si>
  <si>
    <t xml:space="preserve">Eddie Stann</t>
  </si>
  <si>
    <t xml:space="preserve">D0047</t>
  </si>
  <si>
    <t xml:space="preserve">Thekua</t>
  </si>
  <si>
    <t xml:space="preserve">jaggery</t>
  </si>
  <si>
    <t xml:space="preserve">Chhath festival</t>
  </si>
  <si>
    <t xml:space="preserve">festival cookie</t>
  </si>
  <si>
    <t xml:space="preserve">deep-fried</t>
  </si>
  <si>
    <t xml:space="preserve">carved mould pattern</t>
  </si>
  <si>
    <t xml:space="preserve">Bihar's crunchy jaggery cookie made for Chhath</t>
  </si>
  <si>
    <t xml:space="preserve">wheat flour; jaggery</t>
  </si>
  <si>
    <t xml:space="preserve">https://commons.wikimedia.org/w/index.php?search=Thekua+food&amp;title=Special:MediaSearch&amp;type=image</t>
  </si>
  <si>
    <t xml:space="preserve">https://thumb.wikimedia.org/wikipedia/commons/thumb/9/9c/Thekua_-_Chhath_Festival_-_Kolkata_2013-11-09_4316.JPG/1280px-Thekua_-_Chhath_Festival_-_Kolkata_2013-11-09_4316.JPG</t>
  </si>
  <si>
    <t xml:space="preserve">CC BY 3.0</t>
  </si>
  <si>
    <t xml:space="preserve">Biswarup Ganguly</t>
  </si>
  <si>
    <t xml:space="preserve">D0050</t>
  </si>
  <si>
    <t xml:space="preserve">Dal Baati Churma</t>
  </si>
  <si>
    <t xml:space="preserve">lentils</t>
  </si>
  <si>
    <t xml:space="preserve">baked dough balls</t>
  </si>
  <si>
    <t xml:space="preserve">three-part platter</t>
  </si>
  <si>
    <t xml:space="preserve">ghee-dipped</t>
  </si>
  <si>
    <t xml:space="preserve">crushed sweet crumble</t>
  </si>
  <si>
    <t xml:space="preserve">Rajasthan's platter of baked dough balls, lentils and a sweet crumble</t>
  </si>
  <si>
    <t xml:space="preserve">lentils; baked dough balls</t>
  </si>
  <si>
    <t xml:space="preserve">https://commons.wikimedia.org/w/index.php?search=Dal+Baati+Churma+food&amp;title=Special:MediaSearch&amp;type=image</t>
  </si>
  <si>
    <t xml:space="preserve">D0051</t>
  </si>
  <si>
    <t xml:space="preserve">Laal Maas</t>
  </si>
  <si>
    <t xml:space="preserve">mathania chilli</t>
  </si>
  <si>
    <t xml:space="preserve">fiery red curry</t>
  </si>
  <si>
    <t xml:space="preserve">Rajput hunting dish</t>
  </si>
  <si>
    <t xml:space="preserve">smoky</t>
  </si>
  <si>
    <t xml:space="preserve">Rajasthan's fiery red mutton curry</t>
  </si>
  <si>
    <t xml:space="preserve">yogurt; mutton; mathania chilli</t>
  </si>
  <si>
    <t xml:space="preserve">https://commons.wikimedia.org/w/index.php?search=Laal+Maas+food&amp;title=Special:MediaSearch&amp;type=image</t>
  </si>
  <si>
    <t xml:space="preserve">D0052</t>
  </si>
  <si>
    <t xml:space="preserve">Gatte ki Sabzi</t>
  </si>
  <si>
    <t xml:space="preserve">steamed</t>
  </si>
  <si>
    <t xml:space="preserve">gram flour dumplings</t>
  </si>
  <si>
    <t xml:space="preserve">steamed dumplings</t>
  </si>
  <si>
    <t xml:space="preserve">yogurt gravy</t>
  </si>
  <si>
    <t xml:space="preserve">desert cooking</t>
  </si>
  <si>
    <t xml:space="preserve">Rajasthan's gram-flour dumplings in a tangy yogurt curry</t>
  </si>
  <si>
    <t xml:space="preserve">ajwain; gram flour dumplings</t>
  </si>
  <si>
    <t xml:space="preserve">https://commons.wikimedia.org/w/index.php?search=Gatte+ki+Sabzi+food&amp;title=Special:MediaSearch&amp;type=image</t>
  </si>
  <si>
    <t xml:space="preserve">D0053</t>
  </si>
  <si>
    <t xml:space="preserve">Ker Sangri</t>
  </si>
  <si>
    <t xml:space="preserve">dried mango powder</t>
  </si>
  <si>
    <t xml:space="preserve">desert beans</t>
  </si>
  <si>
    <t xml:space="preserve">capers</t>
  </si>
  <si>
    <t xml:space="preserve">dried desert produce</t>
  </si>
  <si>
    <t xml:space="preserve">tangy and spicy</t>
  </si>
  <si>
    <t xml:space="preserve">Marwari</t>
  </si>
  <si>
    <t xml:space="preserve">A dry Rajasthani dish of desert beans and berries</t>
  </si>
  <si>
    <t xml:space="preserve">dried mango powder; desert beans; capers</t>
  </si>
  <si>
    <t xml:space="preserve">https://commons.wikimedia.org/w/index.php?search=Ker+Sangri+food&amp;title=Special:MediaSearch&amp;type=image</t>
  </si>
  <si>
    <t xml:space="preserve">D0054</t>
  </si>
  <si>
    <t xml:space="preserve">Pyaaz Kachori</t>
  </si>
  <si>
    <t xml:space="preserve">onion filling</t>
  </si>
  <si>
    <t xml:space="preserve">flaky fried pastry</t>
  </si>
  <si>
    <t xml:space="preserve">Jodhpur favourite</t>
  </si>
  <si>
    <t xml:space="preserve">A flaky fried pastry stuffed with spiced onions</t>
  </si>
  <si>
    <t xml:space="preserve">fennel; coriander seed; onion filling</t>
  </si>
  <si>
    <t xml:space="preserve">https://commons.wikimedia.org/w/index.php?search=Pyaaz+Kachori+food&amp;title=Special:MediaSearch&amp;type=image</t>
  </si>
  <si>
    <t xml:space="preserve">https://thumb.wikimedia.org/wikipedia/commons/thumb/d/dc/Rajasthani_Pyaz_ki_Kachori.JPG/1280px-Rajasthani_Pyaz_ki_Kachori.JPG</t>
  </si>
  <si>
    <t xml:space="preserve">Mdsmds0</t>
  </si>
  <si>
    <t xml:space="preserve">D0055</t>
  </si>
  <si>
    <t xml:space="preserve">Mirchi Vada</t>
  </si>
  <si>
    <t xml:space="preserve">stuffed</t>
  </si>
  <si>
    <t xml:space="preserve">large green chilli</t>
  </si>
  <si>
    <t xml:space="preserve">Jodhpur snack</t>
  </si>
  <si>
    <t xml:space="preserve">A fat chilli stuffed with potato, battered and fried</t>
  </si>
  <si>
    <t xml:space="preserve">gram flour; large green chilli</t>
  </si>
  <si>
    <t xml:space="preserve">https://commons.wikimedia.org/w/index.php?search=Mirchi+Vada+food&amp;title=Special:MediaSearch&amp;type=image</t>
  </si>
  <si>
    <t xml:space="preserve">https://thumb.wikimedia.org/wikipedia/commons/thumb/a/a9/Mirchi_Bada_from_Jodhpur_1.jpg/1280px-Mirchi_Bada_from_Jodhpur_1.jpg</t>
  </si>
  <si>
    <t xml:space="preserve">D0056</t>
  </si>
  <si>
    <t xml:space="preserve">Ghevar</t>
  </si>
  <si>
    <t xml:space="preserve">rabri</t>
  </si>
  <si>
    <t xml:space="preserve">honeycomb</t>
  </si>
  <si>
    <t xml:space="preserve">Teej</t>
  </si>
  <si>
    <t xml:space="preserve">disc-shaped sweet</t>
  </si>
  <si>
    <t xml:space="preserve">monsoon festival</t>
  </si>
  <si>
    <t xml:space="preserve">Rajasthan's honeycomb-like fried disc topped with rabri</t>
  </si>
  <si>
    <t xml:space="preserve">rabri; honeycomb</t>
  </si>
  <si>
    <t xml:space="preserve">https://commons.wikimedia.org/w/index.php?search=Ghevar+food&amp;title=Special:MediaSearch&amp;type=image</t>
  </si>
  <si>
    <t xml:space="preserve">D0059</t>
  </si>
  <si>
    <t xml:space="preserve">Dhokla</t>
  </si>
  <si>
    <t xml:space="preserve">curry leaves</t>
  </si>
  <si>
    <t xml:space="preserve">fermented gram flour</t>
  </si>
  <si>
    <t xml:space="preserve">spongy yellow cake</t>
  </si>
  <si>
    <t xml:space="preserve">tempered topping</t>
  </si>
  <si>
    <t xml:space="preserve">Gujarati snack</t>
  </si>
  <si>
    <t xml:space="preserve">Gujarat's soft, spongy steamed savoury cake</t>
  </si>
  <si>
    <t xml:space="preserve">curry leaves; fermented gram flour</t>
  </si>
  <si>
    <t xml:space="preserve">https://commons.wikimedia.org/w/index.php?search=Dhokla+food&amp;title=Special:MediaSearch&amp;type=image</t>
  </si>
  <si>
    <t xml:space="preserve">D0060</t>
  </si>
  <si>
    <t xml:space="preserve">Khandvi</t>
  </si>
  <si>
    <t xml:space="preserve">coconut</t>
  </si>
  <si>
    <t xml:space="preserve">rolled</t>
  </si>
  <si>
    <t xml:space="preserve">thin rolls</t>
  </si>
  <si>
    <t xml:space="preserve">Gujarat's silky rolled gram-flour sheets</t>
  </si>
  <si>
    <t xml:space="preserve">coconut; gram flour</t>
  </si>
  <si>
    <t xml:space="preserve">https://commons.wikimedia.org/w/index.php?search=Khandvi+food&amp;title=Special:MediaSearch&amp;type=image</t>
  </si>
  <si>
    <t xml:space="preserve">D0061</t>
  </si>
  <si>
    <t xml:space="preserve">Thepla</t>
  </si>
  <si>
    <t xml:space="preserve">sesame</t>
  </si>
  <si>
    <t xml:space="preserve">fenugreek leaves</t>
  </si>
  <si>
    <t xml:space="preserve">travel food</t>
  </si>
  <si>
    <t xml:space="preserve">spiced flatbread</t>
  </si>
  <si>
    <t xml:space="preserve">Gujarati</t>
  </si>
  <si>
    <t xml:space="preserve">Gujarat's spiced fenugreek flatbread</t>
  </si>
  <si>
    <t xml:space="preserve">yogurt; sesame; fenugreek leaves</t>
  </si>
  <si>
    <t xml:space="preserve">https://commons.wikimedia.org/w/index.php?search=Thepla+food&amp;title=Special:MediaSearch&amp;type=image</t>
  </si>
  <si>
    <t xml:space="preserve">https://thumb.wikimedia.org/wikipedia/commons/thumb/7/74/Thepla_main.jpg/1280px-Thepla_main.jpg</t>
  </si>
  <si>
    <t xml:space="preserve">Rocky231293</t>
  </si>
  <si>
    <t xml:space="preserve">D0062</t>
  </si>
  <si>
    <t xml:space="preserve">Undhiyu</t>
  </si>
  <si>
    <t xml:space="preserve">muthia</t>
  </si>
  <si>
    <t xml:space="preserve">surti papdi</t>
  </si>
  <si>
    <t xml:space="preserve">clay pot</t>
  </si>
  <si>
    <t xml:space="preserve">winter vegetables</t>
  </si>
  <si>
    <t xml:space="preserve">cooked upside down</t>
  </si>
  <si>
    <t xml:space="preserve">Surat</t>
  </si>
  <si>
    <t xml:space="preserve">Gujarat's mixed winter vegetable casserole</t>
  </si>
  <si>
    <t xml:space="preserve">muthia; surti papdi</t>
  </si>
  <si>
    <t xml:space="preserve">https://commons.wikimedia.org/w/index.php?search=Undhiyu+food&amp;title=Special:MediaSearch&amp;type=image</t>
  </si>
  <si>
    <t xml:space="preserve">D0063</t>
  </si>
  <si>
    <t xml:space="preserve">Fafda Jalebi</t>
  </si>
  <si>
    <t xml:space="preserve">papaya chutney</t>
  </si>
  <si>
    <t xml:space="preserve">fried green chilli</t>
  </si>
  <si>
    <t xml:space="preserve">gram flour strips</t>
  </si>
  <si>
    <t xml:space="preserve">Dussehra breakfast</t>
  </si>
  <si>
    <t xml:space="preserve">crunchy and sweet together</t>
  </si>
  <si>
    <t xml:space="preserve">jalebi</t>
  </si>
  <si>
    <t xml:space="preserve">Gujarat's crunchy gram-flour strips with syrupy spirals</t>
  </si>
  <si>
    <t xml:space="preserve">papaya chutney; fried green chilli; gram flour strips; jalebi</t>
  </si>
  <si>
    <t xml:space="preserve">https://commons.wikimedia.org/w/index.php?search=Fafda+Jalebi+food&amp;title=Special:MediaSearch&amp;type=image</t>
  </si>
  <si>
    <t xml:space="preserve">D0064</t>
  </si>
  <si>
    <t xml:space="preserve">Handvo</t>
  </si>
  <si>
    <t xml:space="preserve">bottle gourd</t>
  </si>
  <si>
    <t xml:space="preserve">lentil batter cake</t>
  </si>
  <si>
    <t xml:space="preserve">savoury baked cake</t>
  </si>
  <si>
    <t xml:space="preserve">crusty top</t>
  </si>
  <si>
    <t xml:space="preserve">Gujarat's savoury rice-and-lentil cake with bottle gourd</t>
  </si>
  <si>
    <t xml:space="preserve">rice; sesame; bottle gourd; lentil batter cake</t>
  </si>
  <si>
    <t xml:space="preserve">https://commons.wikimedia.org/w/index.php?search=Handvo+food&amp;title=Special:MediaSearch&amp;type=image</t>
  </si>
  <si>
    <t xml:space="preserve">https://thumb.wikimedia.org/wikipedia/commons/thumb/d/de/Handavo3.jpg/1280px-Handavo3.jpg</t>
  </si>
  <si>
    <t xml:space="preserve">Dkgohil</t>
  </si>
  <si>
    <t xml:space="preserve">D0065</t>
  </si>
  <si>
    <t xml:space="preserve">Gujarati Kadhi</t>
  </si>
  <si>
    <t xml:space="preserve">sweet</t>
  </si>
  <si>
    <t xml:space="preserve">thin and sweet</t>
  </si>
  <si>
    <t xml:space="preserve">yellow</t>
  </si>
  <si>
    <t xml:space="preserve">served with khichdi</t>
  </si>
  <si>
    <t xml:space="preserve">Gujarat's thin, sweet-sour yogurt curry</t>
  </si>
  <si>
    <t xml:space="preserve">yogurt; gram flour</t>
  </si>
  <si>
    <t xml:space="preserve">https://commons.wikimedia.org/w/index.php?search=Gujarati+Kadhi+food&amp;title=Special:MediaSearch&amp;type=image</t>
  </si>
  <si>
    <t xml:space="preserve">https://thumb.wikimedia.org/wikipedia/commons/thumb/8/85/Gujarati_Kadhi.jpg/1280px-Gujarati_Kadhi.jpg</t>
  </si>
  <si>
    <t xml:space="preserve">D0066</t>
  </si>
  <si>
    <t xml:space="preserve">Khakhra</t>
  </si>
  <si>
    <t xml:space="preserve">fenugreek</t>
  </si>
  <si>
    <t xml:space="preserve">crisp</t>
  </si>
  <si>
    <t xml:space="preserve">roasted</t>
  </si>
  <si>
    <t xml:space="preserve">thin crisp flatbread</t>
  </si>
  <si>
    <t xml:space="preserve">tea-time</t>
  </si>
  <si>
    <t xml:space="preserve">roasted on a griddle</t>
  </si>
  <si>
    <t xml:space="preserve">Gujarat's crisp, roasted wafer-thin flatbread</t>
  </si>
  <si>
    <t xml:space="preserve">https://commons.wikimedia.org/w/index.php?search=Khakhra+food&amp;title=Special:MediaSearch&amp;type=image</t>
  </si>
  <si>
    <t xml:space="preserve">D0068</t>
  </si>
  <si>
    <t xml:space="preserve">Dabeli</t>
  </si>
  <si>
    <t xml:space="preserve">pomegranate</t>
  </si>
  <si>
    <t xml:space="preserve">pav</t>
  </si>
  <si>
    <t xml:space="preserve">sweet-spicy potato filling</t>
  </si>
  <si>
    <t xml:space="preserve">bun</t>
  </si>
  <si>
    <t xml:space="preserve">Kutch street snack</t>
  </si>
  <si>
    <t xml:space="preserve">dabeli masala</t>
  </si>
  <si>
    <t xml:space="preserve">Kutch's spiced-potato bun with peanuts and pomegranate</t>
  </si>
  <si>
    <t xml:space="preserve">pomegranate; pav; dabeli masala</t>
  </si>
  <si>
    <t xml:space="preserve">https://commons.wikimedia.org/w/index.php?search=Dabeli+food&amp;title=Special:MediaSearch&amp;type=image</t>
  </si>
  <si>
    <t xml:space="preserve">https://thumb.wikimedia.org/wikipedia/commons/thumb/6/62/Daabeli.JPG/1280px-Daabeli.JPG</t>
  </si>
  <si>
    <t xml:space="preserve">Kanikatwl</t>
  </si>
  <si>
    <t xml:space="preserve">D0069</t>
  </si>
  <si>
    <t xml:space="preserve">Basundi</t>
  </si>
  <si>
    <t xml:space="preserve">cardamom</t>
  </si>
  <si>
    <t xml:space="preserve">charoli</t>
  </si>
  <si>
    <t xml:space="preserve">thickened sweet milk</t>
  </si>
  <si>
    <t xml:space="preserve">Gujarati festive sweet</t>
  </si>
  <si>
    <t xml:space="preserve">Sweetened milk reduced slowly with saffron and nuts</t>
  </si>
  <si>
    <t xml:space="preserve">cardamom; charoli; saffron; reduced milk</t>
  </si>
  <si>
    <t xml:space="preserve">https://commons.wikimedia.org/w/index.php?search=Basundi+food&amp;title=Special:MediaSearch&amp;type=image</t>
  </si>
  <si>
    <t xml:space="preserve">D0070</t>
  </si>
  <si>
    <t xml:space="preserve">Shrikhand</t>
  </si>
  <si>
    <t xml:space="preserve">strained yogurt</t>
  </si>
  <si>
    <t xml:space="preserve">hung curd sweet</t>
  </si>
  <si>
    <t xml:space="preserve">served with puri</t>
  </si>
  <si>
    <t xml:space="preserve">Sweet, saffron-flavoured strained yogurt</t>
  </si>
  <si>
    <t xml:space="preserve">cardamom; saffron; pistachio; strained yogurt</t>
  </si>
  <si>
    <t xml:space="preserve">https://commons.wikimedia.org/w/index.php?search=Shrikhand+food&amp;title=Special:MediaSearch&amp;type=image</t>
  </si>
  <si>
    <t xml:space="preserve">D0072</t>
  </si>
  <si>
    <t xml:space="preserve">Patra</t>
  </si>
  <si>
    <t xml:space="preserve">colocasia leaves</t>
  </si>
  <si>
    <t xml:space="preserve">rolled leaves</t>
  </si>
  <si>
    <t xml:space="preserve">steamed and sliced</t>
  </si>
  <si>
    <t xml:space="preserve">pinwheel slices</t>
  </si>
  <si>
    <t xml:space="preserve">Gujarat's steamed, spiced colocasia-leaf rolls</t>
  </si>
  <si>
    <t xml:space="preserve">gram flour; colocasia leaves</t>
  </si>
  <si>
    <t xml:space="preserve">https://commons.wikimedia.org/w/index.php?search=Patra+food&amp;title=Special:MediaSearch&amp;type=image</t>
  </si>
  <si>
    <t xml:space="preserve">D0074</t>
  </si>
  <si>
    <t xml:space="preserve">Gujarati Dal</t>
  </si>
  <si>
    <t xml:space="preserve">kokum</t>
  </si>
  <si>
    <t xml:space="preserve">peanuts</t>
  </si>
  <si>
    <t xml:space="preserve">thin dal</t>
  </si>
  <si>
    <t xml:space="preserve">sweet and sour</t>
  </si>
  <si>
    <t xml:space="preserve">toor dal</t>
  </si>
  <si>
    <t xml:space="preserve">Gujarat's sweet-and-sour thin lentil soup</t>
  </si>
  <si>
    <t xml:space="preserve">jaggery; kokum; peanuts; toor dal</t>
  </si>
  <si>
    <t xml:space="preserve">thin dal; toor dal</t>
  </si>
  <si>
    <t xml:space="preserve">https://commons.wikimedia.org/w/index.php?search=Gujarati+Dal+food&amp;title=Special:MediaSearch&amp;type=image</t>
  </si>
  <si>
    <t xml:space="preserve">D0075</t>
  </si>
  <si>
    <t xml:space="preserve">Vada Pav</t>
  </si>
  <si>
    <t xml:space="preserve">garlic chutney</t>
  </si>
  <si>
    <t xml:space="preserve">potato fritter</t>
  </si>
  <si>
    <t xml:space="preserve">deep-fried potato dumpling</t>
  </si>
  <si>
    <t xml:space="preserve">Mumbai's burger</t>
  </si>
  <si>
    <t xml:space="preserve">Mumbai's spicy potato fritter in a bun</t>
  </si>
  <si>
    <t xml:space="preserve">garlic chutney; gram flour; potato fritter; pav</t>
  </si>
  <si>
    <t xml:space="preserve">https://commons.wikimedia.org/w/index.php?search=Vada+Pav+food&amp;title=Special:MediaSearch&amp;type=image</t>
  </si>
  <si>
    <t xml:space="preserve">https://thumb.wikimedia.org/wikipedia/commons/thumb/4/4e/Vada_Pav-Indian_street_food.JPG/1280px-Vada_Pav-Indian_street_food.JPG</t>
  </si>
  <si>
    <t xml:space="preserve">Rutvi Mistry</t>
  </si>
  <si>
    <t xml:space="preserve">D0076</t>
  </si>
  <si>
    <t xml:space="preserve">Pav Bhaji</t>
  </si>
  <si>
    <t xml:space="preserve">mixed vegetables</t>
  </si>
  <si>
    <t xml:space="preserve">mashed vegetable curry</t>
  </si>
  <si>
    <t xml:space="preserve">buttered buns</t>
  </si>
  <si>
    <t xml:space="preserve">Mumbai beach snack</t>
  </si>
  <si>
    <t xml:space="preserve">pav bhaji masala</t>
  </si>
  <si>
    <t xml:space="preserve">Mumbai's buttery mashed vegetable curry with soft buns</t>
  </si>
  <si>
    <t xml:space="preserve">mixed vegetables; pav; pav bhaji masala</t>
  </si>
  <si>
    <t xml:space="preserve">pav; pav bhaji masala</t>
  </si>
  <si>
    <t xml:space="preserve">https://commons.wikimedia.org/w/index.php?search=Pav+Bhaji+food&amp;title=Special:MediaSearch&amp;type=image</t>
  </si>
  <si>
    <t xml:space="preserve">D0077</t>
  </si>
  <si>
    <t xml:space="preserve">Misal Pav</t>
  </si>
  <si>
    <t xml:space="preserve">spicy rassa</t>
  </si>
  <si>
    <t xml:space="preserve">sprouted moth beans</t>
  </si>
  <si>
    <t xml:space="preserve">spicy sprout curry</t>
  </si>
  <si>
    <t xml:space="preserve">crunchy topping</t>
  </si>
  <si>
    <t xml:space="preserve">Pune and Kolhapur</t>
  </si>
  <si>
    <t xml:space="preserve">Maharashtra's fiery sprout curry with farsan and bread</t>
  </si>
  <si>
    <t xml:space="preserve">spicy rassa; sprouted moth beans; pav</t>
  </si>
  <si>
    <t xml:space="preserve">https://commons.wikimedia.org/w/index.php?search=Misal+Pav+food&amp;title=Special:MediaSearch&amp;type=image</t>
  </si>
  <si>
    <t xml:space="preserve">https://thumb.wikimedia.org/wikipedia/commons/thumb/a/a0/Kolhapuri_Misal_Pav.jpg/1280px-Kolhapuri_Misal_Pav.jpg</t>
  </si>
  <si>
    <t xml:space="preserve">Ankushkr2020</t>
  </si>
  <si>
    <t xml:space="preserve">D0078</t>
  </si>
  <si>
    <t xml:space="preserve">Poha</t>
  </si>
  <si>
    <t xml:space="preserve">mustard seeds</t>
  </si>
  <si>
    <t xml:space="preserve">flattened rice</t>
  </si>
  <si>
    <t xml:space="preserve">light and fluffy</t>
  </si>
  <si>
    <t xml:space="preserve">morning snack</t>
  </si>
  <si>
    <t xml:space="preserve">Flattened rice tempered with mustard, peanuts and turmeric</t>
  </si>
  <si>
    <t xml:space="preserve">mustard seeds; peanuts; flattened rice</t>
  </si>
  <si>
    <t xml:space="preserve">https://commons.wikimedia.org/w/index.php?search=Poha+food&amp;title=Special:MediaSearch&amp;type=image</t>
  </si>
  <si>
    <t xml:space="preserve">D0079</t>
  </si>
  <si>
    <t xml:space="preserve">Sabudana Khichdi</t>
  </si>
  <si>
    <t xml:space="preserve">sago pearls</t>
  </si>
  <si>
    <t xml:space="preserve">fasting food</t>
  </si>
  <si>
    <t xml:space="preserve">chewy pearls</t>
  </si>
  <si>
    <t xml:space="preserve">Sago pearls stir-fried with peanuts, eaten when fasting</t>
  </si>
  <si>
    <t xml:space="preserve">potato; peanuts; sago pearls</t>
  </si>
  <si>
    <t xml:space="preserve">https://commons.wikimedia.org/w/index.php?search=Sabudana+Khichdi+food&amp;title=Special:MediaSearch&amp;type=image</t>
  </si>
  <si>
    <t xml:space="preserve">D0080</t>
  </si>
  <si>
    <t xml:space="preserve">Puran Poli</t>
  </si>
  <si>
    <t xml:space="preserve">nutmeg</t>
  </si>
  <si>
    <t xml:space="preserve">chana dal</t>
  </si>
  <si>
    <t xml:space="preserve">flatbread</t>
  </si>
  <si>
    <t xml:space="preserve">Holi and Gudi Padwa</t>
  </si>
  <si>
    <t xml:space="preserve">Maharashtra's flatbread stuffed with sweet lentil-jaggery filling</t>
  </si>
  <si>
    <t xml:space="preserve">cardamom; nutmeg; chana dal; jaggery; flatbread</t>
  </si>
  <si>
    <t xml:space="preserve">https://commons.wikimedia.org/w/index.php?search=Puran+Poli+food&amp;title=Special:MediaSearch&amp;type=image</t>
  </si>
  <si>
    <t xml:space="preserve">D0081</t>
  </si>
  <si>
    <t xml:space="preserve">Modak</t>
  </si>
  <si>
    <t xml:space="preserve">rice flour</t>
  </si>
  <si>
    <t xml:space="preserve">Ganesh Chaturthi</t>
  </si>
  <si>
    <t xml:space="preserve">steamed dumpling</t>
  </si>
  <si>
    <t xml:space="preserve">Ganesha's favourite</t>
  </si>
  <si>
    <t xml:space="preserve">Sweet steamed dumplings filled with coconut and jaggery</t>
  </si>
  <si>
    <t xml:space="preserve">rice flour; jaggery; coconut</t>
  </si>
  <si>
    <t xml:space="preserve">https://commons.wikimedia.org/w/index.php?search=Modak+food&amp;title=Special:MediaSearch&amp;type=image</t>
  </si>
  <si>
    <t xml:space="preserve">D0082</t>
  </si>
  <si>
    <t xml:space="preserve">Thalipeeth</t>
  </si>
  <si>
    <t xml:space="preserve">multigrain flour</t>
  </si>
  <si>
    <t xml:space="preserve">bhajani</t>
  </si>
  <si>
    <t xml:space="preserve">savoury multigrain pancake</t>
  </si>
  <si>
    <t xml:space="preserve">Maharashtrian breakfast</t>
  </si>
  <si>
    <t xml:space="preserve">sorghum and millet roast</t>
  </si>
  <si>
    <t xml:space="preserve">eaten with white butter</t>
  </si>
  <si>
    <t xml:space="preserve">Maharashtra's savoury multigrain flatbread</t>
  </si>
  <si>
    <t xml:space="preserve">multigrain flour; bhajani</t>
  </si>
  <si>
    <t xml:space="preserve">https://commons.wikimedia.org/w/index.php?search=Thalipeeth+food&amp;title=Special:MediaSearch&amp;type=image</t>
  </si>
  <si>
    <t xml:space="preserve">https://thumb.wikimedia.org/wikipedia/commons/thumb/c/cf/Maharashtrian_Thalipith_-_1.jpg/1280px-Maharashtrian_Thalipith_-_1.jpg</t>
  </si>
  <si>
    <t xml:space="preserve">Satyajit Dhawale (Satyajit888)</t>
  </si>
  <si>
    <t xml:space="preserve">D0084</t>
  </si>
  <si>
    <t xml:space="preserve">Kolhapuri Chicken</t>
  </si>
  <si>
    <t xml:space="preserve">dry coconut</t>
  </si>
  <si>
    <t xml:space="preserve">kolhapuri masala</t>
  </si>
  <si>
    <t xml:space="preserve">Kolhapur's fiery chicken curry with roasted coconut</t>
  </si>
  <si>
    <t xml:space="preserve">sesame; dry coconut; chicken; kolhapuri masala</t>
  </si>
  <si>
    <t xml:space="preserve">chicken; kolhapuri masala</t>
  </si>
  <si>
    <t xml:space="preserve">https://commons.wikimedia.org/w/index.php?search=Kolhapuri+Chicken+food&amp;title=Special:MediaSearch&amp;type=image</t>
  </si>
  <si>
    <t xml:space="preserve">D0087</t>
  </si>
  <si>
    <t xml:space="preserve">Bombil Fry</t>
  </si>
  <si>
    <t xml:space="preserve">Bombay Duck Fry</t>
  </si>
  <si>
    <t xml:space="preserve">semolina</t>
  </si>
  <si>
    <t xml:space="preserve">bombay duck</t>
  </si>
  <si>
    <t xml:space="preserve">crisp fried fish</t>
  </si>
  <si>
    <t xml:space="preserve">Mumbai coast</t>
  </si>
  <si>
    <t xml:space="preserve">lizard fish</t>
  </si>
  <si>
    <t xml:space="preserve">Mumbai's crisp-fried lizard fish</t>
  </si>
  <si>
    <t xml:space="preserve">semolina; rice flour; bombay duck</t>
  </si>
  <si>
    <t xml:space="preserve">https://commons.wikimedia.org/w/index.php?search=Bombil+Fry+food&amp;title=Special:MediaSearch&amp;type=image</t>
  </si>
  <si>
    <t xml:space="preserve">D0088</t>
  </si>
  <si>
    <t xml:space="preserve">Kothimbir Vadi</t>
  </si>
  <si>
    <t xml:space="preserve">coriander-leaf squares</t>
  </si>
  <si>
    <t xml:space="preserve">steamed then fried</t>
  </si>
  <si>
    <t xml:space="preserve">Maharashtrian snack</t>
  </si>
  <si>
    <t xml:space="preserve">Maharashtra's steamed-and-fried coriander gram-flour squares</t>
  </si>
  <si>
    <t xml:space="preserve">sesame; gram flour</t>
  </si>
  <si>
    <t xml:space="preserve">https://commons.wikimedia.org/w/index.php?search=Kothimbir+Vadi+food&amp;title=Special:MediaSearch&amp;type=image</t>
  </si>
  <si>
    <t xml:space="preserve">D0089</t>
  </si>
  <si>
    <t xml:space="preserve">Bharli Vangi</t>
  </si>
  <si>
    <t xml:space="preserve">goda masala</t>
  </si>
  <si>
    <t xml:space="preserve">stuffed small brinjals</t>
  </si>
  <si>
    <t xml:space="preserve">stuffed brinjal</t>
  </si>
  <si>
    <t xml:space="preserve">peanut-coconut masala</t>
  </si>
  <si>
    <t xml:space="preserve">Maharashtra's small brinjals stuffed with peanut-coconut masala</t>
  </si>
  <si>
    <t xml:space="preserve">goda masala; peanuts; coconut; stuffed small brinjals</t>
  </si>
  <si>
    <t xml:space="preserve">https://commons.wikimedia.org/w/index.php?search=Bharli+Vangi+food&amp;title=Special:MediaSearch&amp;type=image</t>
  </si>
  <si>
    <t xml:space="preserve">D0092</t>
  </si>
  <si>
    <t xml:space="preserve">Bombay Sandwich</t>
  </si>
  <si>
    <t xml:space="preserve">beetroot</t>
  </si>
  <si>
    <t xml:space="preserve">green chutney</t>
  </si>
  <si>
    <t xml:space="preserve">white bread</t>
  </si>
  <si>
    <t xml:space="preserve">triple-decker</t>
  </si>
  <si>
    <t xml:space="preserve">grilled</t>
  </si>
  <si>
    <t xml:space="preserve">Mumbai street</t>
  </si>
  <si>
    <t xml:space="preserve">Mumbai's vegetable sandwich with green chutney</t>
  </si>
  <si>
    <t xml:space="preserve">beetroot; green chutney; white bread</t>
  </si>
  <si>
    <t xml:space="preserve">https://commons.wikimedia.org/w/index.php?search=Bombay+Sandwich+food&amp;title=Special:MediaSearch&amp;type=image</t>
  </si>
  <si>
    <t xml:space="preserve">D0093</t>
  </si>
  <si>
    <t xml:space="preserve">Keema Pav</t>
  </si>
  <si>
    <t xml:space="preserve">green peas</t>
  </si>
  <si>
    <t xml:space="preserve">minced meat curry</t>
  </si>
  <si>
    <t xml:space="preserve">Irani café</t>
  </si>
  <si>
    <t xml:space="preserve">soft buns</t>
  </si>
  <si>
    <t xml:space="preserve">Mumbai's spiced minced meat with buttered bread</t>
  </si>
  <si>
    <t xml:space="preserve">green peas; minced mutton; pav</t>
  </si>
  <si>
    <t xml:space="preserve">https://commons.wikimedia.org/w/index.php?search=Keema+Pav+food&amp;title=Special:MediaSearch&amp;type=image</t>
  </si>
  <si>
    <t xml:space="preserve">D0097</t>
  </si>
  <si>
    <t xml:space="preserve">Dhansak</t>
  </si>
  <si>
    <t xml:space="preserve">Parsi</t>
  </si>
  <si>
    <t xml:space="preserve">mixed lentils</t>
  </si>
  <si>
    <t xml:space="preserve">lentil-meat stew</t>
  </si>
  <si>
    <t xml:space="preserve">served with brown rice</t>
  </si>
  <si>
    <t xml:space="preserve">dhansak masala</t>
  </si>
  <si>
    <t xml:space="preserve">A Parsi stew of meat cooked in lentils and vegetables</t>
  </si>
  <si>
    <t xml:space="preserve">mutton; mixed lentils; dhansak masala</t>
  </si>
  <si>
    <t xml:space="preserve">https://commons.wikimedia.org/w/index.php?search=Dhansak+food&amp;title=Special:MediaSearch&amp;type=image</t>
  </si>
  <si>
    <t xml:space="preserve">https://thumb.wikimedia.org/wikipedia/commons/thumb/d/d8/Dhansak.JPG/1280px-Dhansak.JPG</t>
  </si>
  <si>
    <t xml:space="preserve">D0098</t>
  </si>
  <si>
    <t xml:space="preserve">Ragda Pattice</t>
  </si>
  <si>
    <t xml:space="preserve">sev</t>
  </si>
  <si>
    <t xml:space="preserve">white peas</t>
  </si>
  <si>
    <t xml:space="preserve">white pea curry</t>
  </si>
  <si>
    <t xml:space="preserve">potato patties</t>
  </si>
  <si>
    <t xml:space="preserve">Mumbai chaat</t>
  </si>
  <si>
    <t xml:space="preserve">Potato patties smothered in white-pea curry and chutneys</t>
  </si>
  <si>
    <t xml:space="preserve">sev; potato patty; white peas</t>
  </si>
  <si>
    <t xml:space="preserve">https://commons.wikimedia.org/w/index.php?search=Ragda+Pattice+food&amp;title=Special:MediaSearch&amp;type=image</t>
  </si>
  <si>
    <t xml:space="preserve">D0099</t>
  </si>
  <si>
    <t xml:space="preserve">Bhel Puri</t>
  </si>
  <si>
    <t xml:space="preserve">puffed rice</t>
  </si>
  <si>
    <t xml:space="preserve">beach snack</t>
  </si>
  <si>
    <t xml:space="preserve">Mumbai</t>
  </si>
  <si>
    <t xml:space="preserve">Chowpatty</t>
  </si>
  <si>
    <t xml:space="preserve">Mumbai's tangy puffed-rice chaat with sev and chutneys</t>
  </si>
  <si>
    <t xml:space="preserve">tamarind chutney; sev; puffed rice</t>
  </si>
  <si>
    <t xml:space="preserve">https://commons.wikimedia.org/w/index.php?search=Bhel+Puri+food&amp;title=Special:MediaSearch&amp;type=image</t>
  </si>
  <si>
    <t xml:space="preserve">https://thumb.wikimedia.org/wikipedia/commons/thumb/4/45/Behael_Puri_%286105489342%29.jpg/1280px-Behael_Puri_%286105489342%29.jpg</t>
  </si>
  <si>
    <t xml:space="preserve">Barry Pousman from New York, NY</t>
  </si>
  <si>
    <t xml:space="preserve">D0100</t>
  </si>
  <si>
    <t xml:space="preserve">Sev Puri</t>
  </si>
  <si>
    <t xml:space="preserve">flat crisp puris</t>
  </si>
  <si>
    <t xml:space="preserve">chaat</t>
  </si>
  <si>
    <t xml:space="preserve">flat puri</t>
  </si>
  <si>
    <t xml:space="preserve">Flat crisp puris topped with potato, chutneys and fried gram-flour noodles</t>
  </si>
  <si>
    <t xml:space="preserve">green chutney; sev; flat puri</t>
  </si>
  <si>
    <t xml:space="preserve">sev; flat puri</t>
  </si>
  <si>
    <t xml:space="preserve">https://commons.wikimedia.org/w/index.php?search=Sev+Puri+food&amp;title=Special:MediaSearch&amp;type=image</t>
  </si>
  <si>
    <t xml:space="preserve">https://thumb.wikimedia.org/wikipedia/commons/thumb/9/96/Sev_puri_with_sweet_curd.JPG/1280px-Sev_puri_with_sweet_curd.JPG</t>
  </si>
  <si>
    <t xml:space="preserve">Dheerajk88</t>
  </si>
  <si>
    <t xml:space="preserve">D0101</t>
  </si>
  <si>
    <t xml:space="preserve">Pani Puri</t>
  </si>
  <si>
    <t xml:space="preserve">Golgappa, Puchka</t>
  </si>
  <si>
    <t xml:space="preserve">mint water</t>
  </si>
  <si>
    <t xml:space="preserve">hollow crisp puris</t>
  </si>
  <si>
    <t xml:space="preserve">spicy water</t>
  </si>
  <si>
    <t xml:space="preserve">street favourite</t>
  </si>
  <si>
    <t xml:space="preserve">hollow puri</t>
  </si>
  <si>
    <t xml:space="preserve">Hollow crisp puris filled with spiced water and potato</t>
  </si>
  <si>
    <t xml:space="preserve">tamarind; mint water; hollow puri</t>
  </si>
  <si>
    <t xml:space="preserve">https://commons.wikimedia.org/w/index.php?search=Pani+Puri+food&amp;title=Special:MediaSearch&amp;type=image</t>
  </si>
  <si>
    <t xml:space="preserve">https://thumb.wikimedia.org/wikipedia/commons/thumb/e/e9/Pani_Puri1.JPG/1280px-Pani_Puri1.JPG</t>
  </si>
  <si>
    <t xml:space="preserve">Sruthi612</t>
  </si>
  <si>
    <t xml:space="preserve">D0102</t>
  </si>
  <si>
    <t xml:space="preserve">Goan Fish Curry</t>
  </si>
  <si>
    <t xml:space="preserve">coconut milk</t>
  </si>
  <si>
    <t xml:space="preserve">pomfret</t>
  </si>
  <si>
    <t xml:space="preserve">tangy coconut curry</t>
  </si>
  <si>
    <t xml:space="preserve">coastal</t>
  </si>
  <si>
    <t xml:space="preserve">Goa's tangy coconut fish curry</t>
  </si>
  <si>
    <t xml:space="preserve">coconut milk; kokum; pomfret</t>
  </si>
  <si>
    <t xml:space="preserve">https://commons.wikimedia.org/w/index.php?search=Goan+Fish+Curry+food&amp;title=Special:MediaSearch&amp;type=image</t>
  </si>
  <si>
    <t xml:space="preserve">D0103</t>
  </si>
  <si>
    <t xml:space="preserve">Pork Vindaloo</t>
  </si>
  <si>
    <t xml:space="preserve">vinegar</t>
  </si>
  <si>
    <t xml:space="preserve">Portuguese influence</t>
  </si>
  <si>
    <t xml:space="preserve">vinegar-sharp</t>
  </si>
  <si>
    <t xml:space="preserve">fiery</t>
  </si>
  <si>
    <t xml:space="preserve">pork</t>
  </si>
  <si>
    <t xml:space="preserve">Goa's fiery, vinegar-sharp pork curry</t>
  </si>
  <si>
    <t xml:space="preserve">vinegar; kashmiri chilli; pork</t>
  </si>
  <si>
    <t xml:space="preserve">https://commons.wikimedia.org/w/index.php?search=Pork+Vindaloo+food&amp;title=Special:MediaSearch&amp;type=image</t>
  </si>
  <si>
    <t xml:space="preserve">D0104</t>
  </si>
  <si>
    <t xml:space="preserve">Xacuti</t>
  </si>
  <si>
    <t xml:space="preserve">star anise</t>
  </si>
  <si>
    <t xml:space="preserve">roasted coconut</t>
  </si>
  <si>
    <t xml:space="preserve">complex roasted spice paste</t>
  </si>
  <si>
    <t xml:space="preserve">Goan</t>
  </si>
  <si>
    <t xml:space="preserve">Goa's curry made with roasted coconut and many spices</t>
  </si>
  <si>
    <t xml:space="preserve">star anise; roasted coconut; nutmeg; chicken</t>
  </si>
  <si>
    <t xml:space="preserve">https://commons.wikimedia.org/w/index.php?search=Xacuti+food&amp;title=Special:MediaSearch&amp;type=image</t>
  </si>
  <si>
    <t xml:space="preserve">D0105</t>
  </si>
  <si>
    <t xml:space="preserve">Chicken Cafreal</t>
  </si>
  <si>
    <t xml:space="preserve">green masala</t>
  </si>
  <si>
    <t xml:space="preserve">Portuguese-African roots</t>
  </si>
  <si>
    <t xml:space="preserve">Goa's chicken in a green coriander-chilli masala</t>
  </si>
  <si>
    <t xml:space="preserve">lime; chicken</t>
  </si>
  <si>
    <t xml:space="preserve">https://commons.wikimedia.org/w/index.php?search=Chicken+Cafreal+food&amp;title=Special:MediaSearch&amp;type=image</t>
  </si>
  <si>
    <t xml:space="preserve">D0106</t>
  </si>
  <si>
    <t xml:space="preserve">Bebinca</t>
  </si>
  <si>
    <t xml:space="preserve">Egg</t>
  </si>
  <si>
    <t xml:space="preserve">egg yolk</t>
  </si>
  <si>
    <t xml:space="preserve">layered</t>
  </si>
  <si>
    <t xml:space="preserve">many baked layers</t>
  </si>
  <si>
    <t xml:space="preserve">Goan Christmas</t>
  </si>
  <si>
    <t xml:space="preserve">Goa's many-layered coconut-egg cake</t>
  </si>
  <si>
    <t xml:space="preserve">nutmeg; egg yolk; coconut milk</t>
  </si>
  <si>
    <t xml:space="preserve">https://commons.wikimedia.org/w/index.php?search=Bebinca+food&amp;title=Special:MediaSearch&amp;type=image</t>
  </si>
  <si>
    <t xml:space="preserve">https://thumb.wikimedia.org/wikipedia/commons/thumb/3/31/Bebinca_com_gelado.jpg/1280px-Bebinca_com_gelado.jpg</t>
  </si>
  <si>
    <t xml:space="preserve">Warren Noronha</t>
  </si>
  <si>
    <t xml:space="preserve">D0108</t>
  </si>
  <si>
    <t xml:space="preserve">Prawn Balchão</t>
  </si>
  <si>
    <t xml:space="preserve">dried prawns</t>
  </si>
  <si>
    <t xml:space="preserve">pickled</t>
  </si>
  <si>
    <t xml:space="preserve">tangy and fiery</t>
  </si>
  <si>
    <t xml:space="preserve">Goa's fiery, vinegary prawn pickle</t>
  </si>
  <si>
    <t xml:space="preserve">vinegar; dried prawns</t>
  </si>
  <si>
    <t xml:space="preserve">https://commons.wikimedia.org/w/index.php?search=Prawn+Balch%C3%A3o+food&amp;title=Special:MediaSearch&amp;type=image</t>
  </si>
  <si>
    <t xml:space="preserve">D0111</t>
  </si>
  <si>
    <t xml:space="preserve">Idli</t>
  </si>
  <si>
    <t xml:space="preserve">fermented batter</t>
  </si>
  <si>
    <t xml:space="preserve">steamed rice cakes</t>
  </si>
  <si>
    <t xml:space="preserve">soft and fluffy</t>
  </si>
  <si>
    <t xml:space="preserve">with sambar and chutney</t>
  </si>
  <si>
    <t xml:space="preserve">South India's soft steamed rice cakes</t>
  </si>
  <si>
    <t xml:space="preserve">fermented batter; urad dal</t>
  </si>
  <si>
    <t xml:space="preserve">https://commons.wikimedia.org/w/index.php?search=Idli+food&amp;title=Special:MediaSearch&amp;type=image</t>
  </si>
  <si>
    <t xml:space="preserve">D0112</t>
  </si>
  <si>
    <t xml:space="preserve">Dosa</t>
  </si>
  <si>
    <t xml:space="preserve">potato masala</t>
  </si>
  <si>
    <t xml:space="preserve">sambar</t>
  </si>
  <si>
    <t xml:space="preserve">thin crisp crepe</t>
  </si>
  <si>
    <t xml:space="preserve">South India's crisp fermented rice-lentil crepe</t>
  </si>
  <si>
    <t xml:space="preserve">potato masala; sambar; fermented batter; urad dal</t>
  </si>
  <si>
    <t xml:space="preserve">https://commons.wikimedia.org/w/index.php?search=Dosa+food&amp;title=Special:MediaSearch&amp;type=image</t>
  </si>
  <si>
    <t xml:space="preserve">D0113</t>
  </si>
  <si>
    <t xml:space="preserve">Masala Dosa</t>
  </si>
  <si>
    <t xml:space="preserve">crisp crepe</t>
  </si>
  <si>
    <t xml:space="preserve">spiced potato filling</t>
  </si>
  <si>
    <t xml:space="preserve">Udupi</t>
  </si>
  <si>
    <t xml:space="preserve">South India's crisp crepe filled with spiced potato</t>
  </si>
  <si>
    <t xml:space="preserve">fermented batter; potato masala</t>
  </si>
  <si>
    <t xml:space="preserve">https://commons.wikimedia.org/w/index.php?search=Masala+Dosa+food&amp;title=Special:MediaSearch&amp;type=image</t>
  </si>
  <si>
    <t xml:space="preserve">https://thumb.wikimedia.org/wikipedia/commons/thumb/b/ba/Masala_Dosa_2023.jpg/1280px-Masala_Dosa_2023.jpg</t>
  </si>
  <si>
    <t xml:space="preserve">Yakshitha</t>
  </si>
  <si>
    <t xml:space="preserve">D0114</t>
  </si>
  <si>
    <t xml:space="preserve">Medu Vada</t>
  </si>
  <si>
    <t xml:space="preserve">doughnut shape</t>
  </si>
  <si>
    <t xml:space="preserve">crisp fried rings</t>
  </si>
  <si>
    <t xml:space="preserve">served with sambar</t>
  </si>
  <si>
    <t xml:space="preserve">South India's crisp lentil doughnuts</t>
  </si>
  <si>
    <t xml:space="preserve">curry leaves; urad dal</t>
  </si>
  <si>
    <t xml:space="preserve">https://commons.wikimedia.org/w/index.php?search=Medu+Vada+food&amp;title=Special:MediaSearch&amp;type=image</t>
  </si>
  <si>
    <t xml:space="preserve">D0115</t>
  </si>
  <si>
    <t xml:space="preserve">Pongal</t>
  </si>
  <si>
    <t xml:space="preserve">Ven Pongal</t>
  </si>
  <si>
    <t xml:space="preserve">savoury porridge</t>
  </si>
  <si>
    <t xml:space="preserve">peppercorn</t>
  </si>
  <si>
    <t xml:space="preserve">harvest festival</t>
  </si>
  <si>
    <t xml:space="preserve">Tamil Nadu's peppery rice-and-lentil porridge</t>
  </si>
  <si>
    <t xml:space="preserve">rice; cashew; moong dal</t>
  </si>
  <si>
    <t xml:space="preserve">https://commons.wikimedia.org/w/index.php?search=Pongal+food&amp;title=Special:MediaSearch&amp;type=image</t>
  </si>
  <si>
    <t xml:space="preserve">https://thumb.wikimedia.org/wikipedia/commons/thumb/2/21/Ven_pongal_with_sambar_and_chutney.jpg/1280px-Ven_pongal_with_sambar_and_chutney.jpg</t>
  </si>
  <si>
    <t xml:space="preserve">Shafana jasmine</t>
  </si>
  <si>
    <t xml:space="preserve">D0116</t>
  </si>
  <si>
    <t xml:space="preserve">Sakkarai Pongal</t>
  </si>
  <si>
    <t xml:space="preserve">sweet version</t>
  </si>
  <si>
    <t xml:space="preserve">Tamil Nadu's sweet jaggery rice-and-lentil pudding</t>
  </si>
  <si>
    <t xml:space="preserve">rice; cashew; moong dal; jaggery</t>
  </si>
  <si>
    <t xml:space="preserve">https://commons.wikimedia.org/w/index.php?search=Sakkarai+Pongal+food&amp;title=Special:MediaSearch&amp;type=image</t>
  </si>
  <si>
    <t xml:space="preserve">D0117</t>
  </si>
  <si>
    <t xml:space="preserve">Sambar</t>
  </si>
  <si>
    <t xml:space="preserve">drumstick</t>
  </si>
  <si>
    <t xml:space="preserve">lentil stew</t>
  </si>
  <si>
    <t xml:space="preserve">vegetables</t>
  </si>
  <si>
    <t xml:space="preserve">with idli and dosa</t>
  </si>
  <si>
    <t xml:space="preserve">sambar powder</t>
  </si>
  <si>
    <t xml:space="preserve">South India's tangy lentil-vegetable stew</t>
  </si>
  <si>
    <t xml:space="preserve">drumstick; toor dal; sambar powder</t>
  </si>
  <si>
    <t xml:space="preserve">https://commons.wikimedia.org/w/index.php?search=Sambar+food&amp;title=Special:MediaSearch&amp;type=image</t>
  </si>
  <si>
    <t xml:space="preserve">D0118</t>
  </si>
  <si>
    <t xml:space="preserve">Rasam</t>
  </si>
  <si>
    <t xml:space="preserve">thin peppery soup</t>
  </si>
  <si>
    <t xml:space="preserve">sour</t>
  </si>
  <si>
    <t xml:space="preserve">drunk from a cup or poured on rice</t>
  </si>
  <si>
    <t xml:space="preserve">South India's thin, peppery tamarind-tomato soup</t>
  </si>
  <si>
    <t xml:space="preserve">tomato; tamarind</t>
  </si>
  <si>
    <t xml:space="preserve">https://commons.wikimedia.org/w/index.php?search=Rasam+food&amp;title=Special:MediaSearch&amp;type=image</t>
  </si>
  <si>
    <t xml:space="preserve">D0119</t>
  </si>
  <si>
    <t xml:space="preserve">Chettinad Chicken</t>
  </si>
  <si>
    <t xml:space="preserve">kalpasi</t>
  </si>
  <si>
    <t xml:space="preserve">fiery dark curry</t>
  </si>
  <si>
    <t xml:space="preserve">Karaikudi</t>
  </si>
  <si>
    <t xml:space="preserve">Tamil Nadu's fiery, aromatic chicken curry</t>
  </si>
  <si>
    <t xml:space="preserve">star anise; fennel; kalpasi; chicken</t>
  </si>
  <si>
    <t xml:space="preserve">https://commons.wikimedia.org/w/index.php?search=Chettinad+Chicken+food&amp;title=Special:MediaSearch&amp;type=image</t>
  </si>
  <si>
    <t xml:space="preserve">D0120</t>
  </si>
  <si>
    <t xml:space="preserve">Kothu Parotta</t>
  </si>
  <si>
    <t xml:space="preserve">salna</t>
  </si>
  <si>
    <t xml:space="preserve">chopped</t>
  </si>
  <si>
    <t xml:space="preserve">clanging</t>
  </si>
  <si>
    <t xml:space="preserve">street sound of chopping</t>
  </si>
  <si>
    <t xml:space="preserve">shredded flatbread</t>
  </si>
  <si>
    <t xml:space="preserve">parotta</t>
  </si>
  <si>
    <t xml:space="preserve">Shredded flatbread stir-fried with egg and salna</t>
  </si>
  <si>
    <t xml:space="preserve">salna; parotta</t>
  </si>
  <si>
    <t xml:space="preserve">https://commons.wikimedia.org/w/index.php?search=Kothu+Parotta+food&amp;title=Special:MediaSearch&amp;type=image</t>
  </si>
  <si>
    <t xml:space="preserve">D0121</t>
  </si>
  <si>
    <t xml:space="preserve">Uttapam</t>
  </si>
  <si>
    <t xml:space="preserve">thick pancake</t>
  </si>
  <si>
    <t xml:space="preserve">dosa batter</t>
  </si>
  <si>
    <t xml:space="preserve">vegetable topping</t>
  </si>
  <si>
    <t xml:space="preserve">onion and chilli on top</t>
  </si>
  <si>
    <t xml:space="preserve">South Indian breakfast</t>
  </si>
  <si>
    <t xml:space="preserve">South India's thick rice pancake topped with vegetables</t>
  </si>
  <si>
    <t xml:space="preserve">tomato; thick pancake; dosa batter</t>
  </si>
  <si>
    <t xml:space="preserve">https://commons.wikimedia.org/w/index.php?search=Uttapam+food&amp;title=Special:MediaSearch&amp;type=image</t>
  </si>
  <si>
    <t xml:space="preserve">D0122</t>
  </si>
  <si>
    <t xml:space="preserve">Curd Rice</t>
  </si>
  <si>
    <t xml:space="preserve">Thayir Sadam</t>
  </si>
  <si>
    <t xml:space="preserve">tempered</t>
  </si>
  <si>
    <t xml:space="preserve">end of meal</t>
  </si>
  <si>
    <t xml:space="preserve">South India's cooling rice mixed with yogurt</t>
  </si>
  <si>
    <t xml:space="preserve">yogurt; pomegranate; rice</t>
  </si>
  <si>
    <t xml:space="preserve">https://commons.wikimedia.org/w/index.php?search=Curd+Rice+food&amp;title=Special:MediaSearch&amp;type=image</t>
  </si>
  <si>
    <t xml:space="preserve">D0123</t>
  </si>
  <si>
    <t xml:space="preserve">Lemon Rice</t>
  </si>
  <si>
    <t xml:space="preserve">yellow tangy rice</t>
  </si>
  <si>
    <t xml:space="preserve">South India's tangy turmeric rice with peanuts</t>
  </si>
  <si>
    <t xml:space="preserve">curry leaves; peanuts; rice; lemon</t>
  </si>
  <si>
    <t xml:space="preserve">yellow tangy rice; rice; lemon</t>
  </si>
  <si>
    <t xml:space="preserve">https://commons.wikimedia.org/w/index.php?search=Lemon+Rice+food&amp;title=Special:MediaSearch&amp;type=image</t>
  </si>
  <si>
    <t xml:space="preserve">https://thumb.wikimedia.org/wikipedia/commons/thumb/f/f4/Chitranna_and_Payasa.jpg/1280px-Chitranna_and_Payasa.jpg</t>
  </si>
  <si>
    <t xml:space="preserve">Radhikapavan</t>
  </si>
  <si>
    <t xml:space="preserve">D0124</t>
  </si>
  <si>
    <t xml:space="preserve">Puliyodarai</t>
  </si>
  <si>
    <t xml:space="preserve">Tamarind Rice</t>
  </si>
  <si>
    <t xml:space="preserve">sesame oil</t>
  </si>
  <si>
    <t xml:space="preserve">temple prasadam</t>
  </si>
  <si>
    <t xml:space="preserve">tangy brown rice</t>
  </si>
  <si>
    <t xml:space="preserve">Tamil Nadu's tangy, temple-style sour rice</t>
  </si>
  <si>
    <t xml:space="preserve">jaggery; sesame oil; peanuts; tamarind</t>
  </si>
  <si>
    <t xml:space="preserve">https://commons.wikimedia.org/w/index.php?search=Puliyodarai+food&amp;title=Special:MediaSearch&amp;type=image</t>
  </si>
  <si>
    <t xml:space="preserve">https://thumb.wikimedia.org/wikipedia/commons/thumb/d/d4/Pulihara.JPG/1280px-Pulihara.JPG</t>
  </si>
  <si>
    <t xml:space="preserve">CC BY-SA 3.0</t>
  </si>
  <si>
    <t xml:space="preserve">KALX999</t>
  </si>
  <si>
    <t xml:space="preserve">D0125</t>
  </si>
  <si>
    <t xml:space="preserve">Kuzhi Paniyaram</t>
  </si>
  <si>
    <t xml:space="preserve">special pan</t>
  </si>
  <si>
    <t xml:space="preserve">round dumplings</t>
  </si>
  <si>
    <t xml:space="preserve">dimpled pan</t>
  </si>
  <si>
    <t xml:space="preserve">Tamil Nadu's round dumplings made in a dimpled pan</t>
  </si>
  <si>
    <t xml:space="preserve">curry leaves; mustard seeds; dosa batter</t>
  </si>
  <si>
    <t xml:space="preserve">https://commons.wikimedia.org/w/index.php?search=Kuzhi+Paniyaram+food&amp;title=Special:MediaSearch&amp;type=image</t>
  </si>
  <si>
    <t xml:space="preserve">https://thumb.wikimedia.org/wikipedia/commons/thumb/a/a6/Aesthetic_Paniyaram_of_Salem.jpg/1280px-Aesthetic_Paniyaram_of_Salem.jpg</t>
  </si>
  <si>
    <t xml:space="preserve">Thamizhpparithi Maari</t>
  </si>
  <si>
    <t xml:space="preserve">D0126</t>
  </si>
  <si>
    <t xml:space="preserve">Appam</t>
  </si>
  <si>
    <t xml:space="preserve">lacy edges</t>
  </si>
  <si>
    <t xml:space="preserve">bowl-shaped</t>
  </si>
  <si>
    <t xml:space="preserve">lacy pancake</t>
  </si>
  <si>
    <t xml:space="preserve">soft centre</t>
  </si>
  <si>
    <t xml:space="preserve">with stew</t>
  </si>
  <si>
    <t xml:space="preserve">Kerala's bowl-shaped fermented rice pancake</t>
  </si>
  <si>
    <t xml:space="preserve">https://commons.wikimedia.org/w/index.php?search=Appam+food&amp;title=Special:MediaSearch&amp;type=image</t>
  </si>
  <si>
    <t xml:space="preserve">D0127</t>
  </si>
  <si>
    <t xml:space="preserve">Chicken 65</t>
  </si>
  <si>
    <t xml:space="preserve">cornflour</t>
  </si>
  <si>
    <t xml:space="preserve">deep-fried bites</t>
  </si>
  <si>
    <t xml:space="preserve">bar snack</t>
  </si>
  <si>
    <t xml:space="preserve">Chennai</t>
  </si>
  <si>
    <t xml:space="preserve">Chennai's spicy deep-fried chicken bites</t>
  </si>
  <si>
    <t xml:space="preserve">cornflour; chicken</t>
  </si>
  <si>
    <t xml:space="preserve">https://commons.wikimedia.org/w/index.php?search=Chicken+65+food&amp;title=Special:MediaSearch&amp;type=image</t>
  </si>
  <si>
    <t xml:space="preserve">D0130</t>
  </si>
  <si>
    <t xml:space="preserve">Mysore Pak</t>
  </si>
  <si>
    <t xml:space="preserve">ghee-rich fudge</t>
  </si>
  <si>
    <t xml:space="preserve">crumbly</t>
  </si>
  <si>
    <t xml:space="preserve">Karnataka wedding sweet</t>
  </si>
  <si>
    <t xml:space="preserve">A rich, crumbly fudge from a royal Karnataka kitchen</t>
  </si>
  <si>
    <t xml:space="preserve">cardamom; gram flour</t>
  </si>
  <si>
    <t xml:space="preserve">https://commons.wikimedia.org/w/index.php?search=Mysore+Pak+food&amp;title=Special:MediaSearch&amp;type=image</t>
  </si>
  <si>
    <t xml:space="preserve">https://thumb.wikimedia.org/wikipedia/commons/thumb/f/ff/Mysore_pak.jpg/1280px-Mysore_pak.jpg</t>
  </si>
  <si>
    <t xml:space="preserve">Charles Haynes</t>
  </si>
  <si>
    <t xml:space="preserve">D0133</t>
  </si>
  <si>
    <t xml:space="preserve">Murukku</t>
  </si>
  <si>
    <t xml:space="preserve">crunchy spirals</t>
  </si>
  <si>
    <t xml:space="preserve">Diwali snack</t>
  </si>
  <si>
    <t xml:space="preserve">South India's crunchy rice-flour spirals</t>
  </si>
  <si>
    <t xml:space="preserve">sesame; rice flour</t>
  </si>
  <si>
    <t xml:space="preserve">https://commons.wikimedia.org/w/index.php?search=Murukku+food&amp;title=Special:MediaSearch&amp;type=image</t>
  </si>
  <si>
    <t xml:space="preserve">D0135</t>
  </si>
  <si>
    <t xml:space="preserve">Kootu</t>
  </si>
  <si>
    <t xml:space="preserve">mild</t>
  </si>
  <si>
    <t xml:space="preserve">Tamil home cooking</t>
  </si>
  <si>
    <t xml:space="preserve">Tamil Nadu's mild vegetable-lentil stew with coconut</t>
  </si>
  <si>
    <t xml:space="preserve">coconut; moong dal; vegetables</t>
  </si>
  <si>
    <t xml:space="preserve">https://commons.wikimedia.org/w/index.php?search=Kootu+food&amp;title=Special:MediaSearch&amp;type=image</t>
  </si>
  <si>
    <t xml:space="preserve">D0136</t>
  </si>
  <si>
    <t xml:space="preserve">Mutton Chukka</t>
  </si>
  <si>
    <t xml:space="preserve">dry roast</t>
  </si>
  <si>
    <t xml:space="preserve">peppery</t>
  </si>
  <si>
    <t xml:space="preserve">Tamil Nadu's dry, peppery roasted mutton</t>
  </si>
  <si>
    <t xml:space="preserve">curry leaves; fennel; mutton</t>
  </si>
  <si>
    <t xml:space="preserve">https://commons.wikimedia.org/w/index.php?search=Mutton+Chukka+food&amp;title=Special:MediaSearch&amp;type=image</t>
  </si>
  <si>
    <t xml:space="preserve">D0138</t>
  </si>
  <si>
    <t xml:space="preserve">Aviyal</t>
  </si>
  <si>
    <t xml:space="preserve">coconut oil</t>
  </si>
  <si>
    <t xml:space="preserve">thick coconut gravy</t>
  </si>
  <si>
    <t xml:space="preserve">Onam feast</t>
  </si>
  <si>
    <t xml:space="preserve">Kerala's mixed vegetables in coconut and yogurt</t>
  </si>
  <si>
    <t xml:space="preserve">yogurt; coconut oil; coconut; mixed vegetables</t>
  </si>
  <si>
    <t xml:space="preserve">https://commons.wikimedia.org/w/index.php?search=Aviyal+food&amp;title=Special:MediaSearch&amp;type=image</t>
  </si>
  <si>
    <t xml:space="preserve">D0139</t>
  </si>
  <si>
    <t xml:space="preserve">Kerala Sadya</t>
  </si>
  <si>
    <t xml:space="preserve">avial</t>
  </si>
  <si>
    <t xml:space="preserve">Onam</t>
  </si>
  <si>
    <t xml:space="preserve">feast on a leaf</t>
  </si>
  <si>
    <t xml:space="preserve">many dishes</t>
  </si>
  <si>
    <t xml:space="preserve">Kerala's grand vegetarian feast served on a banana leaf</t>
  </si>
  <si>
    <t xml:space="preserve">avial; sambar</t>
  </si>
  <si>
    <t xml:space="preserve">https://commons.wikimedia.org/w/index.php?search=Kerala+Sadya+food&amp;title=Special:MediaSearch&amp;type=image</t>
  </si>
  <si>
    <t xml:space="preserve">D0140</t>
  </si>
  <si>
    <t xml:space="preserve">Puttu</t>
  </si>
  <si>
    <t xml:space="preserve">banana</t>
  </si>
  <si>
    <t xml:space="preserve">kadala curry</t>
  </si>
  <si>
    <t xml:space="preserve">grated coconut</t>
  </si>
  <si>
    <t xml:space="preserve">steamed cylinder</t>
  </si>
  <si>
    <t xml:space="preserve">with chickpea curry</t>
  </si>
  <si>
    <t xml:space="preserve">Kerala's steamed rice-flour and coconut logs</t>
  </si>
  <si>
    <t xml:space="preserve">banana; kadala curry; grated coconut; steamed cylinder; rice flour</t>
  </si>
  <si>
    <t xml:space="preserve">https://commons.wikimedia.org/w/index.php?search=Puttu+food&amp;title=Special:MediaSearch&amp;type=image</t>
  </si>
  <si>
    <t xml:space="preserve">https://thumb.wikimedia.org/wikipedia/commons/thumb/c/ca/Puttu_%28Rice_Flour_steamed_cake%29.jpg/1280px-Puttu_%28Rice_Flour_steamed_cake%29.jpg</t>
  </si>
  <si>
    <t xml:space="preserve">Mathew Jibin</t>
  </si>
  <si>
    <t xml:space="preserve">D0141</t>
  </si>
  <si>
    <t xml:space="preserve">Kadala Curry</t>
  </si>
  <si>
    <t xml:space="preserve">black chickpeas</t>
  </si>
  <si>
    <t xml:space="preserve">black chickpea curry</t>
  </si>
  <si>
    <t xml:space="preserve">Kerala breakfast</t>
  </si>
  <si>
    <t xml:space="preserve">Kerala's black chickpea curry with roasted coconut</t>
  </si>
  <si>
    <t xml:space="preserve">coconut; roasted coconut; black chickpeas; curry leaves</t>
  </si>
  <si>
    <t xml:space="preserve">black chickpea curry; curry leaves</t>
  </si>
  <si>
    <t xml:space="preserve">https://commons.wikimedia.org/w/index.php?search=Kadala+Curry+food&amp;title=Special:MediaSearch&amp;type=image</t>
  </si>
  <si>
    <t xml:space="preserve">D0142</t>
  </si>
  <si>
    <t xml:space="preserve">Idiyappam</t>
  </si>
  <si>
    <t xml:space="preserve">String Hoppers</t>
  </si>
  <si>
    <t xml:space="preserve">stew</t>
  </si>
  <si>
    <t xml:space="preserve">rice flour noodles</t>
  </si>
  <si>
    <t xml:space="preserve">noodle nests</t>
  </si>
  <si>
    <t xml:space="preserve">Kerala's steamed rice-noodle nests</t>
  </si>
  <si>
    <t xml:space="preserve">coconut; rice flour noodles</t>
  </si>
  <si>
    <t xml:space="preserve">https://commons.wikimedia.org/w/index.php?search=Idiyappam+food&amp;title=Special:MediaSearch&amp;type=image</t>
  </si>
  <si>
    <t xml:space="preserve">https://thumb.wikimedia.org/wikipedia/commons/thumb/8/8a/Idiyappam_with_Egg_Masala_Curry.jpg/1280px-Idiyappam_with_Egg_Masala_Curry.jpg</t>
  </si>
  <si>
    <t xml:space="preserve">Viewfinder18</t>
  </si>
  <si>
    <t xml:space="preserve">D0143</t>
  </si>
  <si>
    <t xml:space="preserve">Kerala Fish Curry</t>
  </si>
  <si>
    <t xml:space="preserve">Meen Curry</t>
  </si>
  <si>
    <t xml:space="preserve">kudampuli</t>
  </si>
  <si>
    <t xml:space="preserve">red tangy curry</t>
  </si>
  <si>
    <t xml:space="preserve">Kerala's tangy fish curry soured with kudampuli</t>
  </si>
  <si>
    <t xml:space="preserve">coconut oil; kudampuli; curry leaves; fish</t>
  </si>
  <si>
    <t xml:space="preserve">red tangy curry; curry leaves; fish</t>
  </si>
  <si>
    <t xml:space="preserve">https://commons.wikimedia.org/w/index.php?search=Kerala+Fish+Curry+food&amp;title=Special:MediaSearch&amp;type=image</t>
  </si>
  <si>
    <t xml:space="preserve">D0144</t>
  </si>
  <si>
    <t xml:space="preserve">Karimeen Pollichathu</t>
  </si>
  <si>
    <t xml:space="preserve">shallots</t>
  </si>
  <si>
    <t xml:space="preserve">spice paste</t>
  </si>
  <si>
    <t xml:space="preserve">banana leaf</t>
  </si>
  <si>
    <t xml:space="preserve">pearl spot fish</t>
  </si>
  <si>
    <t xml:space="preserve">wrapped and grilled</t>
  </si>
  <si>
    <t xml:space="preserve">backwaters</t>
  </si>
  <si>
    <t xml:space="preserve">Kerala's spiced pearl-spot fish cooked in banana leaf</t>
  </si>
  <si>
    <t xml:space="preserve">shallots; spice paste; pearl spot fish</t>
  </si>
  <si>
    <t xml:space="preserve">https://commons.wikimedia.org/w/index.php?search=Karimeen+Pollichathu+food&amp;title=Special:MediaSearch&amp;type=image</t>
  </si>
  <si>
    <t xml:space="preserve">D0145</t>
  </si>
  <si>
    <t xml:space="preserve">Kerala Beef Fry</t>
  </si>
  <si>
    <t xml:space="preserve">coconut slices</t>
  </si>
  <si>
    <t xml:space="preserve">beef</t>
  </si>
  <si>
    <t xml:space="preserve">Kerala's dry-roasted beef with coconut slices</t>
  </si>
  <si>
    <t xml:space="preserve">curry leaves; coconut slices; coconut oil; beef</t>
  </si>
  <si>
    <t xml:space="preserve">https://commons.wikimedia.org/w/index.php?search=Kerala+Beef+Fry+food&amp;title=Special:MediaSearch&amp;type=image</t>
  </si>
  <si>
    <t xml:space="preserve">D0146</t>
  </si>
  <si>
    <t xml:space="preserve">Malabar Parotta</t>
  </si>
  <si>
    <t xml:space="preserve">egg</t>
  </si>
  <si>
    <t xml:space="preserve">flaky</t>
  </si>
  <si>
    <t xml:space="preserve">flaky layered flatbread</t>
  </si>
  <si>
    <t xml:space="preserve">with beef fry</t>
  </si>
  <si>
    <t xml:space="preserve">Kerala's flaky, layered flatbread</t>
  </si>
  <si>
    <t xml:space="preserve">https://commons.wikimedia.org/w/index.php?search=Malabar+Parotta+food&amp;title=Special:MediaSearch&amp;type=image</t>
  </si>
  <si>
    <t xml:space="preserve">D0147</t>
  </si>
  <si>
    <t xml:space="preserve">Kerala Stew</t>
  </si>
  <si>
    <t xml:space="preserve">Ishtu</t>
  </si>
  <si>
    <t xml:space="preserve">whole spices</t>
  </si>
  <si>
    <t xml:space="preserve">white coconut stew</t>
  </si>
  <si>
    <t xml:space="preserve">Kerala's mild coconut-milk stew</t>
  </si>
  <si>
    <t xml:space="preserve">potato; coconut milk; whole spices</t>
  </si>
  <si>
    <t xml:space="preserve">https://commons.wikimedia.org/w/index.php?search=Kerala+Stew+food&amp;title=Special:MediaSearch&amp;type=image</t>
  </si>
  <si>
    <t xml:space="preserve">D0148</t>
  </si>
  <si>
    <t xml:space="preserve">Malabar Biryani</t>
  </si>
  <si>
    <t xml:space="preserve">Thalassery Biryani</t>
  </si>
  <si>
    <t xml:space="preserve">fried onion</t>
  </si>
  <si>
    <t xml:space="preserve">kaima rice</t>
  </si>
  <si>
    <t xml:space="preserve">short-grain rice</t>
  </si>
  <si>
    <t xml:space="preserve">Kerala's coastal chicken rice with short-grain kaima rice</t>
  </si>
  <si>
    <t xml:space="preserve">cashew; raisins; fried onion; chicken; kaima rice</t>
  </si>
  <si>
    <t xml:space="preserve">https://commons.wikimedia.org/w/index.php?search=Malabar+Biryani+food&amp;title=Special:MediaSearch&amp;type=image</t>
  </si>
  <si>
    <t xml:space="preserve">D0149</t>
  </si>
  <si>
    <t xml:space="preserve">Unniyappam</t>
  </si>
  <si>
    <t xml:space="preserve">appe pan</t>
  </si>
  <si>
    <t xml:space="preserve">sweet fried dumplings</t>
  </si>
  <si>
    <t xml:space="preserve">temple offering</t>
  </si>
  <si>
    <t xml:space="preserve">Kerala's sweet banana-jaggery fritters</t>
  </si>
  <si>
    <t xml:space="preserve">rice flour; banana; jaggery</t>
  </si>
  <si>
    <t xml:space="preserve">https://commons.wikimedia.org/w/index.php?search=Unniyappam+food&amp;title=Special:MediaSearch&amp;type=image</t>
  </si>
  <si>
    <t xml:space="preserve">https://thumb.wikimedia.org/wikipedia/commons/thumb/3/32/Unniappam_%28%E0%B4%89%E0%B4%A3%E0%B5%8D%E0%B4%A3%E0%B4%BF%E0%B4%85%E0%B4%AA%E0%B5%8D%E0%B4%AA%E0%B4%82%29.jpg/1280px-Unniappam_%28%E0%B4%89%E0%B4%A3%E0%B5%8D%E0%B4%A3%E0%B4%BF%E0%B4%85%E0%B4%AA%E0%B5%8D%E0%B4%AA%E0%B4%82%29.jpg</t>
  </si>
  <si>
    <t xml:space="preserve">Adharsh.M.S</t>
  </si>
  <si>
    <t xml:space="preserve">D0150</t>
  </si>
  <si>
    <t xml:space="preserve">Pazham Pori</t>
  </si>
  <si>
    <t xml:space="preserve">ripe plantain</t>
  </si>
  <si>
    <t xml:space="preserve">banana fritters</t>
  </si>
  <si>
    <t xml:space="preserve">Kerala chai-shop snack</t>
  </si>
  <si>
    <t xml:space="preserve">golden batter</t>
  </si>
  <si>
    <t xml:space="preserve">Kerala's batter-fried ripe plantain</t>
  </si>
  <si>
    <t xml:space="preserve">https://commons.wikimedia.org/w/index.php?search=Pazham+Pori+food&amp;title=Special:MediaSearch&amp;type=image</t>
  </si>
  <si>
    <t xml:space="preserve">D0151</t>
  </si>
  <si>
    <t xml:space="preserve">Ada Pradhaman</t>
  </si>
  <si>
    <t xml:space="preserve">rice flakes</t>
  </si>
  <si>
    <t xml:space="preserve">rice-flake pudding</t>
  </si>
  <si>
    <t xml:space="preserve">Kerala's jaggery-coconut milk pudding with rice flakes</t>
  </si>
  <si>
    <t xml:space="preserve">cashew; coconut milk; jaggery; rice flakes</t>
  </si>
  <si>
    <t xml:space="preserve">https://commons.wikimedia.org/w/index.php?search=Ada+Pradhaman+food&amp;title=Special:MediaSearch&amp;type=image</t>
  </si>
  <si>
    <t xml:space="preserve">D0152</t>
  </si>
  <si>
    <t xml:space="preserve">Palada Payasam</t>
  </si>
  <si>
    <t xml:space="preserve">milk</t>
  </si>
  <si>
    <t xml:space="preserve">pink</t>
  </si>
  <si>
    <t xml:space="preserve">pink milk pudding</t>
  </si>
  <si>
    <t xml:space="preserve">Kerala's pink milk pudding with rice flakes</t>
  </si>
  <si>
    <t xml:space="preserve">cardamom; milk; rice flakes</t>
  </si>
  <si>
    <t xml:space="preserve">https://commons.wikimedia.org/w/index.php?search=Palada+Payasam+food&amp;title=Special:MediaSearch&amp;type=image</t>
  </si>
  <si>
    <t xml:space="preserve">D0154</t>
  </si>
  <si>
    <t xml:space="preserve">Thoran</t>
  </si>
  <si>
    <t xml:space="preserve">cabbage</t>
  </si>
  <si>
    <t xml:space="preserve">dry stir-fry</t>
  </si>
  <si>
    <t xml:space="preserve">Kerala side</t>
  </si>
  <si>
    <t xml:space="preserve">Kerala's dry vegetable stir-fry with coconut</t>
  </si>
  <si>
    <t xml:space="preserve">mustard seeds; curry leaves; cabbage; grated coconut</t>
  </si>
  <si>
    <t xml:space="preserve">https://commons.wikimedia.org/w/index.php?search=Thoran+food&amp;title=Special:MediaSearch&amp;type=image</t>
  </si>
  <si>
    <t xml:space="preserve">D0156</t>
  </si>
  <si>
    <t xml:space="preserve">Kappa and Meen Curry</t>
  </si>
  <si>
    <t xml:space="preserve">boiled</t>
  </si>
  <si>
    <t xml:space="preserve">tapioca</t>
  </si>
  <si>
    <t xml:space="preserve">cassava and fish</t>
  </si>
  <si>
    <t xml:space="preserve">toddy shop</t>
  </si>
  <si>
    <t xml:space="preserve">red fish curry</t>
  </si>
  <si>
    <t xml:space="preserve">Kerala's boiled tapioca with red fish curry</t>
  </si>
  <si>
    <t xml:space="preserve">coconut oil; tapioca; red fish curry</t>
  </si>
  <si>
    <t xml:space="preserve">cassava and fish; red fish curry</t>
  </si>
  <si>
    <t xml:space="preserve">https://commons.wikimedia.org/w/index.php?search=Kappa+and+Meen+Curry+food&amp;title=Special:MediaSearch&amp;type=image</t>
  </si>
  <si>
    <t xml:space="preserve">D0157</t>
  </si>
  <si>
    <t xml:space="preserve">Neer Dosa</t>
  </si>
  <si>
    <t xml:space="preserve">thin</t>
  </si>
  <si>
    <t xml:space="preserve">lacy</t>
  </si>
  <si>
    <t xml:space="preserve">soaked rice</t>
  </si>
  <si>
    <t xml:space="preserve">thin lacy crepe</t>
  </si>
  <si>
    <t xml:space="preserve">Mangalore</t>
  </si>
  <si>
    <t xml:space="preserve">Mangalore's thin, lacy rice crepe</t>
  </si>
  <si>
    <t xml:space="preserve">coconut; soaked rice</t>
  </si>
  <si>
    <t xml:space="preserve">https://commons.wikimedia.org/w/index.php?search=Neer+Dosa+food&amp;title=Special:MediaSearch&amp;type=image</t>
  </si>
  <si>
    <t xml:space="preserve">D0158</t>
  </si>
  <si>
    <t xml:space="preserve">Bisi Bele Bath</t>
  </si>
  <si>
    <t xml:space="preserve">one-pot rice and lentil</t>
  </si>
  <si>
    <t xml:space="preserve">bisi bele bath powder</t>
  </si>
  <si>
    <t xml:space="preserve">Karnataka's spicy rice-lentil-vegetable dish</t>
  </si>
  <si>
    <t xml:space="preserve">tamarind; vegetables; toor dal; bisi bele bath powder</t>
  </si>
  <si>
    <t xml:space="preserve">https://commons.wikimedia.org/w/index.php?search=Bisi+Bele+Bath+food&amp;title=Special:MediaSearch&amp;type=image</t>
  </si>
  <si>
    <t xml:space="preserve">https://thumb.wikimedia.org/wikipedia/commons/thumb/0/04/Bisi_Bele_Bath_%28Bisibelebath%29.JPG/1280px-Bisi_Bele_Bath_%28Bisibelebath%29.JPG</t>
  </si>
  <si>
    <t xml:space="preserve">Food and Remedy, LLC</t>
  </si>
  <si>
    <t xml:space="preserve">D0159</t>
  </si>
  <si>
    <t xml:space="preserve">Ragi Mudde</t>
  </si>
  <si>
    <t xml:space="preserve">soppu saaru</t>
  </si>
  <si>
    <t xml:space="preserve">ball</t>
  </si>
  <si>
    <t xml:space="preserve">finger millet</t>
  </si>
  <si>
    <t xml:space="preserve">millet balls</t>
  </si>
  <si>
    <t xml:space="preserve">swallowed not chewed</t>
  </si>
  <si>
    <t xml:space="preserve">Karnataka's finger-millet balls with greens curry</t>
  </si>
  <si>
    <t xml:space="preserve">soppu saaru; finger millet</t>
  </si>
  <si>
    <t xml:space="preserve">https://commons.wikimedia.org/w/index.php?search=Ragi+Mudde+food&amp;title=Special:MediaSearch&amp;type=image</t>
  </si>
  <si>
    <t xml:space="preserve">D0160</t>
  </si>
  <si>
    <t xml:space="preserve">Mangalorean Fish Curry</t>
  </si>
  <si>
    <t xml:space="preserve">byadgi chilli</t>
  </si>
  <si>
    <t xml:space="preserve">kingfish</t>
  </si>
  <si>
    <t xml:space="preserve">red coconut curry</t>
  </si>
  <si>
    <t xml:space="preserve">Mangalore's red, tangy coconut fish curry</t>
  </si>
  <si>
    <t xml:space="preserve">tamarind; byadgi chilli; coconut; kingfish</t>
  </si>
  <si>
    <t xml:space="preserve">https://commons.wikimedia.org/w/index.php?search=Mangalorean+Fish+Curry+food&amp;title=Special:MediaSearch&amp;type=image</t>
  </si>
  <si>
    <t xml:space="preserve">D0161</t>
  </si>
  <si>
    <t xml:space="preserve">Kori Rotti</t>
  </si>
  <si>
    <t xml:space="preserve">chicken curry</t>
  </si>
  <si>
    <t xml:space="preserve">rice wafers</t>
  </si>
  <si>
    <t xml:space="preserve">Mangalore's chicken curry poured over crisp rice wafers</t>
  </si>
  <si>
    <t xml:space="preserve">byadgi chilli; coconut milk; chicken curry; rice wafers</t>
  </si>
  <si>
    <t xml:space="preserve">https://commons.wikimedia.org/w/index.php?search=Kori+Rotti+food&amp;title=Special:MediaSearch&amp;type=image</t>
  </si>
  <si>
    <t xml:space="preserve">https://thumb.wikimedia.org/wikipedia/commons/thumb/0/0a/Kori_rotti%28with_chicken_ghasi%29.jpg/1280px-Kori_rotti%28with_chicken_ghasi%29.jpg</t>
  </si>
  <si>
    <t xml:space="preserve">Nishalns</t>
  </si>
  <si>
    <t xml:space="preserve">D0164</t>
  </si>
  <si>
    <t xml:space="preserve">Akki Rotti</t>
  </si>
  <si>
    <t xml:space="preserve">rice flatbread</t>
  </si>
  <si>
    <t xml:space="preserve">Karnataka breakfast</t>
  </si>
  <si>
    <t xml:space="preserve">griddle-cooked</t>
  </si>
  <si>
    <t xml:space="preserve">dill and onion</t>
  </si>
  <si>
    <t xml:space="preserve">Karnataka's rice-flour flatbread with coconut</t>
  </si>
  <si>
    <t xml:space="preserve">coconut; rice flour</t>
  </si>
  <si>
    <t xml:space="preserve">https://commons.wikimedia.org/w/index.php?search=Akki+Rotti+food&amp;title=Special:MediaSearch&amp;type=image</t>
  </si>
  <si>
    <t xml:space="preserve">D0165</t>
  </si>
  <si>
    <t xml:space="preserve">Maddur Vada</t>
  </si>
  <si>
    <t xml:space="preserve">crisp fried patty</t>
  </si>
  <si>
    <t xml:space="preserve">train snack</t>
  </si>
  <si>
    <t xml:space="preserve">Maddur</t>
  </si>
  <si>
    <t xml:space="preserve">A crisp, flat semolina fritter sold on Bengaluru-Mysuru trains</t>
  </si>
  <si>
    <t xml:space="preserve">semolina; rice flour</t>
  </si>
  <si>
    <t xml:space="preserve">https://commons.wikimedia.org/w/index.php?search=Maddur+Vada+food&amp;title=Special:MediaSearch&amp;type=image</t>
  </si>
  <si>
    <t xml:space="preserve">https://thumb.wikimedia.org/wikipedia/commons/thumb/c/cc/Maddur_vada_and_Gulab_jamun.jpg/1280px-Maddur_vada_and_Gulab_jamun.jpg</t>
  </si>
  <si>
    <t xml:space="preserve">Apoorva lakshmi</t>
  </si>
  <si>
    <t xml:space="preserve">D0167</t>
  </si>
  <si>
    <t xml:space="preserve">Dharwad Peda</t>
  </si>
  <si>
    <t xml:space="preserve">caramelised</t>
  </si>
  <si>
    <t xml:space="preserve">brown fudge</t>
  </si>
  <si>
    <t xml:space="preserve">sugar-coated</t>
  </si>
  <si>
    <t xml:space="preserve">Karnataka sweet shop</t>
  </si>
  <si>
    <t xml:space="preserve">Dharwad</t>
  </si>
  <si>
    <t xml:space="preserve">Dharwad's caramelised milk sweet</t>
  </si>
  <si>
    <t xml:space="preserve">https://commons.wikimedia.org/w/index.php?search=Dharwad+Peda+food&amp;title=Special:MediaSearch&amp;type=image</t>
  </si>
  <si>
    <t xml:space="preserve">D0168</t>
  </si>
  <si>
    <t xml:space="preserve">Mangalore Buns</t>
  </si>
  <si>
    <t xml:space="preserve">ripe banana</t>
  </si>
  <si>
    <t xml:space="preserve">sweet fried puri</t>
  </si>
  <si>
    <t xml:space="preserve">Mangalore's sweet, fluffy banana puri</t>
  </si>
  <si>
    <t xml:space="preserve">yogurt; ripe banana</t>
  </si>
  <si>
    <t xml:space="preserve">https://commons.wikimedia.org/w/index.php?search=Mangalore+Buns+food&amp;title=Special:MediaSearch&amp;type=image</t>
  </si>
  <si>
    <t xml:space="preserve">D0169</t>
  </si>
  <si>
    <t xml:space="preserve">Coorg Pandi Curry</t>
  </si>
  <si>
    <t xml:space="preserve">kachampuli</t>
  </si>
  <si>
    <t xml:space="preserve">Kodava</t>
  </si>
  <si>
    <t xml:space="preserve">dark pork curry</t>
  </si>
  <si>
    <t xml:space="preserve">coorg vinegar</t>
  </si>
  <si>
    <t xml:space="preserve">Coorg's dark, tangy pork curry</t>
  </si>
  <si>
    <t xml:space="preserve">pork; kachampuli; coorg vinegar</t>
  </si>
  <si>
    <t xml:space="preserve">dark pork curry; coorg vinegar</t>
  </si>
  <si>
    <t xml:space="preserve">https://commons.wikimedia.org/w/index.php?search=Coorg+Pandi+Curry+food&amp;title=Special:MediaSearch&amp;type=image</t>
  </si>
  <si>
    <t xml:space="preserve">D0172</t>
  </si>
  <si>
    <t xml:space="preserve">Hyderabadi Biryani</t>
  </si>
  <si>
    <t xml:space="preserve">kachchi dum</t>
  </si>
  <si>
    <t xml:space="preserve">layered dum rice</t>
  </si>
  <si>
    <t xml:space="preserve">raw meat cooked with rice</t>
  </si>
  <si>
    <t xml:space="preserve">Hyderabad's famous layered rice-and-meat dish</t>
  </si>
  <si>
    <t xml:space="preserve">fried onion; basmati rice; mutton</t>
  </si>
  <si>
    <t xml:space="preserve">https://commons.wikimedia.org/w/index.php?search=Hyderabadi+Biryani+food&amp;title=Special:MediaSearch&amp;type=image</t>
  </si>
  <si>
    <t xml:space="preserve">https://thumb.wikimedia.org/wikipedia/commons/thumb/7/7c/Hyderabadi_Chicken_Biryani.jpg/1280px-Hyderabadi_Chicken_Biryani.jpg</t>
  </si>
  <si>
    <t xml:space="preserve">Garrett Ziegler from New York, United States</t>
  </si>
  <si>
    <t xml:space="preserve">D0173</t>
  </si>
  <si>
    <t xml:space="preserve">Haleem</t>
  </si>
  <si>
    <t xml:space="preserve">wheat</t>
  </si>
  <si>
    <t xml:space="preserve">Ramadan</t>
  </si>
  <si>
    <t xml:space="preserve">slow-cooked porridge</t>
  </si>
  <si>
    <t xml:space="preserve">Hyderabad's slow-cooked wheat, lentil and meat porridge</t>
  </si>
  <si>
    <t xml:space="preserve">fried onion; lentils; wheat; mutton</t>
  </si>
  <si>
    <t xml:space="preserve">https://commons.wikimedia.org/w/index.php?search=Haleem+food&amp;title=Special:MediaSearch&amp;type=image</t>
  </si>
  <si>
    <t xml:space="preserve">https://thumb.wikimedia.org/wikipedia/commons/thumb/0/0f/Pakistani_Haleem_served_with_garnish.jpg/1280px-Pakistani_Haleem_served_with_garnish.jpg</t>
  </si>
  <si>
    <t xml:space="preserve">Halt123halt</t>
  </si>
  <si>
    <t xml:space="preserve">D0174</t>
  </si>
  <si>
    <t xml:space="preserve">Mirchi ka Salan</t>
  </si>
  <si>
    <t xml:space="preserve">long green chillies</t>
  </si>
  <si>
    <t xml:space="preserve">tangy nutty gravy</t>
  </si>
  <si>
    <t xml:space="preserve">biryani side</t>
  </si>
  <si>
    <t xml:space="preserve">Hyderabad</t>
  </si>
  <si>
    <t xml:space="preserve">Hyderabad's chilli curry in a tangy peanut-sesame gravy, served with biryani</t>
  </si>
  <si>
    <t xml:space="preserve">peanuts; coconut; long green chillies</t>
  </si>
  <si>
    <t xml:space="preserve">https://commons.wikimedia.org/w/index.php?search=Mirchi+ka+Salan+food&amp;title=Special:MediaSearch&amp;type=image</t>
  </si>
  <si>
    <t xml:space="preserve">https://thumb.wikimedia.org/wikipedia/commons/thumb/e/e4/Hyderabadi_Hari_Mirchi_Ka_Salan.JPG/1280px-Hyderabadi_Hari_Mirchi_Ka_Salan.JPG</t>
  </si>
  <si>
    <t xml:space="preserve">D0175</t>
  </si>
  <si>
    <t xml:space="preserve">Double ka Meetha</t>
  </si>
  <si>
    <t xml:space="preserve">fried bread</t>
  </si>
  <si>
    <t xml:space="preserve">bread pudding</t>
  </si>
  <si>
    <t xml:space="preserve">wedding dessert</t>
  </si>
  <si>
    <t xml:space="preserve">Hyderabad's fried-bread pudding soaked in saffron milk</t>
  </si>
  <si>
    <t xml:space="preserve">cardamom; milk; fried bread</t>
  </si>
  <si>
    <t xml:space="preserve">https://commons.wikimedia.org/w/index.php?search=Double+ka+Meetha+food&amp;title=Special:MediaSearch&amp;type=image</t>
  </si>
  <si>
    <t xml:space="preserve">https://thumb.wikimedia.org/wikipedia/commons/thumb/7/7d/Double_ka_meetha_with_a_big_spoon.jpg/1280px-Double_ka_meetha_with_a_big_spoon.jpg</t>
  </si>
  <si>
    <t xml:space="preserve">Muzammil</t>
  </si>
  <si>
    <t xml:space="preserve">D0176</t>
  </si>
  <si>
    <t xml:space="preserve">Qubani ka Meetha</t>
  </si>
  <si>
    <t xml:space="preserve">almond</t>
  </si>
  <si>
    <t xml:space="preserve">dried apricots</t>
  </si>
  <si>
    <t xml:space="preserve">stewed fruit</t>
  </si>
  <si>
    <t xml:space="preserve">topped with cream</t>
  </si>
  <si>
    <t xml:space="preserve">Hyderabadi weddings</t>
  </si>
  <si>
    <t xml:space="preserve">Hyderabad's stewed apricot dessert</t>
  </si>
  <si>
    <t xml:space="preserve">cream; almond; dried apricots</t>
  </si>
  <si>
    <t xml:space="preserve">https://commons.wikimedia.org/w/index.php?search=Qubani+ka+Meetha+food&amp;title=Special:MediaSearch&amp;type=image</t>
  </si>
  <si>
    <t xml:space="preserve">D0177</t>
  </si>
  <si>
    <t xml:space="preserve">Pesarattu</t>
  </si>
  <si>
    <t xml:space="preserve">upma</t>
  </si>
  <si>
    <t xml:space="preserve">green gram dosa</t>
  </si>
  <si>
    <t xml:space="preserve">green lentil crepe</t>
  </si>
  <si>
    <t xml:space="preserve">served with upma inside</t>
  </si>
  <si>
    <t xml:space="preserve">ginger-chilli batter</t>
  </si>
  <si>
    <t xml:space="preserve">Andhra breakfast</t>
  </si>
  <si>
    <t xml:space="preserve">Andhra's green moong crepe, often with upma</t>
  </si>
  <si>
    <t xml:space="preserve">upma; green gram dosa</t>
  </si>
  <si>
    <t xml:space="preserve">https://commons.wikimedia.org/w/index.php?search=Pesarattu+food&amp;title=Special:MediaSearch&amp;type=image</t>
  </si>
  <si>
    <t xml:space="preserve">D0178</t>
  </si>
  <si>
    <t xml:space="preserve">Gongura Pachadi</t>
  </si>
  <si>
    <t xml:space="preserve">sorrel leaves</t>
  </si>
  <si>
    <t xml:space="preserve">sour leaf chutney</t>
  </si>
  <si>
    <t xml:space="preserve">Andhra pride</t>
  </si>
  <si>
    <t xml:space="preserve">Andhra's tangy sorrel-leaf relish</t>
  </si>
  <si>
    <t xml:space="preserve">mustard seeds; sesame oil; sorrel leaves</t>
  </si>
  <si>
    <t xml:space="preserve">https://commons.wikimedia.org/w/index.php?search=Gongura+Pachadi+food&amp;title=Special:MediaSearch&amp;type=image</t>
  </si>
  <si>
    <t xml:space="preserve">D0179</t>
  </si>
  <si>
    <t xml:space="preserve">Gongura Mutton</t>
  </si>
  <si>
    <t xml:space="preserve">sour leafy curry</t>
  </si>
  <si>
    <t xml:space="preserve">meat</t>
  </si>
  <si>
    <t xml:space="preserve">Andhra</t>
  </si>
  <si>
    <t xml:space="preserve">Andhra's tangy sorrel-leaf mutton curry</t>
  </si>
  <si>
    <t xml:space="preserve">sorrel leaves; mutton</t>
  </si>
  <si>
    <t xml:space="preserve">https://commons.wikimedia.org/w/index.php?search=Gongura+Mutton+food&amp;title=Special:MediaSearch&amp;type=image</t>
  </si>
  <si>
    <t xml:space="preserve">D0180</t>
  </si>
  <si>
    <t xml:space="preserve">Andhra Chilli Chicken</t>
  </si>
  <si>
    <t xml:space="preserve">fiery green and red</t>
  </si>
  <si>
    <t xml:space="preserve">green chilli</t>
  </si>
  <si>
    <t xml:space="preserve">guntur chilli</t>
  </si>
  <si>
    <t xml:space="preserve">Andhra's fiery chicken fry with Guntur chillies</t>
  </si>
  <si>
    <t xml:space="preserve">curry leaves; chicken; green chilli; guntur chilli</t>
  </si>
  <si>
    <t xml:space="preserve">chicken; green chilli; guntur chilli</t>
  </si>
  <si>
    <t xml:space="preserve">https://commons.wikimedia.org/w/index.php?search=Andhra+Chilli+Chicken+food&amp;title=Special:MediaSearch&amp;type=image</t>
  </si>
  <si>
    <t xml:space="preserve">D0181</t>
  </si>
  <si>
    <t xml:space="preserve">Pulihora</t>
  </si>
  <si>
    <t xml:space="preserve">festival rice</t>
  </si>
  <si>
    <t xml:space="preserve">tangy</t>
  </si>
  <si>
    <t xml:space="preserve">Andhra's tangy tamarind rice for festivals</t>
  </si>
  <si>
    <t xml:space="preserve">rice; peanuts; tamarind</t>
  </si>
  <si>
    <t xml:space="preserve">https://commons.wikimedia.org/w/index.php?search=Pulihora+food&amp;title=Special:MediaSearch&amp;type=image</t>
  </si>
  <si>
    <t xml:space="preserve">D0183</t>
  </si>
  <si>
    <t xml:space="preserve">Gutti Vankaya</t>
  </si>
  <si>
    <t xml:space="preserve">stuffed brinjals</t>
  </si>
  <si>
    <t xml:space="preserve">nutty gravy</t>
  </si>
  <si>
    <t xml:space="preserve">Andhra's brinjals stuffed with a peanut-sesame masala</t>
  </si>
  <si>
    <t xml:space="preserve">sesame; peanuts; coconut; tamarind; stuffed brinjals</t>
  </si>
  <si>
    <t xml:space="preserve">https://commons.wikimedia.org/w/index.php?search=Gutti+Vankaya+food&amp;title=Special:MediaSearch&amp;type=image</t>
  </si>
  <si>
    <t xml:space="preserve">D0189</t>
  </si>
  <si>
    <t xml:space="preserve">Osmania Biscuit</t>
  </si>
  <si>
    <t xml:space="preserve">milk powder</t>
  </si>
  <si>
    <t xml:space="preserve">Irani chai</t>
  </si>
  <si>
    <t xml:space="preserve">tea-time cookie</t>
  </si>
  <si>
    <t xml:space="preserve">salty-sweet</t>
  </si>
  <si>
    <t xml:space="preserve">Hyderabad's salty-sweet butter biscuit dunked in Irani chai</t>
  </si>
  <si>
    <t xml:space="preserve">butter; milk powder; Irani chai</t>
  </si>
  <si>
    <t xml:space="preserve">https://commons.wikimedia.org/w/index.php?search=Osmania+Biscuit+food&amp;title=Special:MediaSearch&amp;type=image</t>
  </si>
  <si>
    <t xml:space="preserve">D0191</t>
  </si>
  <si>
    <t xml:space="preserve">Kosha Mangsho</t>
  </si>
  <si>
    <t xml:space="preserve">mustard oil</t>
  </si>
  <si>
    <t xml:space="preserve">slow-fried dark gravy</t>
  </si>
  <si>
    <t xml:space="preserve">Sunday lunch</t>
  </si>
  <si>
    <t xml:space="preserve">Bengal</t>
  </si>
  <si>
    <t xml:space="preserve">Bengal's slow-cooked, dark, spicy mutton</t>
  </si>
  <si>
    <t xml:space="preserve">potato; mustard oil; mutton</t>
  </si>
  <si>
    <t xml:space="preserve">https://commons.wikimedia.org/w/index.php?search=Kosha+Mangsho+food&amp;title=Special:MediaSearch&amp;type=image</t>
  </si>
  <si>
    <t xml:space="preserve">https://thumb.wikimedia.org/wikipedia/commons/thumb/8/80/Bengali_Mutton_Curry.JPG/1280px-Bengali_Mutton_Curry.JPG</t>
  </si>
  <si>
    <t xml:space="preserve">Kajori.p</t>
  </si>
  <si>
    <t xml:space="preserve">D0192</t>
  </si>
  <si>
    <t xml:space="preserve">Shorshe Ilish</t>
  </si>
  <si>
    <t xml:space="preserve">mustard paste</t>
  </si>
  <si>
    <t xml:space="preserve">hilsa</t>
  </si>
  <si>
    <t xml:space="preserve">pungent mustard sauce</t>
  </si>
  <si>
    <t xml:space="preserve">prized river fish</t>
  </si>
  <si>
    <t xml:space="preserve">Bengal's hilsa in sharp mustard sauce</t>
  </si>
  <si>
    <t xml:space="preserve">mustard oil; mustard paste; hilsa</t>
  </si>
  <si>
    <t xml:space="preserve">https://commons.wikimedia.org/w/index.php?search=Shorshe+Ilish+food&amp;title=Special:MediaSearch&amp;type=image</t>
  </si>
  <si>
    <t xml:space="preserve">D0193</t>
  </si>
  <si>
    <t xml:space="preserve">Macher Jhol</t>
  </si>
  <si>
    <t xml:space="preserve">rohu</t>
  </si>
  <si>
    <t xml:space="preserve">light everyday fish stew</t>
  </si>
  <si>
    <t xml:space="preserve">with rice</t>
  </si>
  <si>
    <t xml:space="preserve">Bengal's light everyday fish curry</t>
  </si>
  <si>
    <t xml:space="preserve">potato; mustard oil; rohu</t>
  </si>
  <si>
    <t xml:space="preserve">https://commons.wikimedia.org/w/index.php?search=Macher+Jhol+food&amp;title=Special:MediaSearch&amp;type=image</t>
  </si>
  <si>
    <t xml:space="preserve">D0194</t>
  </si>
  <si>
    <t xml:space="preserve">Chingri Malai Curry</t>
  </si>
  <si>
    <t xml:space="preserve">prawns</t>
  </si>
  <si>
    <t xml:space="preserve">creamy coconut curry</t>
  </si>
  <si>
    <t xml:space="preserve">jumbo prawns</t>
  </si>
  <si>
    <t xml:space="preserve">Bengali wedding dish</t>
  </si>
  <si>
    <t xml:space="preserve">head-on shellfish</t>
  </si>
  <si>
    <t xml:space="preserve">Bengal's prawns in a creamy coconut gravy</t>
  </si>
  <si>
    <t xml:space="preserve">coconut milk; prawns</t>
  </si>
  <si>
    <t xml:space="preserve">https://commons.wikimedia.org/w/index.php?search=Chingri+Malai+Curry+food&amp;title=Special:MediaSearch&amp;type=image</t>
  </si>
  <si>
    <t xml:space="preserve">https://thumb.wikimedia.org/wikipedia/commons/thumb/d/d5/Gr%C3%B8ntsager_og_tigerrejer_i_r%C3%B8d_karry_%284477230448%29.jpg/1280px-Gr%C3%B8ntsager_og_tigerrejer_i_r%C3%B8d_karry_%284477230448%29.jpg</t>
  </si>
  <si>
    <t xml:space="preserve">cyclonebill from Copenhagen, Denmark</t>
  </si>
  <si>
    <t xml:space="preserve">D0195</t>
  </si>
  <si>
    <t xml:space="preserve">Kolkata Biryani</t>
  </si>
  <si>
    <t xml:space="preserve">with a whole potato</t>
  </si>
  <si>
    <t xml:space="preserve">Awadhi roots</t>
  </si>
  <si>
    <t xml:space="preserve">Kolkata's fragrant layered rice with mutton, potato and egg</t>
  </si>
  <si>
    <t xml:space="preserve">potato; kewra; nutmeg; mutton</t>
  </si>
  <si>
    <t xml:space="preserve">https://commons.wikimedia.org/w/index.php?search=Kolkata+Biryani+food&amp;title=Special:MediaSearch&amp;type=image</t>
  </si>
  <si>
    <t xml:space="preserve">https://thumb.wikimedia.org/wikipedia/commons/thumb/1/1a/Kolkata_mutton_biryani.jpg/1280px-Kolkata_mutton_biryani.jpg</t>
  </si>
  <si>
    <t xml:space="preserve">DeepanjanGhosh</t>
  </si>
  <si>
    <t xml:space="preserve">D0196</t>
  </si>
  <si>
    <t xml:space="preserve">Kathi Roll</t>
  </si>
  <si>
    <t xml:space="preserve">paratha</t>
  </si>
  <si>
    <t xml:space="preserve">chicken tikka</t>
  </si>
  <si>
    <t xml:space="preserve">flatbread wrap</t>
  </si>
  <si>
    <t xml:space="preserve">street roll</t>
  </si>
  <si>
    <t xml:space="preserve">Nizam's</t>
  </si>
  <si>
    <t xml:space="preserve">Kolkata's flatbread wrap with egg and grilled chicken</t>
  </si>
  <si>
    <t xml:space="preserve">egg; paratha; chicken tikka</t>
  </si>
  <si>
    <t xml:space="preserve">https://commons.wikimedia.org/w/index.php?search=Kathi+Roll+food&amp;title=Special:MediaSearch&amp;type=image</t>
  </si>
  <si>
    <t xml:space="preserve">D0197</t>
  </si>
  <si>
    <t xml:space="preserve">Jhalmuri</t>
  </si>
  <si>
    <t xml:space="preserve">sold in paper cones</t>
  </si>
  <si>
    <t xml:space="preserve">Kolkata</t>
  </si>
  <si>
    <t xml:space="preserve">Kolkata's spicy puffed rice tossed in mustard oil</t>
  </si>
  <si>
    <t xml:space="preserve">peanuts; mustard oil; puffed rice</t>
  </si>
  <si>
    <t xml:space="preserve">https://commons.wikimedia.org/w/index.php?search=Jhalmuri+food&amp;title=Special:MediaSearch&amp;type=image</t>
  </si>
  <si>
    <t xml:space="preserve">https://thumb.wikimedia.org/wikipedia/commons/thumb/a/a3/%E0%A6%A2%E0%A6%BE%E0%A6%95%E0%A6%BE%E0%A6%B0_%E0%A6%AB%E0%A7%81%E0%A6%9F%E0%A6%AA%E0%A6%BE%E0%A6%A4%E0%A7%87%E0%A6%B0_%E0%A6%9D%E0%A6%BE%E0%A6%B2%E0%A6%AE%E0%A7%81%E0%A6%A1%E0%A6%BC%E0%A6%BF.jpg/1280px-%E0%A6%A2%E0%A6%BE%E0%A6%95%E0%A6%BE%E0%A6%B0_%E0%A6%AB%E0%A7%81%E0%A6%9F%E0%A6%AA%E0%A6%BE%E0%A6%A4%E0%A7%87%E0%A6%B0_%E0%A6%9D%E0%A6%BE%E0%A6%B2%E0%A6%AE%E0%A7%81%E0%A6%A1%E0%A6%BC%E0%A6%BF.jpg</t>
  </si>
  <si>
    <t xml:space="preserve">Johirpro</t>
  </si>
  <si>
    <t xml:space="preserve">D0198</t>
  </si>
  <si>
    <t xml:space="preserve">Luchi Alur Dom</t>
  </si>
  <si>
    <t xml:space="preserve">deep fried puffed bread</t>
  </si>
  <si>
    <t xml:space="preserve">puffed fried bread</t>
  </si>
  <si>
    <t xml:space="preserve">spicy potato curry</t>
  </si>
  <si>
    <t xml:space="preserve">Bengali Sunday breakfast</t>
  </si>
  <si>
    <t xml:space="preserve">dum-cooked potatoes</t>
  </si>
  <si>
    <t xml:space="preserve">Bengal's puffed fried bread with spicy potato curry</t>
  </si>
  <si>
    <t xml:space="preserve">potato; deep fried puffed bread</t>
  </si>
  <si>
    <t xml:space="preserve">https://commons.wikimedia.org/w/index.php?search=Luchi+Alur+Dom+food&amp;title=Special:MediaSearch&amp;type=image</t>
  </si>
  <si>
    <t xml:space="preserve">D0199</t>
  </si>
  <si>
    <t xml:space="preserve">Shukto</t>
  </si>
  <si>
    <t xml:space="preserve">radhuni</t>
  </si>
  <si>
    <t xml:space="preserve">mustard</t>
  </si>
  <si>
    <t xml:space="preserve">bitter starter</t>
  </si>
  <si>
    <t xml:space="preserve">first course</t>
  </si>
  <si>
    <t xml:space="preserve">Bengal's bitter-sweet mixed vegetable starter</t>
  </si>
  <si>
    <t xml:space="preserve">radhuni; mustard; mixed vegetables</t>
  </si>
  <si>
    <t xml:space="preserve">https://commons.wikimedia.org/w/index.php?search=Shukto+food&amp;title=Special:MediaSearch&amp;type=image</t>
  </si>
  <si>
    <t xml:space="preserve">https://thumb.wikimedia.org/wikipedia/commons/thumb/e/e4/Sukkto.jpg/1280px-Sukkto.jpg</t>
  </si>
  <si>
    <t xml:space="preserve">Soumya Das Gupta photo</t>
  </si>
  <si>
    <t xml:space="preserve">D0200</t>
  </si>
  <si>
    <t xml:space="preserve">Begun Bhaja</t>
  </si>
  <si>
    <t xml:space="preserve">brinjal slices</t>
  </si>
  <si>
    <t xml:space="preserve">fried slices</t>
  </si>
  <si>
    <t xml:space="preserve">Bengal side</t>
  </si>
  <si>
    <t xml:space="preserve">Bengal's crisp pan-fried brinjal slices</t>
  </si>
  <si>
    <t xml:space="preserve">mustard oil; brinjal slices</t>
  </si>
  <si>
    <t xml:space="preserve">https://commons.wikimedia.org/w/index.php?search=Begun+Bhaja+food&amp;title=Special:MediaSearch&amp;type=image</t>
  </si>
  <si>
    <t xml:space="preserve">D0201</t>
  </si>
  <si>
    <t xml:space="preserve">Aloo Posto</t>
  </si>
  <si>
    <t xml:space="preserve">poppy seed paste</t>
  </si>
  <si>
    <t xml:space="preserve">nutty white paste</t>
  </si>
  <si>
    <t xml:space="preserve">Bengal's potatoes in poppy-seed paste</t>
  </si>
  <si>
    <t xml:space="preserve">potato; mustard oil; poppy seed paste</t>
  </si>
  <si>
    <t xml:space="preserve">https://commons.wikimedia.org/w/index.php?search=Aloo+Posto+food&amp;title=Special:MediaSearch&amp;type=image</t>
  </si>
  <si>
    <t xml:space="preserve">D0203</t>
  </si>
  <si>
    <t xml:space="preserve">Mishti Doi</t>
  </si>
  <si>
    <t xml:space="preserve">caramelised sugar</t>
  </si>
  <si>
    <t xml:space="preserve">fermented</t>
  </si>
  <si>
    <t xml:space="preserve">set in earthen pot</t>
  </si>
  <si>
    <t xml:space="preserve">caramel sweet</t>
  </si>
  <si>
    <t xml:space="preserve">Bengal's sweet, caramelised set yogurt</t>
  </si>
  <si>
    <t xml:space="preserve">yogurt; caramelised sugar</t>
  </si>
  <si>
    <t xml:space="preserve">https://commons.wikimedia.org/w/index.php?search=Mishti+Doi+food&amp;title=Special:MediaSearch&amp;type=image</t>
  </si>
  <si>
    <t xml:space="preserve">D0204</t>
  </si>
  <si>
    <t xml:space="preserve">Rasgulla</t>
  </si>
  <si>
    <t xml:space="preserve">Rosogolla</t>
  </si>
  <si>
    <t xml:space="preserve">spongy</t>
  </si>
  <si>
    <t xml:space="preserve">chhena balls</t>
  </si>
  <si>
    <t xml:space="preserve">syrup-soaked spongy balls</t>
  </si>
  <si>
    <t xml:space="preserve">white</t>
  </si>
  <si>
    <t xml:space="preserve">Bengal's spongy cottage-cheese balls in syrup</t>
  </si>
  <si>
    <t xml:space="preserve">cardamom; chhena balls</t>
  </si>
  <si>
    <t xml:space="preserve">https://commons.wikimedia.org/w/index.php?search=Rasgulla+food&amp;title=Special:MediaSearch&amp;type=image</t>
  </si>
  <si>
    <t xml:space="preserve">https://thumb.wikimedia.org/wikipedia/commons/thumb/3/39/Rasgulla.jpg/1280px-Rasgulla.jpg</t>
  </si>
  <si>
    <t xml:space="preserve">HrichikHv</t>
  </si>
  <si>
    <t xml:space="preserve">D0205</t>
  </si>
  <si>
    <t xml:space="preserve">Sandesh</t>
  </si>
  <si>
    <t xml:space="preserve">nolen gur</t>
  </si>
  <si>
    <t xml:space="preserve">chhena</t>
  </si>
  <si>
    <t xml:space="preserve">delicate cheese sweet</t>
  </si>
  <si>
    <t xml:space="preserve">moulded</t>
  </si>
  <si>
    <t xml:space="preserve">Bengal's delicate moulded cottage-cheese sweet</t>
  </si>
  <si>
    <t xml:space="preserve">cardamom; pistachio; nolen gur; chhena</t>
  </si>
  <si>
    <t xml:space="preserve">https://commons.wikimedia.org/w/index.php?search=Sandesh+food&amp;title=Special:MediaSearch&amp;type=image</t>
  </si>
  <si>
    <t xml:space="preserve">D0209</t>
  </si>
  <si>
    <t xml:space="preserve">Fish Fry (Kolkata)</t>
  </si>
  <si>
    <t xml:space="preserve">kasundi</t>
  </si>
  <si>
    <t xml:space="preserve">bhetki</t>
  </si>
  <si>
    <t xml:space="preserve">crumbed fillet</t>
  </si>
  <si>
    <t xml:space="preserve">mustard dip</t>
  </si>
  <si>
    <t xml:space="preserve">Kolkata's crumbed fish cutlet with kasundi</t>
  </si>
  <si>
    <t xml:space="preserve">kasundi; breadcrumbs; bhetki</t>
  </si>
  <si>
    <t xml:space="preserve">https://commons.wikimedia.org/w/index.php?search=Fish+Fry+%28Kolkata%29+food&amp;title=Special:MediaSearch&amp;type=image</t>
  </si>
  <si>
    <t xml:space="preserve">D0210</t>
  </si>
  <si>
    <t xml:space="preserve">Ghugni</t>
  </si>
  <si>
    <t xml:space="preserve">dried yellow peas</t>
  </si>
  <si>
    <t xml:space="preserve">yellow pea curry</t>
  </si>
  <si>
    <t xml:space="preserve">Bengal's spiced dried-pea curry</t>
  </si>
  <si>
    <t xml:space="preserve">tamarind; coconut; dried yellow peas</t>
  </si>
  <si>
    <t xml:space="preserve">https://commons.wikimedia.org/w/index.php?search=Ghugni+food&amp;title=Special:MediaSearch&amp;type=image</t>
  </si>
  <si>
    <t xml:space="preserve">D0214</t>
  </si>
  <si>
    <t xml:space="preserve">Dalma</t>
  </si>
  <si>
    <t xml:space="preserve">pumpkin</t>
  </si>
  <si>
    <t xml:space="preserve">lentils and vegetables</t>
  </si>
  <si>
    <t xml:space="preserve">temple food</t>
  </si>
  <si>
    <t xml:space="preserve">Odisha's lentil-vegetable stew</t>
  </si>
  <si>
    <t xml:space="preserve">raw papaya; pumpkin; toor dal</t>
  </si>
  <si>
    <t xml:space="preserve">https://commons.wikimedia.org/w/index.php?search=Dalma+food&amp;title=Special:MediaSearch&amp;type=image</t>
  </si>
  <si>
    <t xml:space="preserve">D0215</t>
  </si>
  <si>
    <t xml:space="preserve">Pakhala Bhata</t>
  </si>
  <si>
    <t xml:space="preserve">curd</t>
  </si>
  <si>
    <t xml:space="preserve">fermented water</t>
  </si>
  <si>
    <t xml:space="preserve">cooked rice</t>
  </si>
  <si>
    <t xml:space="preserve">water rice</t>
  </si>
  <si>
    <t xml:space="preserve">summer food</t>
  </si>
  <si>
    <t xml:space="preserve">Odisha's fermented water rice eaten in summer</t>
  </si>
  <si>
    <t xml:space="preserve">curd; fermented water; cooked rice</t>
  </si>
  <si>
    <t xml:space="preserve">https://commons.wikimedia.org/w/index.php?search=Pakhala+Bhata+food&amp;title=Special:MediaSearch&amp;type=image</t>
  </si>
  <si>
    <t xml:space="preserve">D0216</t>
  </si>
  <si>
    <t xml:space="preserve">Chhena Poda</t>
  </si>
  <si>
    <t xml:space="preserve">baked</t>
  </si>
  <si>
    <t xml:space="preserve">caramelised crust</t>
  </si>
  <si>
    <t xml:space="preserve">baked cheese cake</t>
  </si>
  <si>
    <t xml:space="preserve">burnt top</t>
  </si>
  <si>
    <t xml:space="preserve">Odisha's baked, caramelised cottage-cheese dessert</t>
  </si>
  <si>
    <t xml:space="preserve">https://commons.wikimedia.org/w/index.php?search=Chhena+Poda+food&amp;title=Special:MediaSearch&amp;type=image</t>
  </si>
  <si>
    <t xml:space="preserve">D0220</t>
  </si>
  <si>
    <t xml:space="preserve">Assam Tenga</t>
  </si>
  <si>
    <t xml:space="preserve">Masor Tenga</t>
  </si>
  <si>
    <t xml:space="preserve">elephant apple</t>
  </si>
  <si>
    <t xml:space="preserve">sour light fish curry</t>
  </si>
  <si>
    <t xml:space="preserve">Assam's light, sour fish curry</t>
  </si>
  <si>
    <t xml:space="preserve">mustard oil; fenugreek; elephant apple; rohu</t>
  </si>
  <si>
    <t xml:space="preserve">https://commons.wikimedia.org/w/index.php?search=Assam+Tenga+food&amp;title=Special:MediaSearch&amp;type=image</t>
  </si>
  <si>
    <t xml:space="preserve">D0222</t>
  </si>
  <si>
    <t xml:space="preserve">Pitha</t>
  </si>
  <si>
    <t xml:space="preserve">Bihu</t>
  </si>
  <si>
    <t xml:space="preserve">rice cakes</t>
  </si>
  <si>
    <t xml:space="preserve">Assam's rice cakes made for Bihu</t>
  </si>
  <si>
    <t xml:space="preserve">jaggery; rice flour</t>
  </si>
  <si>
    <t xml:space="preserve">https://commons.wikimedia.org/w/index.php?search=Pitha+food&amp;title=Special:MediaSearch&amp;type=image</t>
  </si>
  <si>
    <t xml:space="preserve">D0224</t>
  </si>
  <si>
    <t xml:space="preserve">Momos</t>
  </si>
  <si>
    <t xml:space="preserve">spring onion</t>
  </si>
  <si>
    <t xml:space="preserve">dumpling</t>
  </si>
  <si>
    <t xml:space="preserve">spicy red chutney</t>
  </si>
  <si>
    <t xml:space="preserve">hill street food</t>
  </si>
  <si>
    <t xml:space="preserve">Steamed dumplings from the Himalayan hills, now all over India</t>
  </si>
  <si>
    <t xml:space="preserve">spring onion; chicken; dumpling</t>
  </si>
  <si>
    <t xml:space="preserve">Tibet, Nepal and the Indian Himalaya</t>
  </si>
  <si>
    <t xml:space="preserve">https://commons.wikimedia.org/w/index.php?search=Momos+food&amp;title=Special:MediaSearch&amp;type=image</t>
  </si>
  <si>
    <t xml:space="preserve">D0225</t>
  </si>
  <si>
    <t xml:space="preserve">Thukpa</t>
  </si>
  <si>
    <t xml:space="preserve">Tibetan</t>
  </si>
  <si>
    <t xml:space="preserve">noodles</t>
  </si>
  <si>
    <t xml:space="preserve">noodle soup</t>
  </si>
  <si>
    <t xml:space="preserve">Himalayan</t>
  </si>
  <si>
    <t xml:space="preserve">Himalayan noodle soup with vegetables or meat</t>
  </si>
  <si>
    <t xml:space="preserve">vegetables; chicken; noodles</t>
  </si>
  <si>
    <t xml:space="preserve">Tibetan origin, eaten across the Himalaya</t>
  </si>
  <si>
    <t xml:space="preserve">https://commons.wikimedia.org/w/index.php?search=Thukpa+food&amp;title=Special:MediaSearch&amp;type=image</t>
  </si>
  <si>
    <t xml:space="preserve">D0226</t>
  </si>
  <si>
    <t xml:space="preserve">Sel Roti</t>
  </si>
  <si>
    <t xml:space="preserve">ring-shaped</t>
  </si>
  <si>
    <t xml:space="preserve">sweet fried rice bread</t>
  </si>
  <si>
    <t xml:space="preserve">Nepali festival</t>
  </si>
  <si>
    <t xml:space="preserve">A ring of sweet fried rice batter, made for Tihar and Dashain</t>
  </si>
  <si>
    <t xml:space="preserve">cardamom; rice flour</t>
  </si>
  <si>
    <t xml:space="preserve">https://commons.wikimedia.org/w/index.php?search=Sel+Roti+food&amp;title=Special:MediaSearch&amp;type=image</t>
  </si>
  <si>
    <t xml:space="preserve">D0229</t>
  </si>
  <si>
    <t xml:space="preserve">Smoked Pork with Bamboo Shoot</t>
  </si>
  <si>
    <t xml:space="preserve">king chilli</t>
  </si>
  <si>
    <t xml:space="preserve">smoky pork</t>
  </si>
  <si>
    <t xml:space="preserve">fiery chilli</t>
  </si>
  <si>
    <t xml:space="preserve">Naga</t>
  </si>
  <si>
    <t xml:space="preserve">fermented bamboo shoot</t>
  </si>
  <si>
    <t xml:space="preserve">smoked pork</t>
  </si>
  <si>
    <t xml:space="preserve">Nagaland's smoky meat with fermented shoots and fiery king chilli</t>
  </si>
  <si>
    <t xml:space="preserve">king chilli; fermented bamboo shoot; smoked pork</t>
  </si>
  <si>
    <t xml:space="preserve">smoky pork; fermented bamboo shoot; smoked pork</t>
  </si>
  <si>
    <t xml:space="preserve">https://commons.wikimedia.org/w/index.php?search=Smoked+Pork+with+Bamboo+Shoot+food&amp;title=Special:MediaSearch&amp;type=image</t>
  </si>
  <si>
    <t xml:space="preserve">D0235</t>
  </si>
  <si>
    <t xml:space="preserve">Rogan Josh</t>
  </si>
  <si>
    <t xml:space="preserve">dry ginger</t>
  </si>
  <si>
    <t xml:space="preserve">ratan jot</t>
  </si>
  <si>
    <t xml:space="preserve">deep red curry</t>
  </si>
  <si>
    <t xml:space="preserve">Kashmiri Wazwan</t>
  </si>
  <si>
    <t xml:space="preserve">Kashmir's aromatic red lamb curry</t>
  </si>
  <si>
    <t xml:space="preserve">dry ginger; ratan jot; kashmiri chilli; mutton</t>
  </si>
  <si>
    <t xml:space="preserve">https://commons.wikimedia.org/w/index.php?search=Rogan+Josh+food&amp;title=Special:MediaSearch&amp;type=image</t>
  </si>
  <si>
    <t xml:space="preserve">D0236</t>
  </si>
  <si>
    <t xml:space="preserve">Yakhni</t>
  </si>
  <si>
    <t xml:space="preserve">dry mint</t>
  </si>
  <si>
    <t xml:space="preserve">white yogurt curry</t>
  </si>
  <si>
    <t xml:space="preserve">Kashmiri</t>
  </si>
  <si>
    <t xml:space="preserve">Kashmir's mild yogurt-based mutton curry</t>
  </si>
  <si>
    <t xml:space="preserve">yogurt; fennel; dry mint; mutton</t>
  </si>
  <si>
    <t xml:space="preserve">https://commons.wikimedia.org/w/index.php?search=Yakhni+food&amp;title=Special:MediaSearch&amp;type=image</t>
  </si>
  <si>
    <t xml:space="preserve">https://thumb.wikimedia.org/wikipedia/commons/thumb/5/58/%D0%9F%D1%80%D0%B8%D0%BB%D0%B5%D0%BF%D1%81%D0%BA%D0%B0_%D1%98%D0%B0%D0%BD%D0%B8%D1%98%D0%B0_-_%D0%BB%D1%83%D1%82%D0%B0_%D1%98%D0%B0%D0%B2%D0%BD%D0%B8%D1%98%D0%B0_%28cropped%29.jpg/1280px-%D0%9F%D1%80%D0%B8%D0%BB%D0%B5%D0%BF%D1%81%D0%BA%D0%B0_%D1%98%D0%B0%D0%BD%D0%B8%D1%98%D0%B0_-_%D0%BB%D1%83%D1%82%D0%B0_%D1%98%D0%B0%D0%B2%D0%BD%D0%B8%D1%98%D0%B0_%28cropped%29.jpg</t>
  </si>
  <si>
    <t xml:space="preserve">CC BY 4.0</t>
  </si>
  <si>
    <t xml:space="preserve">АннаМариа (original image); derived version by Off-shell</t>
  </si>
  <si>
    <t xml:space="preserve">D0237</t>
  </si>
  <si>
    <t xml:space="preserve">Gushtaba</t>
  </si>
  <si>
    <t xml:space="preserve">pounded mutton balls</t>
  </si>
  <si>
    <t xml:space="preserve">Wazwan</t>
  </si>
  <si>
    <t xml:space="preserve">meatballs in yogurt</t>
  </si>
  <si>
    <t xml:space="preserve">final course of a Wazwan feast</t>
  </si>
  <si>
    <t xml:space="preserve">Kashmir's velvety pounded-meat balls in yogurt gravy</t>
  </si>
  <si>
    <t xml:space="preserve">yogurt; mint; pounded mutton balls</t>
  </si>
  <si>
    <t xml:space="preserve">https://commons.wikimedia.org/w/index.php?search=Gushtaba+food&amp;title=Special:MediaSearch&amp;type=image</t>
  </si>
  <si>
    <t xml:space="preserve">D0239</t>
  </si>
  <si>
    <t xml:space="preserve">Dum Aloo (Kashmiri)</t>
  </si>
  <si>
    <t xml:space="preserve">baby potatoes</t>
  </si>
  <si>
    <t xml:space="preserve">small potatoes</t>
  </si>
  <si>
    <t xml:space="preserve">red gravy</t>
  </si>
  <si>
    <t xml:space="preserve">Kashmir's fried baby potatoes in a red yogurt gravy</t>
  </si>
  <si>
    <t xml:space="preserve">fennel; dry ginger; baby potatoes; kashmiri chilli</t>
  </si>
  <si>
    <t xml:space="preserve">https://commons.wikimedia.org/w/index.php?search=Dum+Aloo+%28Kashmiri%29+food&amp;title=Special:MediaSearch&amp;type=image</t>
  </si>
  <si>
    <t xml:space="preserve">D0242</t>
  </si>
  <si>
    <t xml:space="preserve">Siddu</t>
  </si>
  <si>
    <t xml:space="preserve">poppy seeds</t>
  </si>
  <si>
    <t xml:space="preserve">walnuts</t>
  </si>
  <si>
    <t xml:space="preserve">steamed wheat bread</t>
  </si>
  <si>
    <t xml:space="preserve">steamed stuffed bread</t>
  </si>
  <si>
    <t xml:space="preserve">Himachal</t>
  </si>
  <si>
    <t xml:space="preserve">Himachal's steamed, stuffed wheat bread</t>
  </si>
  <si>
    <t xml:space="preserve">poppy seeds; walnuts; steamed wheat bread</t>
  </si>
  <si>
    <t xml:space="preserve">https://commons.wikimedia.org/w/index.php?search=Siddu+food&amp;title=Special:MediaSearch&amp;type=image</t>
  </si>
  <si>
    <t xml:space="preserve">D0244</t>
  </si>
  <si>
    <t xml:space="preserve">Madra</t>
  </si>
  <si>
    <t xml:space="preserve">cloves</t>
  </si>
  <si>
    <t xml:space="preserve">yogurt curry</t>
  </si>
  <si>
    <t xml:space="preserve">Himachali feast</t>
  </si>
  <si>
    <t xml:space="preserve">Chamba</t>
  </si>
  <si>
    <t xml:space="preserve">Himachal's chickpeas cooked in yogurt</t>
  </si>
  <si>
    <t xml:space="preserve">cloves; yogurt; chickpeas</t>
  </si>
  <si>
    <t xml:space="preserve">https://commons.wikimedia.org/w/index.php?search=Madra+food&amp;title=Special:MediaSearch&amp;type=image</t>
  </si>
  <si>
    <t xml:space="preserve">D0246</t>
  </si>
  <si>
    <t xml:space="preserve">Bal Mithai</t>
  </si>
  <si>
    <t xml:space="preserve">sugar balls</t>
  </si>
  <si>
    <t xml:space="preserve">roasted khoya</t>
  </si>
  <si>
    <t xml:space="preserve">white sugar coating</t>
  </si>
  <si>
    <t xml:space="preserve">Almora</t>
  </si>
  <si>
    <t xml:space="preserve">Almora's brown fudge rolled in sugar balls</t>
  </si>
  <si>
    <t xml:space="preserve">sugar balls; roasted khoya; brown fudge</t>
  </si>
  <si>
    <t xml:space="preserve">https://commons.wikimedia.org/w/index.php?search=Bal+Mithai+food&amp;title=Special:MediaSearch&amp;type=image</t>
  </si>
  <si>
    <t xml:space="preserve">D0249</t>
  </si>
  <si>
    <t xml:space="preserve">Indori Poha</t>
  </si>
  <si>
    <t xml:space="preserve">jeeravan</t>
  </si>
  <si>
    <t xml:space="preserve">Indore breakfast</t>
  </si>
  <si>
    <t xml:space="preserve">topped with sev</t>
  </si>
  <si>
    <t xml:space="preserve">Indore's sweet-tangy flattened rice with sev</t>
  </si>
  <si>
    <t xml:space="preserve">pomegranate; sev; jeeravan; flattened rice</t>
  </si>
  <si>
    <t xml:space="preserve">https://commons.wikimedia.org/w/index.php?search=Indori+Poha+food&amp;title=Special:MediaSearch&amp;type=image</t>
  </si>
  <si>
    <t xml:space="preserve">https://thumb.wikimedia.org/wikipedia/commons/thumb/6/68/Indori_Poha%2C_New_Delhi.jpg/1280px-Indori_Poha%2C_New_Delhi.jpg</t>
  </si>
  <si>
    <t xml:space="preserve">Kxnyshk</t>
  </si>
  <si>
    <t xml:space="preserve">D0251</t>
  </si>
  <si>
    <t xml:space="preserve">Dal Bafla</t>
  </si>
  <si>
    <t xml:space="preserve">boiled then baked</t>
  </si>
  <si>
    <t xml:space="preserve">whole wheat dough</t>
  </si>
  <si>
    <t xml:space="preserve">dough balls</t>
  </si>
  <si>
    <t xml:space="preserve">Malwa region</t>
  </si>
  <si>
    <t xml:space="preserve">Madhya Pradesh's boiled-and-baked dough balls with dal</t>
  </si>
  <si>
    <t xml:space="preserve">lentils; whole wheat dough</t>
  </si>
  <si>
    <t xml:space="preserve">https://commons.wikimedia.org/w/index.php?search=Dal+Bafla+food&amp;title=Special:MediaSearch&amp;type=image</t>
  </si>
  <si>
    <t xml:space="preserve">D0254</t>
  </si>
  <si>
    <t xml:space="preserve">Chila</t>
  </si>
  <si>
    <t xml:space="preserve">pancake</t>
  </si>
  <si>
    <t xml:space="preserve">savoury pancake</t>
  </si>
  <si>
    <t xml:space="preserve">rice batter</t>
  </si>
  <si>
    <t xml:space="preserve">tomato chutney</t>
  </si>
  <si>
    <t xml:space="preserve">Chhattisgarh's rice-flour pancake</t>
  </si>
  <si>
    <t xml:space="preserve">pancake; rice flour</t>
  </si>
  <si>
    <t xml:space="preserve">https://commons.wikimedia.org/w/index.php?search=Chila+food&amp;title=Special:MediaSearch&amp;type=image</t>
  </si>
  <si>
    <t xml:space="preserve">D0256</t>
  </si>
  <si>
    <t xml:space="preserve">Khichdi</t>
  </si>
  <si>
    <t xml:space="preserve">one-pot rice and lentils</t>
  </si>
  <si>
    <t xml:space="preserve">comfort food</t>
  </si>
  <si>
    <t xml:space="preserve">sick-day meal</t>
  </si>
  <si>
    <t xml:space="preserve">India's comforting rice-and-lentil porridge</t>
  </si>
  <si>
    <t xml:space="preserve">rice; moong dal</t>
  </si>
  <si>
    <t xml:space="preserve">https://commons.wikimedia.org/w/index.php?search=Khichdi+food&amp;title=Special:MediaSearch&amp;type=image</t>
  </si>
  <si>
    <t xml:space="preserve">D0257</t>
  </si>
  <si>
    <t xml:space="preserve">Jeera Rice</t>
  </si>
  <si>
    <t xml:space="preserve">bay leaf</t>
  </si>
  <si>
    <t xml:space="preserve">fragrant rice</t>
  </si>
  <si>
    <t xml:space="preserve">tempered with seeds</t>
  </si>
  <si>
    <t xml:space="preserve">cumin seeds</t>
  </si>
  <si>
    <t xml:space="preserve">served with dal</t>
  </si>
  <si>
    <t xml:space="preserve">Basmati rice tempered with whole seeds in ghee</t>
  </si>
  <si>
    <t xml:space="preserve">bay leaf; basmati rice</t>
  </si>
  <si>
    <t xml:space="preserve">fragrant rice; basmati rice</t>
  </si>
  <si>
    <t xml:space="preserve">https://commons.wikimedia.org/w/index.php?search=Jeera+Rice+food&amp;title=Special:MediaSearch&amp;type=image</t>
  </si>
  <si>
    <t xml:space="preserve">D0258</t>
  </si>
  <si>
    <t xml:space="preserve">Veg Pulao</t>
  </si>
  <si>
    <t xml:space="preserve">carrot</t>
  </si>
  <si>
    <t xml:space="preserve">peas</t>
  </si>
  <si>
    <t xml:space="preserve">mixed vegetable rice</t>
  </si>
  <si>
    <t xml:space="preserve">one-pot</t>
  </si>
  <si>
    <t xml:space="preserve">Fragrant rice cooked with vegetables and whole spices</t>
  </si>
  <si>
    <t xml:space="preserve">carrot; peas; whole spices; basmati rice</t>
  </si>
  <si>
    <t xml:space="preserve">https://commons.wikimedia.org/w/index.php?search=Veg+Pulao+food&amp;title=Special:MediaSearch&amp;type=image</t>
  </si>
  <si>
    <t xml:space="preserve">D0259</t>
  </si>
  <si>
    <t xml:space="preserve">Aloo Gobi</t>
  </si>
  <si>
    <t xml:space="preserve">cauliflower</t>
  </si>
  <si>
    <t xml:space="preserve">dry home-style sabzi</t>
  </si>
  <si>
    <t xml:space="preserve">turmeric yellow</t>
  </si>
  <si>
    <t xml:space="preserve">florets and cubes</t>
  </si>
  <si>
    <t xml:space="preserve">served with roti</t>
  </si>
  <si>
    <t xml:space="preserve">Dry curry of potatoes and cauliflower</t>
  </si>
  <si>
    <t xml:space="preserve">potato; cauliflower</t>
  </si>
  <si>
    <t xml:space="preserve">https://commons.wikimedia.org/w/index.php?search=Aloo+Gobi+food&amp;title=Special:MediaSearch&amp;type=image</t>
  </si>
  <si>
    <t xml:space="preserve">D0260</t>
  </si>
  <si>
    <t xml:space="preserve">Bhindi Masala</t>
  </si>
  <si>
    <t xml:space="preserve">okra</t>
  </si>
  <si>
    <t xml:space="preserve">dry sabzi</t>
  </si>
  <si>
    <t xml:space="preserve">slimy if overcooked</t>
  </si>
  <si>
    <t xml:space="preserve">Spiced stir-fried okra</t>
  </si>
  <si>
    <t xml:space="preserve">tomato; dried mango powder; okra</t>
  </si>
  <si>
    <t xml:space="preserve">https://commons.wikimedia.org/w/index.php?search=Bhindi+Masala+food&amp;title=Special:MediaSearch&amp;type=image</t>
  </si>
  <si>
    <t xml:space="preserve">D0261</t>
  </si>
  <si>
    <t xml:space="preserve">Baingan Bharta</t>
  </si>
  <si>
    <t xml:space="preserve">smoked brinjal</t>
  </si>
  <si>
    <t xml:space="preserve">smoky mashed vegetable</t>
  </si>
  <si>
    <t xml:space="preserve">charred on flame</t>
  </si>
  <si>
    <t xml:space="preserve">Smoky, mashed fire-roasted brinjal</t>
  </si>
  <si>
    <t xml:space="preserve">tomato; mustard oil; smoked brinjal</t>
  </si>
  <si>
    <t xml:space="preserve">https://commons.wikimedia.org/w/index.php?search=Baingan+Bharta+food&amp;title=Special:MediaSearch&amp;type=image</t>
  </si>
  <si>
    <t xml:space="preserve">https://thumb.wikimedia.org/wikipedia/commons/thumb/4/4d/Baigan_Bharta_from_Nagpur.JPG/1280px-Baigan_Bharta_from_Nagpur.JPG</t>
  </si>
  <si>
    <t xml:space="preserve">D0262</t>
  </si>
  <si>
    <t xml:space="preserve">Palak Paneer</t>
  </si>
  <si>
    <t xml:space="preserve">spinach</t>
  </si>
  <si>
    <t xml:space="preserve">green gravy</t>
  </si>
  <si>
    <t xml:space="preserve">white cubes</t>
  </si>
  <si>
    <t xml:space="preserve">Cottage cheese in a creamy spinach purée</t>
  </si>
  <si>
    <t xml:space="preserve">cream; spinach; paneer</t>
  </si>
  <si>
    <t xml:space="preserve">https://commons.wikimedia.org/w/index.php?search=Palak+Paneer+food&amp;title=Special:MediaSearch&amp;type=image</t>
  </si>
  <si>
    <t xml:space="preserve">https://thumb.wikimedia.org/wikipedia/commons/thumb/b/b7/Palakpaneer_Rayagada_Odisha_0009.jpg/1280px-Palakpaneer_Rayagada_Odisha_0009.jpg</t>
  </si>
  <si>
    <t xml:space="preserve">Lopanayak</t>
  </si>
  <si>
    <t xml:space="preserve">D0263</t>
  </si>
  <si>
    <t xml:space="preserve">Matar Paneer</t>
  </si>
  <si>
    <t xml:space="preserve">peas and cheese curry</t>
  </si>
  <si>
    <t xml:space="preserve">North Indian restaurant curry</t>
  </si>
  <si>
    <t xml:space="preserve">Punjabi</t>
  </si>
  <si>
    <t xml:space="preserve">Cottage cheese and green peas in tomato gravy</t>
  </si>
  <si>
    <t xml:space="preserve">tomato; green peas; paneer</t>
  </si>
  <si>
    <t xml:space="preserve">https://commons.wikimedia.org/w/index.php?search=Matar+Paneer+food&amp;title=Special:MediaSearch&amp;type=image</t>
  </si>
  <si>
    <t xml:space="preserve">https://thumb.wikimedia.org/wikipedia/commons/thumb/9/92/Matar_paneer_dish.jpg/1280px-Matar_paneer_dish.jpg</t>
  </si>
  <si>
    <t xml:space="preserve">CNEcija12345</t>
  </si>
  <si>
    <t xml:space="preserve">D0264</t>
  </si>
  <si>
    <t xml:space="preserve">Chana Masala</t>
  </si>
  <si>
    <t xml:space="preserve">tangy chickpea curry</t>
  </si>
  <si>
    <t xml:space="preserve">served with rice or bhatura</t>
  </si>
  <si>
    <t xml:space="preserve">North India's tangy chickpea curry</t>
  </si>
  <si>
    <t xml:space="preserve">tomato; dried mango powder; chickpeas</t>
  </si>
  <si>
    <t xml:space="preserve">https://commons.wikimedia.org/w/index.php?search=Chana+Masala+food&amp;title=Special:MediaSearch&amp;type=image</t>
  </si>
  <si>
    <t xml:space="preserve">D0265</t>
  </si>
  <si>
    <t xml:space="preserve">Dal Tadka</t>
  </si>
  <si>
    <t xml:space="preserve">yellow lentils</t>
  </si>
  <si>
    <t xml:space="preserve">sizzling tempering</t>
  </si>
  <si>
    <t xml:space="preserve">dhaba staple</t>
  </si>
  <si>
    <t xml:space="preserve">ghee</t>
  </si>
  <si>
    <t xml:space="preserve">garlic tempering</t>
  </si>
  <si>
    <t xml:space="preserve">served with jeera rice</t>
  </si>
  <si>
    <t xml:space="preserve">Yellow lentils finished with a sizzling spice tempering</t>
  </si>
  <si>
    <t xml:space="preserve">yellow lentils; ghee</t>
  </si>
  <si>
    <t xml:space="preserve">https://commons.wikimedia.org/w/index.php?search=Dal+Tadka+food&amp;title=Special:MediaSearch&amp;type=image</t>
  </si>
  <si>
    <t xml:space="preserve">D0267</t>
  </si>
  <si>
    <t xml:space="preserve">Egg Curry</t>
  </si>
  <si>
    <t xml:space="preserve">halved eggs</t>
  </si>
  <si>
    <t xml:space="preserve">onion-tomato masala</t>
  </si>
  <si>
    <t xml:space="preserve">boiled egg</t>
  </si>
  <si>
    <t xml:space="preserve">Boiled eggs in a spicy onion-tomato gravy</t>
  </si>
  <si>
    <t xml:space="preserve">tomato; boiled egg</t>
  </si>
  <si>
    <t xml:space="preserve">https://commons.wikimedia.org/w/index.php?search=Egg+Curry+food&amp;title=Special:MediaSearch&amp;type=image</t>
  </si>
  <si>
    <t xml:space="preserve">D0268</t>
  </si>
  <si>
    <t xml:space="preserve">Mutton Curry</t>
  </si>
  <si>
    <t xml:space="preserve">bone-in meat curry</t>
  </si>
  <si>
    <t xml:space="preserve">Sunday special</t>
  </si>
  <si>
    <t xml:space="preserve">India's everyday bone-in mutton curry</t>
  </si>
  <si>
    <t xml:space="preserve">tomato; potato; mutton</t>
  </si>
  <si>
    <t xml:space="preserve">bone-in meat curry; mutton</t>
  </si>
  <si>
    <t xml:space="preserve">https://commons.wikimedia.org/w/index.php?search=Mutton+Curry+food&amp;title=Special:MediaSearch&amp;type=image</t>
  </si>
  <si>
    <t xml:space="preserve">D0270</t>
  </si>
  <si>
    <t xml:space="preserve">Prawn Curry</t>
  </si>
  <si>
    <t xml:space="preserve">seafood curry</t>
  </si>
  <si>
    <t xml:space="preserve">Prawns in a spiced coconut-tomato gravy</t>
  </si>
  <si>
    <t xml:space="preserve">tomato; coconut; prawns</t>
  </si>
  <si>
    <t xml:space="preserve">https://commons.wikimedia.org/w/index.php?search=Prawn+Curry+food&amp;title=Special:MediaSearch&amp;type=image</t>
  </si>
  <si>
    <t xml:space="preserve">D0271</t>
  </si>
  <si>
    <t xml:space="preserve">Keema Matar</t>
  </si>
  <si>
    <t xml:space="preserve">minced meat with peas</t>
  </si>
  <si>
    <t xml:space="preserve">ground meat</t>
  </si>
  <si>
    <t xml:space="preserve">served with pav or roti</t>
  </si>
  <si>
    <t xml:space="preserve">Spiced minced meat cooked with green peas</t>
  </si>
  <si>
    <t xml:space="preserve">green peas; minced mutton</t>
  </si>
  <si>
    <t xml:space="preserve">https://commons.wikimedia.org/w/index.php?search=Keema+Matar+food&amp;title=Special:MediaSearch&amp;type=image</t>
  </si>
  <si>
    <t xml:space="preserve">https://thumb.wikimedia.org/wikipedia/commons/thumb/2/29/Keema_Matar_%28a_dish_from_India%29.jpg/1280px-Keema_Matar_%28a_dish_from_India%29.jpg</t>
  </si>
  <si>
    <t xml:space="preserve">Cabeza2000</t>
  </si>
  <si>
    <t xml:space="preserve">D0272</t>
  </si>
  <si>
    <t xml:space="preserve">Aloo Matar</t>
  </si>
  <si>
    <t xml:space="preserve">potatoes and peas</t>
  </si>
  <si>
    <t xml:space="preserve">home-style curry</t>
  </si>
  <si>
    <t xml:space="preserve">Potatoes and peas in a light tomato gravy</t>
  </si>
  <si>
    <t xml:space="preserve">tomato; potato; green peas</t>
  </si>
  <si>
    <t xml:space="preserve">https://commons.wikimedia.org/w/index.php?search=Aloo+Matar+food&amp;title=Special:MediaSearch&amp;type=image</t>
  </si>
  <si>
    <t xml:space="preserve">D0274</t>
  </si>
  <si>
    <t xml:space="preserve">Raita</t>
  </si>
  <si>
    <t xml:space="preserve">roasted cumin</t>
  </si>
  <si>
    <t xml:space="preserve">cucumber</t>
  </si>
  <si>
    <t xml:space="preserve">yogurt side dish</t>
  </si>
  <si>
    <t xml:space="preserve">cooling</t>
  </si>
  <si>
    <t xml:space="preserve">Cooling spiced yogurt with cucumber</t>
  </si>
  <si>
    <t xml:space="preserve">yogurt; mint; roasted cumin; cucumber</t>
  </si>
  <si>
    <t xml:space="preserve">https://commons.wikimedia.org/w/index.php?search=Raita+food&amp;title=Special:MediaSearch&amp;type=image</t>
  </si>
  <si>
    <t xml:space="preserve">D0276</t>
  </si>
  <si>
    <t xml:space="preserve">Naan</t>
  </si>
  <si>
    <t xml:space="preserve">leavened flatbread</t>
  </si>
  <si>
    <t xml:space="preserve">clay oven</t>
  </si>
  <si>
    <t xml:space="preserve">teardrop shape</t>
  </si>
  <si>
    <t xml:space="preserve">Soft, leavened tandoor-baked flatbread</t>
  </si>
  <si>
    <t xml:space="preserve">yogurt; butter</t>
  </si>
  <si>
    <t xml:space="preserve">https://commons.wikimedia.org/w/index.php?search=Naan+food&amp;title=Special:MediaSearch&amp;type=image</t>
  </si>
  <si>
    <t xml:space="preserve">D0278</t>
  </si>
  <si>
    <t xml:space="preserve">Puri</t>
  </si>
  <si>
    <t xml:space="preserve">puffed</t>
  </si>
  <si>
    <t xml:space="preserve">small puffed fried bread</t>
  </si>
  <si>
    <t xml:space="preserve">puffed balloon bread</t>
  </si>
  <si>
    <t xml:space="preserve">with aloo sabzi</t>
  </si>
  <si>
    <t xml:space="preserve">festival breakfast</t>
  </si>
  <si>
    <t xml:space="preserve">Small, puffed deep-fried wheat bread</t>
  </si>
  <si>
    <t xml:space="preserve">https://commons.wikimedia.org/w/index.php?search=Puri+food&amp;title=Special:MediaSearch&amp;type=image</t>
  </si>
  <si>
    <t xml:space="preserve">D0279</t>
  </si>
  <si>
    <t xml:space="preserve">Bhatura</t>
  </si>
  <si>
    <t xml:space="preserve">large puffed fried bread</t>
  </si>
  <si>
    <t xml:space="preserve">leavened</t>
  </si>
  <si>
    <t xml:space="preserve">with chole</t>
  </si>
  <si>
    <t xml:space="preserve">Large, fluffy fried bread served with chole</t>
  </si>
  <si>
    <t xml:space="preserve">https://commons.wikimedia.org/w/index.php?search=Bhatura+food&amp;title=Special:MediaSearch&amp;type=image</t>
  </si>
  <si>
    <t xml:space="preserve">D0280</t>
  </si>
  <si>
    <t xml:space="preserve">Lachha Paratha</t>
  </si>
  <si>
    <t xml:space="preserve">circular</t>
  </si>
  <si>
    <t xml:space="preserve">crisp layers</t>
  </si>
  <si>
    <t xml:space="preserve">tandoor or tawa</t>
  </si>
  <si>
    <t xml:space="preserve">Many-layered, flaky wheat flatbread</t>
  </si>
  <si>
    <t xml:space="preserve">https://commons.wikimedia.org/w/index.php?search=Lachha+Paratha+food&amp;title=Special:MediaSearch&amp;type=image</t>
  </si>
  <si>
    <t xml:space="preserve">D0281</t>
  </si>
  <si>
    <t xml:space="preserve">Rumali Roti</t>
  </si>
  <si>
    <t xml:space="preserve">handkerchief-thin</t>
  </si>
  <si>
    <t xml:space="preserve">inverted kadai</t>
  </si>
  <si>
    <t xml:space="preserve">paper-thin flatbread</t>
  </si>
  <si>
    <t xml:space="preserve">tossed in the air</t>
  </si>
  <si>
    <t xml:space="preserve">with kebabs</t>
  </si>
  <si>
    <t xml:space="preserve">Paper-thin flatbread cooked on an upturned wok</t>
  </si>
  <si>
    <t xml:space="preserve">https://commons.wikimedia.org/w/index.php?search=Rumali+Roti+food&amp;title=Special:MediaSearch&amp;type=image</t>
  </si>
  <si>
    <t xml:space="preserve">D0282</t>
  </si>
  <si>
    <t xml:space="preserve">Samosa</t>
  </si>
  <si>
    <t xml:space="preserve">triangular</t>
  </si>
  <si>
    <t xml:space="preserve">spicy filling</t>
  </si>
  <si>
    <t xml:space="preserve">India's fried triangular pastry with spiced potato and peas</t>
  </si>
  <si>
    <t xml:space="preserve">potato; green peas</t>
  </si>
  <si>
    <t xml:space="preserve">Central Asian origin, shared across South Asia</t>
  </si>
  <si>
    <t xml:space="preserve">https://commons.wikimedia.org/w/index.php?search=Samosa+food&amp;title=Special:MediaSearch&amp;type=image</t>
  </si>
  <si>
    <t xml:space="preserve">https://thumb.wikimedia.org/wikipedia/commons/thumb/c/c4/Samosas%2C_snack_food_at_Wikipedia%27s_16th_Birthday_celebration_in_Chittagong_%2801%29.jpg/1280px-Samosas%2C_snack_food_at_Wikipedia%27s_16th_Birthday_celebration_in_Chittagong_%2801%29.jpg</t>
  </si>
  <si>
    <t xml:space="preserve">Moheen Reeyad</t>
  </si>
  <si>
    <t xml:space="preserve">D0283</t>
  </si>
  <si>
    <t xml:space="preserve">Pakora</t>
  </si>
  <si>
    <t xml:space="preserve">Bhajji</t>
  </si>
  <si>
    <t xml:space="preserve">batter-fried fritters</t>
  </si>
  <si>
    <t xml:space="preserve">rainy-day snack</t>
  </si>
  <si>
    <t xml:space="preserve">Vegetables dipped in gram-flour batter and fried</t>
  </si>
  <si>
    <t xml:space="preserve">ajwain; gram flour</t>
  </si>
  <si>
    <t xml:space="preserve">https://commons.wikimedia.org/w/index.php?search=Pakora+food&amp;title=Special:MediaSearch&amp;type=image</t>
  </si>
  <si>
    <t xml:space="preserve">D0285</t>
  </si>
  <si>
    <t xml:space="preserve">Upma</t>
  </si>
  <si>
    <t xml:space="preserve">Savoury semolina porridge with vegetables</t>
  </si>
  <si>
    <t xml:space="preserve">mustard seeds; curry leaves; cashew; semolina</t>
  </si>
  <si>
    <t xml:space="preserve">https://commons.wikimedia.org/w/index.php?search=Upma+food&amp;title=Special:MediaSearch&amp;type=image</t>
  </si>
  <si>
    <t xml:space="preserve">https://thumb.wikimedia.org/wikipedia/commons/thumb/8/86/A_photo_of_Upma.jpg/1280px-A_photo_of_Upma.jpg</t>
  </si>
  <si>
    <t xml:space="preserve">D0286</t>
  </si>
  <si>
    <t xml:space="preserve">Besan Chilla</t>
  </si>
  <si>
    <t xml:space="preserve">savoury</t>
  </si>
  <si>
    <t xml:space="preserve">ajwain-spiced batter</t>
  </si>
  <si>
    <t xml:space="preserve">quick breakfast</t>
  </si>
  <si>
    <t xml:space="preserve">Savoury gram-flour pancake</t>
  </si>
  <si>
    <t xml:space="preserve">https://commons.wikimedia.org/w/index.php?search=Besan+Chilla+food&amp;title=Special:MediaSearch&amp;type=image</t>
  </si>
  <si>
    <t xml:space="preserve">D0287</t>
  </si>
  <si>
    <t xml:space="preserve">Gulab Jamun</t>
  </si>
  <si>
    <t xml:space="preserve">rose water</t>
  </si>
  <si>
    <t xml:space="preserve">khoya balls</t>
  </si>
  <si>
    <t xml:space="preserve">fried dough balls</t>
  </si>
  <si>
    <t xml:space="preserve">Fried milk-solid balls soaked in rose-cardamom syrup</t>
  </si>
  <si>
    <t xml:space="preserve">cardamom; rose water; khoya balls</t>
  </si>
  <si>
    <t xml:space="preserve">Shared across South Asia</t>
  </si>
  <si>
    <t xml:space="preserve">https://commons.wikimedia.org/w/index.php?search=Gulab+Jamun+food&amp;title=Special:MediaSearch&amp;type=image</t>
  </si>
  <si>
    <t xml:space="preserve">D0288</t>
  </si>
  <si>
    <t xml:space="preserve">Rasmalai</t>
  </si>
  <si>
    <t xml:space="preserve">thickened milk</t>
  </si>
  <si>
    <t xml:space="preserve">chhena discs</t>
  </si>
  <si>
    <t xml:space="preserve">soft cheese discs</t>
  </si>
  <si>
    <t xml:space="preserve">saffron milk</t>
  </si>
  <si>
    <t xml:space="preserve">Soft cottage-cheese discs soaked in saffron milk</t>
  </si>
  <si>
    <t xml:space="preserve">saffron; pistachio; thickened milk; chhena discs</t>
  </si>
  <si>
    <t xml:space="preserve">https://commons.wikimedia.org/w/index.php?search=Rasmalai+food&amp;title=Special:MediaSearch&amp;type=image</t>
  </si>
  <si>
    <t xml:space="preserve">https://thumb.wikimedia.org/wikipedia/commons/thumb/a/ae/Ras_Malai_2.JPG/1280px-Ras_Malai_2.JPG</t>
  </si>
  <si>
    <t xml:space="preserve">Shaharbano</t>
  </si>
  <si>
    <t xml:space="preserve">D0289</t>
  </si>
  <si>
    <t xml:space="preserve">Kheer</t>
  </si>
  <si>
    <t xml:space="preserve">rice pudding</t>
  </si>
  <si>
    <t xml:space="preserve">festival dessert</t>
  </si>
  <si>
    <t xml:space="preserve">Indian rice pudding slow-cooked in milk</t>
  </si>
  <si>
    <t xml:space="preserve">cardamom; milk; rice; almond</t>
  </si>
  <si>
    <t xml:space="preserve">https://commons.wikimedia.org/w/index.php?search=Kheer+food&amp;title=Special:MediaSearch&amp;type=image</t>
  </si>
  <si>
    <t xml:space="preserve">https://thumb.wikimedia.org/wikipedia/commons/thumb/4/46/Kheer.jpg/1280px-Kheer.jpg</t>
  </si>
  <si>
    <t xml:space="preserve">stu spivack</t>
  </si>
  <si>
    <t xml:space="preserve">D0290</t>
  </si>
  <si>
    <t xml:space="preserve">Gajar ka Halwa</t>
  </si>
  <si>
    <t xml:space="preserve">grated carrot</t>
  </si>
  <si>
    <t xml:space="preserve">winter dessert</t>
  </si>
  <si>
    <t xml:space="preserve">red-orange</t>
  </si>
  <si>
    <t xml:space="preserve">slow-cooked</t>
  </si>
  <si>
    <t xml:space="preserve">Grated carrot slow-cooked in milk and ghee</t>
  </si>
  <si>
    <t xml:space="preserve">cardamom; milk; grated carrot</t>
  </si>
  <si>
    <t xml:space="preserve">https://commons.wikimedia.org/w/index.php?search=Gajar+ka+Halwa+food&amp;title=Special:MediaSearch&amp;type=image</t>
  </si>
  <si>
    <t xml:space="preserve">D0291</t>
  </si>
  <si>
    <t xml:space="preserve">Sooji Halwa</t>
  </si>
  <si>
    <t xml:space="preserve">ghee-roasted</t>
  </si>
  <si>
    <t xml:space="preserve">Satyanarayan prasad</t>
  </si>
  <si>
    <t xml:space="preserve">Semolina pudding roasted in ghee</t>
  </si>
  <si>
    <t xml:space="preserve">cardamom; semolina</t>
  </si>
  <si>
    <t xml:space="preserve">https://commons.wikimedia.org/w/index.php?search=Sooji+Halwa+food&amp;title=Special:MediaSearch&amp;type=image</t>
  </si>
  <si>
    <t xml:space="preserve">D0292</t>
  </si>
  <si>
    <t xml:space="preserve">Moong Dal Halwa</t>
  </si>
  <si>
    <t xml:space="preserve">lentil pudding</t>
  </si>
  <si>
    <t xml:space="preserve">Rajasthani wedding sweet</t>
  </si>
  <si>
    <t xml:space="preserve">A rich, ghee-heavy lentil pudding</t>
  </si>
  <si>
    <t xml:space="preserve">cardamom; saffron; moong dal</t>
  </si>
  <si>
    <t xml:space="preserve">https://commons.wikimedia.org/w/index.php?search=Moong+Dal+Halwa+food&amp;title=Special:MediaSearch&amp;type=image</t>
  </si>
  <si>
    <t xml:space="preserve">D0293</t>
  </si>
  <si>
    <t xml:space="preserve">Kaju Katli</t>
  </si>
  <si>
    <t xml:space="preserve">silver leaf</t>
  </si>
  <si>
    <t xml:space="preserve">diamond shape</t>
  </si>
  <si>
    <t xml:space="preserve">cashew fudge</t>
  </si>
  <si>
    <t xml:space="preserve">Diwali gift box</t>
  </si>
  <si>
    <t xml:space="preserve">Diamond-shaped cashew fudge with silver leaf</t>
  </si>
  <si>
    <t xml:space="preserve">silver leaf; cashew</t>
  </si>
  <si>
    <t xml:space="preserve">https://commons.wikimedia.org/w/index.php?search=Kaju+Katli+food&amp;title=Special:MediaSearch&amp;type=image</t>
  </si>
  <si>
    <t xml:space="preserve">D0294</t>
  </si>
  <si>
    <t xml:space="preserve">Besan Ladoo</t>
  </si>
  <si>
    <t xml:space="preserve">roasted gram flour</t>
  </si>
  <si>
    <t xml:space="preserve">gram flour balls</t>
  </si>
  <si>
    <t xml:space="preserve">Diwali sweet</t>
  </si>
  <si>
    <t xml:space="preserve">ghee-roasted flour</t>
  </si>
  <si>
    <t xml:space="preserve">round</t>
  </si>
  <si>
    <t xml:space="preserve">Round sweets of ghee-roasted gram flour</t>
  </si>
  <si>
    <t xml:space="preserve">cardamom; roasted gram flour</t>
  </si>
  <si>
    <t xml:space="preserve">https://commons.wikimedia.org/w/index.php?search=Besan+Ladoo+food&amp;title=Special:MediaSearch&amp;type=image</t>
  </si>
  <si>
    <t xml:space="preserve">D0295</t>
  </si>
  <si>
    <t xml:space="preserve">Motichoor Ladoo</t>
  </si>
  <si>
    <t xml:space="preserve">tiny boondi</t>
  </si>
  <si>
    <t xml:space="preserve">tiny pearls</t>
  </si>
  <si>
    <t xml:space="preserve">orange balls</t>
  </si>
  <si>
    <t xml:space="preserve">weddings</t>
  </si>
  <si>
    <t xml:space="preserve">Orange sweet balls made of tiny fried pearls</t>
  </si>
  <si>
    <t xml:space="preserve">cardamom; saffron</t>
  </si>
  <si>
    <t xml:space="preserve">https://commons.wikimedia.org/w/index.php?search=Motichoor+Ladoo+food&amp;title=Special:MediaSearch&amp;type=image</t>
  </si>
  <si>
    <t xml:space="preserve">D0296</t>
  </si>
  <si>
    <t xml:space="preserve">Barfi</t>
  </si>
  <si>
    <t xml:space="preserve">khoya</t>
  </si>
  <si>
    <t xml:space="preserve">milk fudge</t>
  </si>
  <si>
    <t xml:space="preserve">squares</t>
  </si>
  <si>
    <t xml:space="preserve">Dense milk fudge cut into squares</t>
  </si>
  <si>
    <t xml:space="preserve">cardamom; pistachio; khoya</t>
  </si>
  <si>
    <t xml:space="preserve">https://commons.wikimedia.org/w/index.php?search=Barfi+food&amp;title=Special:MediaSearch&amp;type=image</t>
  </si>
  <si>
    <t xml:space="preserve">D0297</t>
  </si>
  <si>
    <t xml:space="preserve">Kalakand</t>
  </si>
  <si>
    <t xml:space="preserve">grainy</t>
  </si>
  <si>
    <t xml:space="preserve">grainy milk cake</t>
  </si>
  <si>
    <t xml:space="preserve">Soft, grainy milk-cheese cake</t>
  </si>
  <si>
    <t xml:space="preserve">cardamom; milk; pistachio</t>
  </si>
  <si>
    <t xml:space="preserve">https://commons.wikimedia.org/w/index.php?search=Kalakand+food&amp;title=Special:MediaSearch&amp;type=image</t>
  </si>
  <si>
    <t xml:space="preserve">D0298</t>
  </si>
  <si>
    <t xml:space="preserve">Imarti</t>
  </si>
  <si>
    <t xml:space="preserve">flower shape</t>
  </si>
  <si>
    <t xml:space="preserve">fried flower spiral</t>
  </si>
  <si>
    <t xml:space="preserve">syrup-soaked</t>
  </si>
  <si>
    <t xml:space="preserve">jalebi's cousin</t>
  </si>
  <si>
    <t xml:space="preserve">Flower-shaped fried lentil spiral in syrup</t>
  </si>
  <si>
    <t xml:space="preserve">saffron; urad dal</t>
  </si>
  <si>
    <t xml:space="preserve">https://commons.wikimedia.org/w/index.php?search=Imarti+food&amp;title=Special:MediaSearch&amp;type=image</t>
  </si>
  <si>
    <t xml:space="preserve">D0299</t>
  </si>
  <si>
    <t xml:space="preserve">Phirni</t>
  </si>
  <si>
    <t xml:space="preserve">ground rice</t>
  </si>
  <si>
    <t xml:space="preserve">clay bowl</t>
  </si>
  <si>
    <t xml:space="preserve">Ground-rice pudding set and served chilled in clay bowls</t>
  </si>
  <si>
    <t xml:space="preserve">cardamom; milk; saffron; ground rice</t>
  </si>
  <si>
    <t xml:space="preserve">https://commons.wikimedia.org/w/index.php?search=Phirni+food&amp;title=Special:MediaSearch&amp;type=image</t>
  </si>
  <si>
    <t xml:space="preserve">https://thumb.wikimedia.org/wikipedia/commons/thumb/7/7a/Firni_Or_Phirni.jpg/1280px-Firni_Or_Phirni.jpg</t>
  </si>
  <si>
    <t xml:space="preserve">Sumit Surai</t>
  </si>
  <si>
    <t xml:space="preserve">D0300</t>
  </si>
  <si>
    <t xml:space="preserve">Seviyan</t>
  </si>
  <si>
    <t xml:space="preserve">dates</t>
  </si>
  <si>
    <t xml:space="preserve">vermicelli</t>
  </si>
  <si>
    <t xml:space="preserve">Eid</t>
  </si>
  <si>
    <t xml:space="preserve">Sweet vermicelli cooked in milk for Eid</t>
  </si>
  <si>
    <t xml:space="preserve">cardamom; milk; dates; vermicelli</t>
  </si>
  <si>
    <t xml:space="preserve">https://commons.wikimedia.org/w/index.php?search=Seviyan+food&amp;title=Special:MediaSearch&amp;type=image</t>
  </si>
  <si>
    <t xml:space="preserve">D0301</t>
  </si>
  <si>
    <t xml:space="preserve">Malpua</t>
  </si>
  <si>
    <t xml:space="preserve">sweet fried pancakes</t>
  </si>
  <si>
    <t xml:space="preserve">Holi</t>
  </si>
  <si>
    <t xml:space="preserve">Sweet fried pancakes dipped in syrup</t>
  </si>
  <si>
    <t xml:space="preserve">milk; fennel; pancake</t>
  </si>
  <si>
    <t xml:space="preserve">https://commons.wikimedia.org/w/index.php?search=Malpua+food&amp;title=Special:MediaSearch&amp;type=image</t>
  </si>
  <si>
    <t xml:space="preserve">https://thumb.wikimedia.org/wikipedia/commons/thumb/c/cc/Malpoa_pitha.jpg/1280px-Malpoa_pitha.jpg</t>
  </si>
  <si>
    <t xml:space="preserve">Ferdous</t>
  </si>
  <si>
    <t xml:space="preserve">D0304</t>
  </si>
  <si>
    <t xml:space="preserve">Rose Falooda</t>
  </si>
  <si>
    <t xml:space="preserve">ice cream</t>
  </si>
  <si>
    <t xml:space="preserve">basil seeds</t>
  </si>
  <si>
    <t xml:space="preserve">layered dessert drink</t>
  </si>
  <si>
    <t xml:space="preserve">tall glass</t>
  </si>
  <si>
    <t xml:space="preserve">rose syrup</t>
  </si>
  <si>
    <t xml:space="preserve">A tall pink milk dessert with vermicelli, basil seeds and ice cream</t>
  </si>
  <si>
    <t xml:space="preserve">ice cream; basil seeds; vermicelli; rose syrup</t>
  </si>
  <si>
    <t xml:space="preserve">https://commons.wikimedia.org/w/index.php?search=Rose+Falooda+food&amp;title=Special:MediaSearch&amp;type=image</t>
  </si>
  <si>
    <t xml:space="preserve">D0305</t>
  </si>
  <si>
    <t xml:space="preserve">Chicken Dum Biryani</t>
  </si>
  <si>
    <t xml:space="preserve">layered and sealed</t>
  </si>
  <si>
    <t xml:space="preserve">slow-steamed</t>
  </si>
  <si>
    <t xml:space="preserve">Chicken and rice layered and slow-cooked in a sealed pot</t>
  </si>
  <si>
    <t xml:space="preserve">saffron; fried onion; basmati rice; chicken</t>
  </si>
  <si>
    <t xml:space="preserve">https://commons.wikimedia.org/w/index.php?search=Chicken+Dum+Biryani+food&amp;title=Special:MediaSearch&amp;type=image</t>
  </si>
  <si>
    <t xml:space="preserve">D0306</t>
  </si>
  <si>
    <t xml:space="preserve">Egg Biryani</t>
  </si>
  <si>
    <t xml:space="preserve">layered rice with eggs</t>
  </si>
  <si>
    <t xml:space="preserve">Layered spiced rice with boiled eggs</t>
  </si>
  <si>
    <t xml:space="preserve">yogurt; mint; fried onion; basmati rice; boiled egg</t>
  </si>
  <si>
    <t xml:space="preserve">https://commons.wikimedia.org/w/index.php?search=Egg+Biryani+food&amp;title=Special:MediaSearch&amp;type=image</t>
  </si>
  <si>
    <t xml:space="preserve">https://thumb.wikimedia.org/wikipedia/commons/thumb/5/5a/%22Hyderabadi_Dum_Biryani%22.jpg/1280px-%22Hyderabadi_Dum_Biryani%22.jpg</t>
  </si>
  <si>
    <t xml:space="preserve">Mahi Tatavarty</t>
  </si>
  <si>
    <t xml:space="preserve">D0307</t>
  </si>
  <si>
    <t xml:space="preserve">Veg Biryani</t>
  </si>
  <si>
    <t xml:space="preserve">layered vegetable rice</t>
  </si>
  <si>
    <t xml:space="preserve">Layered rice with spiced vegetables</t>
  </si>
  <si>
    <t xml:space="preserve">mint; saffron; fried onion; mixed vegetables; basmati rice</t>
  </si>
  <si>
    <t xml:space="preserve">https://commons.wikimedia.org/w/index.php?search=Veg+Biryani+food&amp;title=Special:MediaSearch&amp;type=image</t>
  </si>
  <si>
    <t xml:space="preserve">D0309</t>
  </si>
  <si>
    <t xml:space="preserve">Chicken Korma</t>
  </si>
  <si>
    <t xml:space="preserve">mild nutty curry</t>
  </si>
  <si>
    <t xml:space="preserve">Chicken in a mild yogurt-cashew gravy</t>
  </si>
  <si>
    <t xml:space="preserve">yogurt; cashew; fried onion; chicken</t>
  </si>
  <si>
    <t xml:space="preserve">https://commons.wikimedia.org/w/index.php?search=Chicken+Korma+food&amp;title=Special:MediaSearch&amp;type=image</t>
  </si>
  <si>
    <t xml:space="preserve">D0310</t>
  </si>
  <si>
    <t xml:space="preserve">Chicken Curry</t>
  </si>
  <si>
    <t xml:space="preserve">everyday chicken curry</t>
  </si>
  <si>
    <t xml:space="preserve">bone-in</t>
  </si>
  <si>
    <t xml:space="preserve">India's everyday onion-tomato chicken curry</t>
  </si>
  <si>
    <t xml:space="preserve">tomato; chicken</t>
  </si>
  <si>
    <t xml:space="preserve">everyday chicken curry; chicken</t>
  </si>
  <si>
    <t xml:space="preserve">https://commons.wikimedia.org/w/index.php?search=Chicken+Curry+food&amp;title=Special:MediaSearch&amp;type=image</t>
  </si>
  <si>
    <t xml:space="preserve">D0313</t>
  </si>
  <si>
    <t xml:space="preserve">Hara Bhara Kabab</t>
  </si>
  <si>
    <t xml:space="preserve">green kebab</t>
  </si>
  <si>
    <t xml:space="preserve">vegetarian</t>
  </si>
  <si>
    <t xml:space="preserve">Green spinach-and-pea patties</t>
  </si>
  <si>
    <t xml:space="preserve">potato; peas; cashew; spinach</t>
  </si>
  <si>
    <t xml:space="preserve">https://commons.wikimedia.org/w/index.php?search=Hara+Bhara+Kabab+food&amp;title=Special:MediaSearch&amp;type=image</t>
  </si>
  <si>
    <t xml:space="preserve">D0315</t>
  </si>
  <si>
    <t xml:space="preserve">Chicken Lollipop</t>
  </si>
  <si>
    <t xml:space="preserve">frenched drumsticks</t>
  </si>
  <si>
    <t xml:space="preserve">red</t>
  </si>
  <si>
    <t xml:space="preserve">Indo-Chinese party snack</t>
  </si>
  <si>
    <t xml:space="preserve">frenched chicken wings</t>
  </si>
  <si>
    <t xml:space="preserve">Frenched chicken wings fried and tossed in spicy sauce</t>
  </si>
  <si>
    <t xml:space="preserve">cornflour; frenched chicken wings</t>
  </si>
  <si>
    <t xml:space="preserve">https://commons.wikimedia.org/w/index.php?search=Chicken+Lollipop+food&amp;title=Special:MediaSearch&amp;type=image</t>
  </si>
  <si>
    <t xml:space="preserve">D0316</t>
  </si>
  <si>
    <t xml:space="preserve">Gobi Manchurian</t>
  </si>
  <si>
    <t xml:space="preserve">soy sauce</t>
  </si>
  <si>
    <t xml:space="preserve">Indo-Chinese</t>
  </si>
  <si>
    <t xml:space="preserve">crispy fried florets</t>
  </si>
  <si>
    <t xml:space="preserve">Fried cauliflower tossed in Indo-Chinese sauce</t>
  </si>
  <si>
    <t xml:space="preserve">soy sauce; spring onion; cornflour; cauliflower</t>
  </si>
  <si>
    <t xml:space="preserve">https://commons.wikimedia.org/w/index.php?search=Gobi+Manchurian+food&amp;title=Special:MediaSearch&amp;type=image</t>
  </si>
  <si>
    <t xml:space="preserve">https://thumb.wikimedia.org/wikipedia/commons/thumb/b/bb/Chicken_Manchurian_%28Hyderabad_Style%29_%2811960049916%29.jpg/1280px-Chicken_Manchurian_%28Hyderabad_Style%29_%2811960049916%29.jpg</t>
  </si>
  <si>
    <t xml:space="preserve">Abhinaba Basu from Redmond, United States</t>
  </si>
  <si>
    <t xml:space="preserve">D0317</t>
  </si>
  <si>
    <t xml:space="preserve">Chilli Paneer</t>
  </si>
  <si>
    <t xml:space="preserve">wok-tossed cheese</t>
  </si>
  <si>
    <t xml:space="preserve">Fried cottage cheese tossed with chillies and peppers in soy sauce</t>
  </si>
  <si>
    <t xml:space="preserve">soy sauce; capsicum; cornflour; paneer</t>
  </si>
  <si>
    <t xml:space="preserve">https://commons.wikimedia.org/w/index.php?search=Chilli+Paneer+food&amp;title=Special:MediaSearch&amp;type=image</t>
  </si>
  <si>
    <t xml:space="preserve">D0318</t>
  </si>
  <si>
    <t xml:space="preserve">Hakka Noodles</t>
  </si>
  <si>
    <t xml:space="preserve">wok-tossed</t>
  </si>
  <si>
    <t xml:space="preserve">street-cart favourite</t>
  </si>
  <si>
    <t xml:space="preserve">Indo-Chinese stir-fried noodles with vegetables</t>
  </si>
  <si>
    <t xml:space="preserve">cabbage; capsicum; noodles</t>
  </si>
  <si>
    <t xml:space="preserve">https://commons.wikimedia.org/w/index.php?search=Hakka+Noodles+food&amp;title=Special:MediaSearch&amp;type=image</t>
  </si>
  <si>
    <t xml:space="preserve">D0319</t>
  </si>
  <si>
    <t xml:space="preserve">Veg Manchurian</t>
  </si>
  <si>
    <t xml:space="preserve">vegetable balls</t>
  </si>
  <si>
    <t xml:space="preserve">Fried vegetable balls in a soy-garlic sauce</t>
  </si>
  <si>
    <t xml:space="preserve">soy sauce; carrot; cabbage; vegetable balls</t>
  </si>
  <si>
    <t xml:space="preserve">https://commons.wikimedia.org/w/index.php?search=Veg+Manchurian+food&amp;title=Special:MediaSearch&amp;type=image</t>
  </si>
  <si>
    <t xml:space="preserve">D0320</t>
  </si>
  <si>
    <t xml:space="preserve">Chicken Manchurian</t>
  </si>
  <si>
    <t xml:space="preserve">deep-fried balls</t>
  </si>
  <si>
    <t xml:space="preserve">dark garlicky sauce</t>
  </si>
  <si>
    <t xml:space="preserve">chicken balls</t>
  </si>
  <si>
    <t xml:space="preserve">Indo-Chinese chicken balls in a dark, garlicky sauce</t>
  </si>
  <si>
    <t xml:space="preserve">soy sauce; spring onion; chicken balls</t>
  </si>
  <si>
    <t xml:space="preserve">https://commons.wikimedia.org/w/index.php?search=Chicken+Manchurian+food&amp;title=Special:MediaSearch&amp;type=image</t>
  </si>
  <si>
    <t xml:space="preserve">D0321</t>
  </si>
  <si>
    <t xml:space="preserve">Schezwan Fried Rice</t>
  </si>
  <si>
    <t xml:space="preserve">red and fiery</t>
  </si>
  <si>
    <t xml:space="preserve">schezwan sauce</t>
  </si>
  <si>
    <t xml:space="preserve">Fiery Indo-Chinese fried rice with red chilli sauce</t>
  </si>
  <si>
    <t xml:space="preserve">spring onion; soy sauce; rice; schezwan sauce</t>
  </si>
  <si>
    <t xml:space="preserve">rice; schezwan sauce</t>
  </si>
  <si>
    <t xml:space="preserve">https://commons.wikimedia.org/w/index.php?search=Schezwan+Fried+Rice+food&amp;title=Special:MediaSearch&amp;type=image</t>
  </si>
  <si>
    <t xml:space="preserve">D0322</t>
  </si>
  <si>
    <t xml:space="preserve">Chilli Chicken</t>
  </si>
  <si>
    <t xml:space="preserve">Kolkata Chinese</t>
  </si>
  <si>
    <t xml:space="preserve">Tangra</t>
  </si>
  <si>
    <t xml:space="preserve">Indo-Chinese chicken tossed with green chillies and peppers</t>
  </si>
  <si>
    <t xml:space="preserve">capsicum; chicken; green chilli</t>
  </si>
  <si>
    <t xml:space="preserve">chicken; green chilli</t>
  </si>
  <si>
    <t xml:space="preserve">https://commons.wikimedia.org/w/index.php?search=Chilli+Chicken+food&amp;title=Special:MediaSearch&amp;type=image</t>
  </si>
  <si>
    <t xml:space="preserve">D0325</t>
  </si>
  <si>
    <t xml:space="preserve">Mutton Biryani</t>
  </si>
  <si>
    <t xml:space="preserve">Layered rice and mutton slow-cooked with spices</t>
  </si>
  <si>
    <t xml:space="preserve">mint; saffron; fried onion; basmati rice; mutton</t>
  </si>
  <si>
    <t xml:space="preserve">https://commons.wikimedia.org/w/index.php?search=Mutton+Biryani+food&amp;title=Special:MediaSearch&amp;type=image</t>
  </si>
  <si>
    <t xml:space="preserve">D0326</t>
  </si>
  <si>
    <t xml:space="preserve">Paneer Bhurji</t>
  </si>
  <si>
    <t xml:space="preserve">scrambled cheese</t>
  </si>
  <si>
    <t xml:space="preserve">crumbled cheese</t>
  </si>
  <si>
    <t xml:space="preserve">with paratha</t>
  </si>
  <si>
    <t xml:space="preserve">crumbled paneer</t>
  </si>
  <si>
    <t xml:space="preserve">Crumbled cottage cheese scrambled with spices</t>
  </si>
  <si>
    <t xml:space="preserve">tomato; crumbled paneer</t>
  </si>
  <si>
    <t xml:space="preserve">https://commons.wikimedia.org/w/index.php?search=Paneer+Bhurji+food&amp;title=Special:MediaSearch&amp;type=image</t>
  </si>
  <si>
    <t xml:space="preserve">D0327</t>
  </si>
  <si>
    <t xml:space="preserve">Anda Bhurji</t>
  </si>
  <si>
    <t xml:space="preserve">scrambled eggs</t>
  </si>
  <si>
    <t xml:space="preserve">street cart</t>
  </si>
  <si>
    <t xml:space="preserve">spicy scramble</t>
  </si>
  <si>
    <t xml:space="preserve">buttered pav</t>
  </si>
  <si>
    <t xml:space="preserve">Spicy Indian scrambled eggs with buttered bread</t>
  </si>
  <si>
    <t xml:space="preserve">pav; scrambled eggs</t>
  </si>
  <si>
    <t xml:space="preserve">https://commons.wikimedia.org/w/index.php?search=Anda+Bhurji+food&amp;title=Special:MediaSearch&amp;type=image</t>
  </si>
  <si>
    <t xml:space="preserve">D0328</t>
  </si>
  <si>
    <t xml:space="preserve">Masala Omelette</t>
  </si>
  <si>
    <t xml:space="preserve">spicy breakfast eggs</t>
  </si>
  <si>
    <t xml:space="preserve">chopped vegetables</t>
  </si>
  <si>
    <t xml:space="preserve">green chillies</t>
  </si>
  <si>
    <t xml:space="preserve">onion</t>
  </si>
  <si>
    <t xml:space="preserve">An Indian egg dish with onions, tomato and green chillies</t>
  </si>
  <si>
    <t xml:space="preserve">tomato; egg; onion</t>
  </si>
  <si>
    <t xml:space="preserve">https://commons.wikimedia.org/w/index.php?search=Masala+Omelette+food&amp;title=Special:MediaSearch&amp;type=image</t>
  </si>
  <si>
    <t xml:space="preserve">D0329</t>
  </si>
  <si>
    <t xml:space="preserve">Bread Omelette</t>
  </si>
  <si>
    <t xml:space="preserve">street breakfast</t>
  </si>
  <si>
    <t xml:space="preserve">egg and toast</t>
  </si>
  <si>
    <t xml:space="preserve">Street-style eggs folded in toasted bread</t>
  </si>
  <si>
    <t xml:space="preserve">butter; egg; white bread</t>
  </si>
  <si>
    <t xml:space="preserve">https://commons.wikimedia.org/w/index.php?search=Bread+Omelette+food&amp;title=Special:MediaSearch&amp;type=image</t>
  </si>
  <si>
    <t xml:space="preserve">D0330</t>
  </si>
  <si>
    <t xml:space="preserve">Chana Chaat</t>
  </si>
  <si>
    <t xml:space="preserve">chickpea salad</t>
  </si>
  <si>
    <t xml:space="preserve">Tangy chickpea chaat with onions and tomatoes</t>
  </si>
  <si>
    <t xml:space="preserve">tomato; lemon; chickpeas; chaat masala</t>
  </si>
  <si>
    <t xml:space="preserve">https://commons.wikimedia.org/w/index.php?search=Chana+Chaat+food&amp;title=Special:MediaSearch&amp;type=image</t>
  </si>
  <si>
    <t xml:space="preserve">D0331</t>
  </si>
  <si>
    <t xml:space="preserve">Aloo Chaat</t>
  </si>
  <si>
    <t xml:space="preserve">fried potato cubes</t>
  </si>
  <si>
    <t xml:space="preserve">crisp fried cubes</t>
  </si>
  <si>
    <t xml:space="preserve">Delhi chaat</t>
  </si>
  <si>
    <t xml:space="preserve">Delhi's crisp fried potato cubes with chutney and chaat masala</t>
  </si>
  <si>
    <t xml:space="preserve">lemon; tamarind chutney; fried potato cubes; chaat masala</t>
  </si>
  <si>
    <t xml:space="preserve">Delhi chaat; chaat masala</t>
  </si>
  <si>
    <t xml:space="preserve">https://commons.wikimedia.org/w/index.php?search=Aloo+Chaat+food&amp;title=Special:MediaSearch&amp;type=image</t>
  </si>
  <si>
    <t xml:space="preserve">https://thumb.wikimedia.org/wikipedia/commons/thumb/e/ea/Aloo_Chaat.jpg/1280px-Aloo_Chaat.jpg</t>
  </si>
  <si>
    <t xml:space="preserve">Obaid Raza</t>
  </si>
  <si>
    <t xml:space="preserve">D0335</t>
  </si>
  <si>
    <t xml:space="preserve">Navratan Korma</t>
  </si>
  <si>
    <t xml:space="preserve">pineapple</t>
  </si>
  <si>
    <t xml:space="preserve">nine gems</t>
  </si>
  <si>
    <t xml:space="preserve">mild creamy curry</t>
  </si>
  <si>
    <t xml:space="preserve">A mild, creamy curry of nine vegetables, fruits and nuts</t>
  </si>
  <si>
    <t xml:space="preserve">cashew; pineapple; paneer; mixed vegetables</t>
  </si>
  <si>
    <t xml:space="preserve">https://commons.wikimedia.org/w/index.php?search=Navratan+Korma+food&amp;title=Special:MediaSearch&amp;type=image</t>
  </si>
  <si>
    <t xml:space="preserve">D0341</t>
  </si>
  <si>
    <t xml:space="preserve">Masala Papad</t>
  </si>
  <si>
    <t xml:space="preserve">crisp lentil wafer</t>
  </si>
  <si>
    <t xml:space="preserve">crisp disc topped with salad</t>
  </si>
  <si>
    <t xml:space="preserve">A crisp lentil wafer topped with chopped salad</t>
  </si>
  <si>
    <t xml:space="preserve">tomato; crisp lentil wafer; chaat masala</t>
  </si>
  <si>
    <t xml:space="preserve">https://commons.wikimedia.org/w/index.php?search=Masala+Papad+food&amp;title=Special:MediaSearch&amp;type=image</t>
  </si>
  <si>
    <t xml:space="preserve">D0343</t>
  </si>
  <si>
    <t xml:space="preserve">Mango Pickle</t>
  </si>
  <si>
    <t xml:space="preserve">Aam ka Achar</t>
  </si>
  <si>
    <t xml:space="preserve">sharp and oily</t>
  </si>
  <si>
    <t xml:space="preserve">summer-made</t>
  </si>
  <si>
    <t xml:space="preserve">in a ceramic jar</t>
  </si>
  <si>
    <t xml:space="preserve">raw mango</t>
  </si>
  <si>
    <t xml:space="preserve">India's spicy raw-fruit pickle in mustard oil</t>
  </si>
  <si>
    <t xml:space="preserve">fenugreek; mustard oil; raw mango</t>
  </si>
  <si>
    <t xml:space="preserve">https://commons.wikimedia.org/w/index.php?search=Mango+Pickle+food&amp;title=Special:MediaSearch&amp;type=image</t>
  </si>
  <si>
    <t xml:space="preserve">D0345</t>
  </si>
  <si>
    <t xml:space="preserve">Coconut Chutney</t>
  </si>
  <si>
    <t xml:space="preserve">roasted chana</t>
  </si>
  <si>
    <t xml:space="preserve">white dip</t>
  </si>
  <si>
    <t xml:space="preserve">South India's white dip for idli and dosa</t>
  </si>
  <si>
    <t xml:space="preserve">mustard seeds; curry leaves; roasted chana; coconut</t>
  </si>
  <si>
    <t xml:space="preserve">https://commons.wikimedia.org/w/index.php?search=Coconut+Chutney+food&amp;title=Special:MediaSearch&amp;type=image</t>
  </si>
  <si>
    <t xml:space="preserve">https://thumb.wikimedia.org/wikipedia/commons/thumb/a/a5/Coconut_Chutney_-_Home_Made.JPG/1280px-Coconut_Chutney_-_Home_Made.JPG</t>
  </si>
  <si>
    <t xml:space="preserve">Mailz2kumar</t>
  </si>
  <si>
    <t xml:space="preserve">D0346</t>
  </si>
  <si>
    <t xml:space="preserve">Mint Chutney</t>
  </si>
  <si>
    <t xml:space="preserve">Green Chutney</t>
  </si>
  <si>
    <t xml:space="preserve">with kebabs and samosas</t>
  </si>
  <si>
    <t xml:space="preserve">blended herbs</t>
  </si>
  <si>
    <t xml:space="preserve">sandwich spread</t>
  </si>
  <si>
    <t xml:space="preserve">Fresh dip of blended herbs, served with kebabs and samosas</t>
  </si>
  <si>
    <t xml:space="preserve">lemon; mint</t>
  </si>
  <si>
    <t xml:space="preserve">https://commons.wikimedia.org/w/index.php?search=Mint+Chutney+food&amp;title=Special:MediaSearch&amp;type=image</t>
  </si>
  <si>
    <t xml:space="preserve">D0347</t>
  </si>
  <si>
    <t xml:space="preserve">Tamarind Chutney</t>
  </si>
  <si>
    <t xml:space="preserve">Imli Chutney</t>
  </si>
  <si>
    <t xml:space="preserve">sweet brown chutney</t>
  </si>
  <si>
    <t xml:space="preserve">Sweet-sour brown chutney of dates and a tart pod fruit</t>
  </si>
  <si>
    <t xml:space="preserve">roasted cumin; dates; jaggery; tamarind</t>
  </si>
  <si>
    <t xml:space="preserve">sweet brown chutney; tamarind</t>
  </si>
  <si>
    <t xml:space="preserve">https://commons.wikimedia.org/w/index.php?search=Tamarind+Chutney+food&amp;title=Special:MediaSearch&amp;type=image</t>
  </si>
  <si>
    <t xml:space="preserve">D0349</t>
  </si>
  <si>
    <t xml:space="preserve">Chikki</t>
  </si>
  <si>
    <t xml:space="preserve">brittle</t>
  </si>
  <si>
    <t xml:space="preserve">brittle bar</t>
  </si>
  <si>
    <t xml:space="preserve">Lonavala</t>
  </si>
  <si>
    <t xml:space="preserve">Crunchy peanut-jaggery brittle</t>
  </si>
  <si>
    <t xml:space="preserve">cardamom; jaggery; peanuts</t>
  </si>
  <si>
    <t xml:space="preserve">https://commons.wikimedia.org/w/index.php?search=Chikki+food&amp;title=Special:MediaSearch&amp;type=image</t>
  </si>
  <si>
    <t xml:space="preserve">https://thumb.wikimedia.org/wikipedia/commons/thumb/6/6c/Peanut_Chikki.JPG/1280px-Peanut_Chikki.JPG</t>
  </si>
  <si>
    <t xml:space="preserve">Zeel Patel</t>
  </si>
  <si>
    <t xml:space="preserve">D0350</t>
  </si>
  <si>
    <t xml:space="preserve">Til Ladoo</t>
  </si>
  <si>
    <t xml:space="preserve">Makar Sankranti</t>
  </si>
  <si>
    <t xml:space="preserve">winter sweet</t>
  </si>
  <si>
    <t xml:space="preserve">Sesame-jaggery balls made for Sankranti</t>
  </si>
  <si>
    <t xml:space="preserve">cardamom; peanuts; jaggery; sesame</t>
  </si>
  <si>
    <t xml:space="preserve">https://commons.wikimedia.org/w/index.php?search=Til+Ladoo+food&amp;title=Special:MediaSearch&amp;type=image</t>
  </si>
  <si>
    <t xml:space="preserve">D0352</t>
  </si>
  <si>
    <t xml:space="preserve">Coconut Ladoo</t>
  </si>
  <si>
    <t xml:space="preserve">condensed milk</t>
  </si>
  <si>
    <t xml:space="preserve">white round sweets</t>
  </si>
  <si>
    <t xml:space="preserve">Diwali</t>
  </si>
  <si>
    <t xml:space="preserve">desiccated coconut</t>
  </si>
  <si>
    <t xml:space="preserve">Sweet white balls of grated nut and condensed milk</t>
  </si>
  <si>
    <t xml:space="preserve">cardamom; condensed milk; desiccated coconut</t>
  </si>
  <si>
    <t xml:space="preserve">https://commons.wikimedia.org/w/index.php?search=Coconut+Ladoo+food&amp;title=Special:MediaSearch&amp;type=image</t>
  </si>
  <si>
    <t xml:space="preserve">D0353</t>
  </si>
  <si>
    <t xml:space="preserve">Semiya Payasam</t>
  </si>
  <si>
    <t xml:space="preserve">Kerala's vermicelli milk pudding with cashews</t>
  </si>
  <si>
    <t xml:space="preserve">cardamom; milk; cashew; raisins; vermicelli</t>
  </si>
  <si>
    <t xml:space="preserve">https://commons.wikimedia.org/w/index.php?search=Semiya+Payasam+food&amp;title=Special:MediaSearch&amp;type=image</t>
  </si>
  <si>
    <t xml:space="preserve">D0354</t>
  </si>
  <si>
    <t xml:space="preserve">Kozhukattai</t>
  </si>
  <si>
    <t xml:space="preserve">South Indian</t>
  </si>
  <si>
    <t xml:space="preserve">Tamil Nadu's steamed dumplings with sweet filling</t>
  </si>
  <si>
    <t xml:space="preserve">jaggery; coconut; rice flour</t>
  </si>
  <si>
    <t xml:space="preserve">https://commons.wikimedia.org/w/index.php?search=Kozhukattai+food&amp;title=Special:MediaSearch&amp;type=image</t>
  </si>
  <si>
    <t xml:space="preserve">D0356</t>
  </si>
  <si>
    <t xml:space="preserve">Bonda</t>
  </si>
  <si>
    <t xml:space="preserve">gram flour batter</t>
  </si>
  <si>
    <t xml:space="preserve">fried potato balls</t>
  </si>
  <si>
    <t xml:space="preserve">Karnataka snack</t>
  </si>
  <si>
    <t xml:space="preserve">Spiced potato balls dipped in batter and fried</t>
  </si>
  <si>
    <t xml:space="preserve">curry leaves; potato; gram flour batter</t>
  </si>
  <si>
    <t xml:space="preserve">https://commons.wikimedia.org/w/index.php?search=Bonda+food&amp;title=Special:MediaSearch&amp;type=image</t>
  </si>
  <si>
    <t xml:space="preserve">D0360</t>
  </si>
  <si>
    <t xml:space="preserve">Mughlai Paratha</t>
  </si>
  <si>
    <t xml:space="preserve">minced meat</t>
  </si>
  <si>
    <t xml:space="preserve">stuffed fried bread</t>
  </si>
  <si>
    <t xml:space="preserve">stuffed maida paratha</t>
  </si>
  <si>
    <t xml:space="preserve">Kolkata's egg-and-meat stuffed fried flatbread</t>
  </si>
  <si>
    <t xml:space="preserve">egg; minced meat; stuffed maida paratha</t>
  </si>
  <si>
    <t xml:space="preserve">https://commons.wikimedia.org/w/index.php?search=Mughlai+Paratha+food&amp;title=Special:MediaSearch&amp;type=image</t>
  </si>
  <si>
    <t xml:space="preserve">https://thumb.wikimedia.org/wikipedia/commons/thumb/3/30/Mughlai_Kheema_Paratha.JPG/1280px-Mughlai_Kheema_Paratha.JPG</t>
  </si>
  <si>
    <t xml:space="preserve">Vsigamany</t>
  </si>
  <si>
    <t xml:space="preserve">D0364</t>
  </si>
  <si>
    <t xml:space="preserve">Peking Duck</t>
  </si>
  <si>
    <t xml:space="preserve">China</t>
  </si>
  <si>
    <t xml:space="preserve">Eastern Asia</t>
  </si>
  <si>
    <t xml:space="preserve">hoisin sauce</t>
  </si>
  <si>
    <t xml:space="preserve">thin pancakes</t>
  </si>
  <si>
    <t xml:space="preserve">crisp lacquered skin</t>
  </si>
  <si>
    <t xml:space="preserve">carved at the table</t>
  </si>
  <si>
    <t xml:space="preserve">Beijing</t>
  </si>
  <si>
    <t xml:space="preserve">roast duck</t>
  </si>
  <si>
    <t xml:space="preserve">Beijing's crisp roast duck wrapped in pancakes</t>
  </si>
  <si>
    <t xml:space="preserve">hoisin sauce; thin pancakes; roast duck</t>
  </si>
  <si>
    <t xml:space="preserve">https://commons.wikimedia.org/w/index.php?search=Peking+Duck+food&amp;title=Special:MediaSearch&amp;type=image</t>
  </si>
  <si>
    <t xml:space="preserve">https://thumb.wikimedia.org/wikipedia/commons/thumb/8/81/Peking_Duck%2C_2014_%2802%29.jpg/1280px-Peking_Duck%2C_2014_%2802%29.jpg</t>
  </si>
  <si>
    <t xml:space="preserve">City Foodsters</t>
  </si>
  <si>
    <t xml:space="preserve">D0365</t>
  </si>
  <si>
    <t xml:space="preserve">Kung Pao Chicken</t>
  </si>
  <si>
    <t xml:space="preserve">sichuan pepper</t>
  </si>
  <si>
    <t xml:space="preserve">dried chilli</t>
  </si>
  <si>
    <t xml:space="preserve">spicy stir-fry</t>
  </si>
  <si>
    <t xml:space="preserve">Sichuan's spicy stir-fried chicken with peanuts</t>
  </si>
  <si>
    <t xml:space="preserve">soy sauce; sichuan pepper; dried chilli; peanuts; chicken</t>
  </si>
  <si>
    <t xml:space="preserve">https://commons.wikimedia.org/w/index.php?search=Kung+Pao+Chicken+food&amp;title=Special:MediaSearch&amp;type=image</t>
  </si>
  <si>
    <t xml:space="preserve">https://thumb.wikimedia.org/wikipedia/commons/thumb/c/c2/Kung-pao-shanghai.jpg/1280px-Kung-pao-shanghai.jpg</t>
  </si>
  <si>
    <t xml:space="preserve">Steven G. Johnson</t>
  </si>
  <si>
    <t xml:space="preserve">D0366</t>
  </si>
  <si>
    <t xml:space="preserve">Mapo Tofu</t>
  </si>
  <si>
    <t xml:space="preserve">minced pork</t>
  </si>
  <si>
    <t xml:space="preserve">doubanjiang</t>
  </si>
  <si>
    <t xml:space="preserve">numbing and spicy</t>
  </si>
  <si>
    <t xml:space="preserve">red oil</t>
  </si>
  <si>
    <t xml:space="preserve">silken tofu</t>
  </si>
  <si>
    <t xml:space="preserve">Sichuan's numbing, spicy bean curd with minced pork</t>
  </si>
  <si>
    <t xml:space="preserve">minced pork; sichuan pepper; doubanjiang; silken tofu</t>
  </si>
  <si>
    <t xml:space="preserve">https://commons.wikimedia.org/w/index.php?search=Mapo+Tofu+food&amp;title=Special:MediaSearch&amp;type=image</t>
  </si>
  <si>
    <t xml:space="preserve">https://thumb.wikimedia.org/wikipedia/commons/thumb/8/88/Chen_Mapo_Tofu.jpg/1280px-Chen_Mapo_Tofu.jpg</t>
  </si>
  <si>
    <t xml:space="preserve">ZhengZhou</t>
  </si>
  <si>
    <t xml:space="preserve">D0367</t>
  </si>
  <si>
    <t xml:space="preserve">Xiaolongbao</t>
  </si>
  <si>
    <t xml:space="preserve">Soup Dumplings</t>
  </si>
  <si>
    <t xml:space="preserve">black vinegar</t>
  </si>
  <si>
    <t xml:space="preserve">pleated</t>
  </si>
  <si>
    <t xml:space="preserve">soup-filled dumpling</t>
  </si>
  <si>
    <t xml:space="preserve">Shanghai</t>
  </si>
  <si>
    <t xml:space="preserve">Shanghai's delicate soup-filled dumplings</t>
  </si>
  <si>
    <t xml:space="preserve">black vinegar; pork; soup-filled dumpling</t>
  </si>
  <si>
    <t xml:space="preserve">https://commons.wikimedia.org/w/index.php?search=Xiaolongbao+food&amp;title=Special:MediaSearch&amp;type=image</t>
  </si>
  <si>
    <t xml:space="preserve">https://thumb.wikimedia.org/wikipedia/commons/thumb/3/3a/A_Xiaolongbao_from_The_Modern_Shanghai.jpg/1280px-A_Xiaolongbao_from_The_Modern_Shanghai.jpg</t>
  </si>
  <si>
    <t xml:space="preserve">Peachyeung316</t>
  </si>
  <si>
    <t xml:space="preserve">D0368</t>
  </si>
  <si>
    <t xml:space="preserve">Dim Sum Har Gow</t>
  </si>
  <si>
    <t xml:space="preserve">Har Gow</t>
  </si>
  <si>
    <t xml:space="preserve">bamboo shoot</t>
  </si>
  <si>
    <t xml:space="preserve">wheat starch</t>
  </si>
  <si>
    <t xml:space="preserve">translucent</t>
  </si>
  <si>
    <t xml:space="preserve">shrimp</t>
  </si>
  <si>
    <t xml:space="preserve">Cantonese translucent shrimp dumplings</t>
  </si>
  <si>
    <t xml:space="preserve">bamboo shoot; wheat starch; shrimp</t>
  </si>
  <si>
    <t xml:space="preserve">https://commons.wikimedia.org/w/index.php?search=Dim+Sum+Har+Gow+food&amp;title=Special:MediaSearch&amp;type=image</t>
  </si>
  <si>
    <t xml:space="preserve">https://thumb.wikimedia.org/wikipedia/commons/thumb/9/94/Steamed_prawn_dumplings.jpg/1280px-Steamed_prawn_dumplings.jpg</t>
  </si>
  <si>
    <t xml:space="preserve">Maksym Kozlenko</t>
  </si>
  <si>
    <t xml:space="preserve">D0369</t>
  </si>
  <si>
    <t xml:space="preserve">Siu Mai</t>
  </si>
  <si>
    <t xml:space="preserve">mushroom</t>
  </si>
  <si>
    <t xml:space="preserve">fish roe</t>
  </si>
  <si>
    <t xml:space="preserve">open-topped</t>
  </si>
  <si>
    <t xml:space="preserve">pork dumpling</t>
  </si>
  <si>
    <t xml:space="preserve">Cantonese dim sum</t>
  </si>
  <si>
    <t xml:space="preserve">Cantonese open-topped pork-and-shrimp dumplings</t>
  </si>
  <si>
    <t xml:space="preserve">mushroom; shrimp; fish roe; pork dumpling</t>
  </si>
  <si>
    <t xml:space="preserve">https://commons.wikimedia.org/w/index.php?search=Siu+Mai+food&amp;title=Special:MediaSearch&amp;type=image</t>
  </si>
  <si>
    <t xml:space="preserve">D0370</t>
  </si>
  <si>
    <t xml:space="preserve">Char Siu</t>
  </si>
  <si>
    <t xml:space="preserve">five-spice</t>
  </si>
  <si>
    <t xml:space="preserve">red glaze</t>
  </si>
  <si>
    <t xml:space="preserve">sticky red roast</t>
  </si>
  <si>
    <t xml:space="preserve">Cantonese</t>
  </si>
  <si>
    <t xml:space="preserve">Cantonese sticky, sweet roast pork</t>
  </si>
  <si>
    <t xml:space="preserve">five-spice; hoisin sauce; red glaze; pork</t>
  </si>
  <si>
    <t xml:space="preserve">https://commons.wikimedia.org/w/index.php?search=Char+Siu+food&amp;title=Special:MediaSearch&amp;type=image</t>
  </si>
  <si>
    <t xml:space="preserve">D0371</t>
  </si>
  <si>
    <t xml:space="preserve">Sweet and Sour Pork</t>
  </si>
  <si>
    <t xml:space="preserve">ketchup</t>
  </si>
  <si>
    <t xml:space="preserve">bright sweet-sour sauce</t>
  </si>
  <si>
    <t xml:space="preserve">Cantonese takeaway</t>
  </si>
  <si>
    <t xml:space="preserve">battered pork</t>
  </si>
  <si>
    <t xml:space="preserve">Battered pork in a sweet-sour sauce</t>
  </si>
  <si>
    <t xml:space="preserve">ketchup; pineapple; capsicum; battered pork</t>
  </si>
  <si>
    <t xml:space="preserve">https://commons.wikimedia.org/w/index.php?search=Sweet+and+Sour+Pork+food&amp;title=Special:MediaSearch&amp;type=image</t>
  </si>
  <si>
    <t xml:space="preserve">https://thumb.wikimedia.org/wikipedia/commons/thumb/2/2e/Sweet_and_sour_pork.jpg/1280px-Sweet_and_sour_pork.jpg</t>
  </si>
  <si>
    <t xml:space="preserve">ProjectManhattan</t>
  </si>
  <si>
    <t xml:space="preserve">D0372</t>
  </si>
  <si>
    <t xml:space="preserve">Chow Mein</t>
  </si>
  <si>
    <t xml:space="preserve">bean sprouts</t>
  </si>
  <si>
    <t xml:space="preserve">stir-fried noodles</t>
  </si>
  <si>
    <t xml:space="preserve">takeaway classic</t>
  </si>
  <si>
    <t xml:space="preserve">Chinese stir-fried noodles</t>
  </si>
  <si>
    <t xml:space="preserve">soy sauce; cabbage; bean sprouts; chicken; stir-fried noodles</t>
  </si>
  <si>
    <t xml:space="preserve">https://commons.wikimedia.org/w/index.php?search=Chow+Mein+food&amp;title=Special:MediaSearch&amp;type=image</t>
  </si>
  <si>
    <t xml:space="preserve">https://thumb.wikimedia.org/wikipedia/commons/thumb/a/a6/Homemade_Chow_mein_with_shrimps_and_meat_with_a_choy_and_Choung.jpg/1280px-Homemade_Chow_mein_with_shrimps_and_meat_with_a_choy_and_Choung.jpg</t>
  </si>
  <si>
    <t xml:space="preserve">D0373</t>
  </si>
  <si>
    <t xml:space="preserve">Yangzhou Fried Rice</t>
  </si>
  <si>
    <t xml:space="preserve">char siu</t>
  </si>
  <si>
    <t xml:space="preserve">egg-fried rice</t>
  </si>
  <si>
    <t xml:space="preserve">Chinese classic</t>
  </si>
  <si>
    <t xml:space="preserve">Chinese egg-fried rice with shrimp and roast pork</t>
  </si>
  <si>
    <t xml:space="preserve">peas; char siu; shrimp; rice</t>
  </si>
  <si>
    <t xml:space="preserve">egg-fried rice; rice</t>
  </si>
  <si>
    <t xml:space="preserve">https://commons.wikimedia.org/w/index.php?search=Yangzhou+Fried+Rice+food&amp;title=Special:MediaSearch&amp;type=image</t>
  </si>
  <si>
    <t xml:space="preserve">D0374</t>
  </si>
  <si>
    <t xml:space="preserve">Hot Pot</t>
  </si>
  <si>
    <t xml:space="preserve">sliced beef</t>
  </si>
  <si>
    <t xml:space="preserve">dipping sauce</t>
  </si>
  <si>
    <t xml:space="preserve">bubbling broth</t>
  </si>
  <si>
    <t xml:space="preserve">shared at the table</t>
  </si>
  <si>
    <t xml:space="preserve">A bubbling communal cauldron of spicy broth for cooking meat at the table</t>
  </si>
  <si>
    <t xml:space="preserve">mushroom; sliced beef; sichuan pepper; dipping sauce; bubbling broth</t>
  </si>
  <si>
    <t xml:space="preserve">https://commons.wikimedia.org/w/index.php?search=Hot+Pot+food&amp;title=Special:MediaSearch&amp;type=image</t>
  </si>
  <si>
    <t xml:space="preserve">D0375</t>
  </si>
  <si>
    <t xml:space="preserve">Dan Dan Noodles</t>
  </si>
  <si>
    <t xml:space="preserve">sesame paste</t>
  </si>
  <si>
    <t xml:space="preserve">preserved vegetable</t>
  </si>
  <si>
    <t xml:space="preserve">chilli oil</t>
  </si>
  <si>
    <t xml:space="preserve">Sichuan street noodles</t>
  </si>
  <si>
    <t xml:space="preserve">Sichuan's noodles in spicy sesame-chilli sauce with minced pork</t>
  </si>
  <si>
    <t xml:space="preserve">sesame paste; preserved vegetable; chilli oil; minced pork; noodles</t>
  </si>
  <si>
    <t xml:space="preserve">Sichuan street noodles; noodles</t>
  </si>
  <si>
    <t xml:space="preserve">https://commons.wikimedia.org/w/index.php?search=Dan+Dan+Noodles+food&amp;title=Special:MediaSearch&amp;type=image</t>
  </si>
  <si>
    <t xml:space="preserve">https://thumb.wikimedia.org/wikipedia/commons/thumb/d/d2/Dan-dan_noodles%2C_Shanghai.jpg/1280px-Dan-dan_noodles%2C_Shanghai.jpg</t>
  </si>
  <si>
    <t xml:space="preserve">D0376</t>
  </si>
  <si>
    <t xml:space="preserve">Zhajiangmian</t>
  </si>
  <si>
    <t xml:space="preserve">soybean paste</t>
  </si>
  <si>
    <t xml:space="preserve">wheat noodles</t>
  </si>
  <si>
    <t xml:space="preserve">Beijing noodles</t>
  </si>
  <si>
    <t xml:space="preserve">dark sauce</t>
  </si>
  <si>
    <t xml:space="preserve">Beijing's noodles with a savoury fermented soybean-pork sauce</t>
  </si>
  <si>
    <t xml:space="preserve">minced pork; soybean paste; wheat noodles</t>
  </si>
  <si>
    <t xml:space="preserve">https://commons.wikimedia.org/w/index.php?search=Zhajiangmian+food&amp;title=Special:MediaSearch&amp;type=image</t>
  </si>
  <si>
    <t xml:space="preserve">https://thumb.wikimedia.org/wikipedia/commons/thumb/a/aa/Billyzhajiang1.jpg/1280px-Billyzhajiang1.jpg</t>
  </si>
  <si>
    <t xml:space="preserve">Archon6812</t>
  </si>
  <si>
    <t xml:space="preserve">D0377</t>
  </si>
  <si>
    <t xml:space="preserve">Lanzhou Beef Noodles</t>
  </si>
  <si>
    <t xml:space="preserve">radish</t>
  </si>
  <si>
    <t xml:space="preserve">clear broth</t>
  </si>
  <si>
    <t xml:space="preserve">Muslim noodle shops</t>
  </si>
  <si>
    <t xml:space="preserve">hand-pulled noodles</t>
  </si>
  <si>
    <t xml:space="preserve">Lanzhou's clear beef broth with hand-pulled noodles</t>
  </si>
  <si>
    <t xml:space="preserve">radish; chilli oil; clear broth; beef; hand-pulled noodles</t>
  </si>
  <si>
    <t xml:space="preserve">beef; hand-pulled noodles</t>
  </si>
  <si>
    <t xml:space="preserve">https://commons.wikimedia.org/w/index.php?search=Lanzhou+Beef+Noodles+food&amp;title=Special:MediaSearch&amp;type=image</t>
  </si>
  <si>
    <t xml:space="preserve">D0378</t>
  </si>
  <si>
    <t xml:space="preserve">Twice-Cooked Pork</t>
  </si>
  <si>
    <t xml:space="preserve">leek</t>
  </si>
  <si>
    <t xml:space="preserve">fermented black beans</t>
  </si>
  <si>
    <t xml:space="preserve">boiled then stir-fried</t>
  </si>
  <si>
    <t xml:space="preserve">Sichuan</t>
  </si>
  <si>
    <t xml:space="preserve">pork belly</t>
  </si>
  <si>
    <t xml:space="preserve">Sichuan pork belly boiled, sliced and stir-fried with bean paste</t>
  </si>
  <si>
    <t xml:space="preserve">leek; doubanjiang; fermented black beans; pork belly</t>
  </si>
  <si>
    <t xml:space="preserve">https://commons.wikimedia.org/w/index.php?search=Twice-Cooked+Pork+food&amp;title=Special:MediaSearch&amp;type=image</t>
  </si>
  <si>
    <t xml:space="preserve">D0379</t>
  </si>
  <si>
    <t xml:space="preserve">Fish-Fragrant Aubergine</t>
  </si>
  <si>
    <t xml:space="preserve">Yuxiang Qiezi</t>
  </si>
  <si>
    <t xml:space="preserve">garlicky sweet-sour sauce</t>
  </si>
  <si>
    <t xml:space="preserve">Sichuan's braised eggplant in a sweet, sour and spicy sauce</t>
  </si>
  <si>
    <t xml:space="preserve">vinegar; doubanjiang; aubergine</t>
  </si>
  <si>
    <t xml:space="preserve">https://commons.wikimedia.org/w/index.php?search=Fish-Fragrant+Aubergine+food&amp;title=Special:MediaSearch&amp;type=image</t>
  </si>
  <si>
    <t xml:space="preserve">D0381</t>
  </si>
  <si>
    <t xml:space="preserve">Dongpo Pork</t>
  </si>
  <si>
    <t xml:space="preserve">rock sugar</t>
  </si>
  <si>
    <t xml:space="preserve">shaoxing wine</t>
  </si>
  <si>
    <t xml:space="preserve">braised glossy cubes</t>
  </si>
  <si>
    <t xml:space="preserve">Hangzhou</t>
  </si>
  <si>
    <t xml:space="preserve">named after a poet</t>
  </si>
  <si>
    <t xml:space="preserve">Hangzhou's slow-braised pork belly cubes</t>
  </si>
  <si>
    <t xml:space="preserve">rock sugar; shaoxing wine; pork belly</t>
  </si>
  <si>
    <t xml:space="preserve">https://commons.wikimedia.org/w/index.php?search=Dongpo+Pork+food&amp;title=Special:MediaSearch&amp;type=image</t>
  </si>
  <si>
    <t xml:space="preserve">D0382</t>
  </si>
  <si>
    <t xml:space="preserve">Jiaozi</t>
  </si>
  <si>
    <t xml:space="preserve">Chinese New Year</t>
  </si>
  <si>
    <t xml:space="preserve">Boiled northern Chinese dumplings</t>
  </si>
  <si>
    <t xml:space="preserve">soy sauce; cabbage; pork; dumpling</t>
  </si>
  <si>
    <t xml:space="preserve">https://commons.wikimedia.org/w/index.php?search=Jiaozi+food&amp;title=Special:MediaSearch&amp;type=image</t>
  </si>
  <si>
    <t xml:space="preserve">D0383</t>
  </si>
  <si>
    <t xml:space="preserve">Baozi</t>
  </si>
  <si>
    <t xml:space="preserve">yeast dough</t>
  </si>
  <si>
    <t xml:space="preserve">steamed bun</t>
  </si>
  <si>
    <t xml:space="preserve">filled</t>
  </si>
  <si>
    <t xml:space="preserve">Fluffy Chinese steamed buns with meat filling</t>
  </si>
  <si>
    <t xml:space="preserve">soy sauce; pork; yeast dough; steamed bun</t>
  </si>
  <si>
    <t xml:space="preserve">https://commons.wikimedia.org/w/index.php?search=Baozi+food&amp;title=Special:MediaSearch&amp;type=image</t>
  </si>
  <si>
    <t xml:space="preserve">https://thumb.wikimedia.org/wikipedia/commons/thumb/f/f4/Baozi_Chengdu.JPG/1280px-Baozi_Chengdu.JPG</t>
  </si>
  <si>
    <t xml:space="preserve">Popo le Chien</t>
  </si>
  <si>
    <t xml:space="preserve">D0384</t>
  </si>
  <si>
    <t xml:space="preserve">Congee</t>
  </si>
  <si>
    <t xml:space="preserve">Jook</t>
  </si>
  <si>
    <t xml:space="preserve">century egg</t>
  </si>
  <si>
    <t xml:space="preserve">rice porridge</t>
  </si>
  <si>
    <t xml:space="preserve">breakfast</t>
  </si>
  <si>
    <t xml:space="preserve">Chinese rice porridge with savoury toppings</t>
  </si>
  <si>
    <t xml:space="preserve">spring onion; century egg; rice porridge</t>
  </si>
  <si>
    <t xml:space="preserve">https://commons.wikimedia.org/w/index.php?search=Congee+food&amp;title=Special:MediaSearch&amp;type=image</t>
  </si>
  <si>
    <t xml:space="preserve">D0385</t>
  </si>
  <si>
    <t xml:space="preserve">Wonton Noodle Soup</t>
  </si>
  <si>
    <t xml:space="preserve">egg noodles</t>
  </si>
  <si>
    <t xml:space="preserve">wontons</t>
  </si>
  <si>
    <t xml:space="preserve">Hong Kong noodle soup</t>
  </si>
  <si>
    <t xml:space="preserve">Hong Kong's noodle soup with shrimp dumplings</t>
  </si>
  <si>
    <t xml:space="preserve">spring onion; shrimp; pork; egg noodles; wontons</t>
  </si>
  <si>
    <t xml:space="preserve">https://commons.wikimedia.org/w/index.php?search=Wonton+Noodle+Soup+food&amp;title=Special:MediaSearch&amp;type=image</t>
  </si>
  <si>
    <t xml:space="preserve">D0386</t>
  </si>
  <si>
    <t xml:space="preserve">Egg Tart</t>
  </si>
  <si>
    <t xml:space="preserve">Dan Tat</t>
  </si>
  <si>
    <t xml:space="preserve">pastry</t>
  </si>
  <si>
    <t xml:space="preserve">flaky tart</t>
  </si>
  <si>
    <t xml:space="preserve">Hong Kong</t>
  </si>
  <si>
    <t xml:space="preserve">egg custard</t>
  </si>
  <si>
    <t xml:space="preserve">A flaky tart with smooth baked egg custard</t>
  </si>
  <si>
    <t xml:space="preserve">milk; pastry; egg custard</t>
  </si>
  <si>
    <t xml:space="preserve">flaky tart; egg custard</t>
  </si>
  <si>
    <t xml:space="preserve">https://commons.wikimedia.org/w/index.php?search=Egg+Tart+food&amp;title=Special:MediaSearch&amp;type=image</t>
  </si>
  <si>
    <t xml:space="preserve">https://thumb.wikimedia.org/wikipedia/commons/thumb/b/bc/HK_SSP_%E9%95%B7%E6%B2%99%E7%81%A3_Cheung_Sha_Wan_%E6%B7%B1%E7%9B%9B%E8%B7%AF_Sham_Shing_Road_%E6%B3%93%E6%99%AF%E6%BB%99%E5%95%86%E5%A0%B4_Banyan_Mall_shop_%E8%9B%8B%E6%92%BB%E7%8E%8B_King_Bakery_Studio_December_2019_SS2_egg_tarts.jpg/1280px-HK_SSP_%E9%95%B7%E6%B2%99%E7%81%A3_Cheung_Sha_Wan_%E6%B7%B1%E7%9B%9B%E8%B7%AF_Sham_Shing_Road_%E6%B3%93%E6%99%AF%E6%BB%99%E5%95%86%E5%A0%B4_Banyan_Mall_shop_%E8%9B%8B%E6%92%BB%E7%8E%8B_King_Bakery_Studio_December_2019_SS2_egg_tarts.jpg</t>
  </si>
  <si>
    <t xml:space="preserve">LNAM Haoi</t>
  </si>
  <si>
    <t xml:space="preserve">D0387</t>
  </si>
  <si>
    <t xml:space="preserve">Mooncake</t>
  </si>
  <si>
    <t xml:space="preserve">golden syrup</t>
  </si>
  <si>
    <t xml:space="preserve">lotus seed paste</t>
  </si>
  <si>
    <t xml:space="preserve">Mid-Autumn</t>
  </si>
  <si>
    <t xml:space="preserve">festival pastry</t>
  </si>
  <si>
    <t xml:space="preserve">moon-shaped</t>
  </si>
  <si>
    <t xml:space="preserve">Rich round pastries filled with lotus paste for the Mid-Autumn Festival</t>
  </si>
  <si>
    <t xml:space="preserve">golden syrup; pastry; lotus seed paste</t>
  </si>
  <si>
    <t xml:space="preserve">https://commons.wikimedia.org/w/index.php?search=Mooncake+food&amp;title=Special:MediaSearch&amp;type=image</t>
  </si>
  <si>
    <t xml:space="preserve">https://thumb.wikimedia.org/wikipedia/commons/thumb/b/ba/Mooncake_3-4%2C_lotus_seed_paste.jpg/1280px-Mooncake_3-4%2C_lotus_seed_paste.jpg</t>
  </si>
  <si>
    <t xml:space="preserve">Fanny Schertzer</t>
  </si>
  <si>
    <t xml:space="preserve">D0388</t>
  </si>
  <si>
    <t xml:space="preserve">Tangyuan</t>
  </si>
  <si>
    <t xml:space="preserve">ginger syrup</t>
  </si>
  <si>
    <t xml:space="preserve">black sesame</t>
  </si>
  <si>
    <t xml:space="preserve">glutinous rice balls</t>
  </si>
  <si>
    <t xml:space="preserve">sweet dumplings in syrup</t>
  </si>
  <si>
    <t xml:space="preserve">Lantern Festival</t>
  </si>
  <si>
    <t xml:space="preserve">Glutinous rice balls with sweet filling in ginger syrup</t>
  </si>
  <si>
    <t xml:space="preserve">ginger syrup; black sesame; glutinous rice balls</t>
  </si>
  <si>
    <t xml:space="preserve">https://commons.wikimedia.org/w/index.php?search=Tangyuan+food&amp;title=Special:MediaSearch&amp;type=image</t>
  </si>
  <si>
    <t xml:space="preserve">D0389</t>
  </si>
  <si>
    <t xml:space="preserve">Zongzi</t>
  </si>
  <si>
    <t xml:space="preserve">salted egg</t>
  </si>
  <si>
    <t xml:space="preserve">mung beans</t>
  </si>
  <si>
    <t xml:space="preserve">bamboo leaves</t>
  </si>
  <si>
    <t xml:space="preserve">glutinous rice</t>
  </si>
  <si>
    <t xml:space="preserve">pyramid parcels</t>
  </si>
  <si>
    <t xml:space="preserve">Dragon Boat Festival</t>
  </si>
  <si>
    <t xml:space="preserve">Sticky rice parcels wrapped in bamboo leaves</t>
  </si>
  <si>
    <t xml:space="preserve">salted egg; mung beans; glutinous rice</t>
  </si>
  <si>
    <t xml:space="preserve">https://commons.wikimedia.org/w/index.php?search=Zongzi+food&amp;title=Special:MediaSearch&amp;type=image</t>
  </si>
  <si>
    <t xml:space="preserve">D0390</t>
  </si>
  <si>
    <t xml:space="preserve">Hainanese Chicken Rice</t>
  </si>
  <si>
    <t xml:space="preserve">Singapore</t>
  </si>
  <si>
    <t xml:space="preserve">South-Eastern Asia</t>
  </si>
  <si>
    <t xml:space="preserve">chilli sauce</t>
  </si>
  <si>
    <t xml:space="preserve">Singapore hawker classic</t>
  </si>
  <si>
    <t xml:space="preserve">ginger sauce</t>
  </si>
  <si>
    <t xml:space="preserve">Hainan roots</t>
  </si>
  <si>
    <t xml:space="preserve">chicken-fat rice</t>
  </si>
  <si>
    <t xml:space="preserve">poached chicken</t>
  </si>
  <si>
    <t xml:space="preserve">Poached chicken with fragrant rice cooked in chicken fat</t>
  </si>
  <si>
    <t xml:space="preserve">chilli sauce; chicken-fat rice; poached chicken</t>
  </si>
  <si>
    <t xml:space="preserve">chicken-fat rice; poached chicken</t>
  </si>
  <si>
    <t xml:space="preserve">Rooted in Hainan, China; national dish of Singapore and popular in Malaysia</t>
  </si>
  <si>
    <t xml:space="preserve">https://commons.wikimedia.org/w/index.php?search=Hainanese+Chicken+Rice+food&amp;title=Special:MediaSearch&amp;type=image</t>
  </si>
  <si>
    <t xml:space="preserve">D0391</t>
  </si>
  <si>
    <t xml:space="preserve">Scallion Pancake</t>
  </si>
  <si>
    <t xml:space="preserve">Cong You Bing</t>
  </si>
  <si>
    <t xml:space="preserve">flaky flatbread</t>
  </si>
  <si>
    <t xml:space="preserve">A flaky, chewy Chinese pancake full of spring onions</t>
  </si>
  <si>
    <t xml:space="preserve">spring onion; sesame oil</t>
  </si>
  <si>
    <t xml:space="preserve">https://commons.wikimedia.org/w/index.php?search=Scallion+Pancake+food&amp;title=Special:MediaSearch&amp;type=image</t>
  </si>
  <si>
    <t xml:space="preserve">D0392</t>
  </si>
  <si>
    <t xml:space="preserve">Jianbing</t>
  </si>
  <si>
    <t xml:space="preserve">crispy wafer</t>
  </si>
  <si>
    <t xml:space="preserve">crepe</t>
  </si>
  <si>
    <t xml:space="preserve">street crepe</t>
  </si>
  <si>
    <t xml:space="preserve">morning</t>
  </si>
  <si>
    <t xml:space="preserve">A Chinese street crepe with egg and a crisp cracker</t>
  </si>
  <si>
    <t xml:space="preserve">egg; hoisin sauce; crispy wafer; crepe</t>
  </si>
  <si>
    <t xml:space="preserve">https://commons.wikimedia.org/w/index.php?search=Jianbing+food&amp;title=Special:MediaSearch&amp;type=image</t>
  </si>
  <si>
    <t xml:space="preserve">D0394</t>
  </si>
  <si>
    <t xml:space="preserve">Chongqing Chicken</t>
  </si>
  <si>
    <t xml:space="preserve">Laziji</t>
  </si>
  <si>
    <t xml:space="preserve">mountain of dried chilli</t>
  </si>
  <si>
    <t xml:space="preserve">hunt for chicken in chillies</t>
  </si>
  <si>
    <t xml:space="preserve">fried chicken</t>
  </si>
  <si>
    <t xml:space="preserve">Chongqing's crisp chicken buried in dried chillies</t>
  </si>
  <si>
    <t xml:space="preserve">sesame; sichuan pepper; fried chicken</t>
  </si>
  <si>
    <t xml:space="preserve">hunt for chicken in chillies; fried chicken</t>
  </si>
  <si>
    <t xml:space="preserve">https://commons.wikimedia.org/w/index.php?search=Chongqing+Chicken+food&amp;title=Special:MediaSearch&amp;type=image</t>
  </si>
  <si>
    <t xml:space="preserve">https://thumb.wikimedia.org/wikipedia/commons/thumb/9/9e/Laziji_at_Beijing_Yibin_Hostel_%2820210625111300%29.jpg/1280px-Laziji_at_Beijing_Yibin_Hostel_%2820210625111300%29.jpg</t>
  </si>
  <si>
    <t xml:space="preserve">N509FZ</t>
  </si>
  <si>
    <t xml:space="preserve">D0396</t>
  </si>
  <si>
    <t xml:space="preserve">Steamed Fish with Ginger and Scallion</t>
  </si>
  <si>
    <t xml:space="preserve">hot oil</t>
  </si>
  <si>
    <t xml:space="preserve">Cantonese steaming</t>
  </si>
  <si>
    <t xml:space="preserve">whole fish</t>
  </si>
  <si>
    <t xml:space="preserve">ginger</t>
  </si>
  <si>
    <t xml:space="preserve">A whole fish steamed and finished with sizzling oil and spring onion</t>
  </si>
  <si>
    <t xml:space="preserve">soy sauce; spring onion; hot oil; whole fish; ginger</t>
  </si>
  <si>
    <t xml:space="preserve">whole fish; ginger</t>
  </si>
  <si>
    <t xml:space="preserve">https://commons.wikimedia.org/w/index.php?search=Steamed+Fish+with+Ginger+and+Scallion+food&amp;title=Special:MediaSearch&amp;type=image</t>
  </si>
  <si>
    <t xml:space="preserve">D0397</t>
  </si>
  <si>
    <t xml:space="preserve">Stinky Tofu</t>
  </si>
  <si>
    <t xml:space="preserve">pickled cabbage</t>
  </si>
  <si>
    <t xml:space="preserve">pungent smell</t>
  </si>
  <si>
    <t xml:space="preserve">night market</t>
  </si>
  <si>
    <t xml:space="preserve">fermented tofu</t>
  </si>
  <si>
    <t xml:space="preserve">Fermented bean curd with a famously strong smell, deep fried</t>
  </si>
  <si>
    <t xml:space="preserve">pickled cabbage; fermented tofu</t>
  </si>
  <si>
    <t xml:space="preserve">https://commons.wikimedia.org/w/index.php?search=Stinky+Tofu+food&amp;title=Special:MediaSearch&amp;type=image</t>
  </si>
  <si>
    <t xml:space="preserve">D0398</t>
  </si>
  <si>
    <t xml:space="preserve">Cheung Fun</t>
  </si>
  <si>
    <t xml:space="preserve">Rice Noodle Rolls</t>
  </si>
  <si>
    <t xml:space="preserve">rice noodle sheet</t>
  </si>
  <si>
    <t xml:space="preserve">rolled rice sheets</t>
  </si>
  <si>
    <t xml:space="preserve">dim sum</t>
  </si>
  <si>
    <t xml:space="preserve">Silky rolled rice-noodle sheets with soy sauce</t>
  </si>
  <si>
    <t xml:space="preserve">shrimp; rice noodle sheet</t>
  </si>
  <si>
    <t xml:space="preserve">https://commons.wikimedia.org/w/index.php?search=Cheung+Fun+food&amp;title=Special:MediaSearch&amp;type=image</t>
  </si>
  <si>
    <t xml:space="preserve">D0401</t>
  </si>
  <si>
    <t xml:space="preserve">Sushi</t>
  </si>
  <si>
    <t xml:space="preserve">Japan</t>
  </si>
  <si>
    <t xml:space="preserve">rice vinegar</t>
  </si>
  <si>
    <t xml:space="preserve">wasabi</t>
  </si>
  <si>
    <t xml:space="preserve">nori</t>
  </si>
  <si>
    <t xml:space="preserve">raw fish</t>
  </si>
  <si>
    <t xml:space="preserve">rolled or pressed</t>
  </si>
  <si>
    <t xml:space="preserve">Japanese</t>
  </si>
  <si>
    <t xml:space="preserve">Japan's vinegared rice with raw fish</t>
  </si>
  <si>
    <t xml:space="preserve">rice vinegar; wasabi; nori; raw fish</t>
  </si>
  <si>
    <t xml:space="preserve">https://commons.wikimedia.org/w/index.php?search=Sushi+food&amp;title=Special:MediaSearch&amp;type=image</t>
  </si>
  <si>
    <t xml:space="preserve">D0402</t>
  </si>
  <si>
    <t xml:space="preserve">Sashimi</t>
  </si>
  <si>
    <t xml:space="preserve">daikon</t>
  </si>
  <si>
    <t xml:space="preserve">shiso</t>
  </si>
  <si>
    <t xml:space="preserve">sliced raw fish</t>
  </si>
  <si>
    <t xml:space="preserve">no rice</t>
  </si>
  <si>
    <t xml:space="preserve">Thin slices of raw fish served plain</t>
  </si>
  <si>
    <t xml:space="preserve">daikon; shiso; wasabi; sliced raw fish</t>
  </si>
  <si>
    <t xml:space="preserve">https://commons.wikimedia.org/w/index.php?search=Sashimi+food&amp;title=Special:MediaSearch&amp;type=image</t>
  </si>
  <si>
    <t xml:space="preserve">https://thumb.wikimedia.org/wikipedia/commons/thumb/2/2d/241109_Shigaraki_ware_Koga_Shiga_pref_Japan01s3.jpg/1280px-241109_Shigaraki_ware_Koga_Shiga_pref_Japan01s3.jpg</t>
  </si>
  <si>
    <t xml:space="preserve">663highland</t>
  </si>
  <si>
    <t xml:space="preserve">D0403</t>
  </si>
  <si>
    <t xml:space="preserve">Ramen</t>
  </si>
  <si>
    <t xml:space="preserve">chashu pork</t>
  </si>
  <si>
    <t xml:space="preserve">broth</t>
  </si>
  <si>
    <t xml:space="preserve">Japan's noodle soup with rich broth and toppings</t>
  </si>
  <si>
    <t xml:space="preserve">nori; chashu pork; wheat noodles; broth</t>
  </si>
  <si>
    <t xml:space="preserve">https://commons.wikimedia.org/w/index.php?search=Ramen+food&amp;title=Special:MediaSearch&amp;type=image</t>
  </si>
  <si>
    <t xml:space="preserve">https://thumb.wikimedia.org/wikipedia/commons/thumb/c/c3/Shoyu_Ramen%EF%BC%88Tokyo_Ramen%EF%BC%89_-_01.jpg/1280px-Shoyu_Ramen%EF%BC%88Tokyo_Ramen%EF%BC%89_-_01.jpg</t>
  </si>
  <si>
    <t xml:space="preserve">Quercus acuta</t>
  </si>
  <si>
    <t xml:space="preserve">D0405</t>
  </si>
  <si>
    <t xml:space="preserve">Tempura</t>
  </si>
  <si>
    <t xml:space="preserve">sweet potato</t>
  </si>
  <si>
    <t xml:space="preserve">light batter</t>
  </si>
  <si>
    <t xml:space="preserve">light crisp fry</t>
  </si>
  <si>
    <t xml:space="preserve">Seafood and vegetables in feather-light batter, fried</t>
  </si>
  <si>
    <t xml:space="preserve">sweet potato; light batter; prawns</t>
  </si>
  <si>
    <t xml:space="preserve">https://commons.wikimedia.org/w/index.php?search=Tempura+food&amp;title=Special:MediaSearch&amp;type=image</t>
  </si>
  <si>
    <t xml:space="preserve">https://thumb.wikimedia.org/wikipedia/commons/thumb/2/2e/Tempura_01.jpg/1280px-Tempura_01.jpg</t>
  </si>
  <si>
    <t xml:space="preserve">Yaco*</t>
  </si>
  <si>
    <t xml:space="preserve">D0406</t>
  </si>
  <si>
    <t xml:space="preserve">Tonkatsu</t>
  </si>
  <si>
    <t xml:space="preserve">panko</t>
  </si>
  <si>
    <t xml:space="preserve">pork cutlet</t>
  </si>
  <si>
    <t xml:space="preserve">breaded cutlet</t>
  </si>
  <si>
    <t xml:space="preserve">tonkatsu sauce</t>
  </si>
  <si>
    <t xml:space="preserve">Japan's breaded, deep-fried pork cutlet</t>
  </si>
  <si>
    <t xml:space="preserve">mustard; panko; pork cutlet; tonkatsu sauce</t>
  </si>
  <si>
    <t xml:space="preserve">https://commons.wikimedia.org/w/index.php?search=Tonkatsu+food&amp;title=Special:MediaSearch&amp;type=image</t>
  </si>
  <si>
    <t xml:space="preserve">https://thumb.wikimedia.org/wikipedia/commons/thumb/9/93/%22Amai-Yuwaku%22_Special_Loin_Pork_Cutlet1.jpg/1280px-%22Amai-Yuwaku%22_Special_Loin_Pork_Cutlet1.jpg</t>
  </si>
  <si>
    <t xml:space="preserve">ＫｏＺ</t>
  </si>
  <si>
    <t xml:space="preserve">D0407</t>
  </si>
  <si>
    <t xml:space="preserve">Udon</t>
  </si>
  <si>
    <t xml:space="preserve">fish cake</t>
  </si>
  <si>
    <t xml:space="preserve">kombu</t>
  </si>
  <si>
    <t xml:space="preserve">dashi</t>
  </si>
  <si>
    <t xml:space="preserve">thick wheat noodles</t>
  </si>
  <si>
    <t xml:space="preserve">thick noodles</t>
  </si>
  <si>
    <t xml:space="preserve">Japan's thick wheat noodles in dashi broth</t>
  </si>
  <si>
    <t xml:space="preserve">fish cake; kombu; dashi; thick wheat noodles</t>
  </si>
  <si>
    <t xml:space="preserve">https://commons.wikimedia.org/w/index.php?search=Udon+food&amp;title=Special:MediaSearch&amp;type=image</t>
  </si>
  <si>
    <t xml:space="preserve">https://thumb.wikimedia.org/wikipedia/commons/thumb/9/94/%E9%B6%8F%E5%A4%A9%E3%81%AE%E3%81%86%E3%81%A9%E3%82%93.jpg/1280px-%E9%B6%8F%E5%A4%A9%E3%81%AE%E3%81%86%E3%81%A9%E3%82%93.jpg</t>
  </si>
  <si>
    <t xml:space="preserve">加茂川の民</t>
  </si>
  <si>
    <t xml:space="preserve">D0408</t>
  </si>
  <si>
    <t xml:space="preserve">Soba</t>
  </si>
  <si>
    <t xml:space="preserve">buckwheat noodles</t>
  </si>
  <si>
    <t xml:space="preserve">grey noodles</t>
  </si>
  <si>
    <t xml:space="preserve">served cold or hot</t>
  </si>
  <si>
    <t xml:space="preserve">Japan's buckwheat noodles</t>
  </si>
  <si>
    <t xml:space="preserve">wasabi; nori; dipping sauce; buckwheat noodles</t>
  </si>
  <si>
    <t xml:space="preserve">https://commons.wikimedia.org/w/index.php?search=Soba+food&amp;title=Special:MediaSearch&amp;type=image</t>
  </si>
  <si>
    <t xml:space="preserve">D0409</t>
  </si>
  <si>
    <t xml:space="preserve">Okonomiyaki</t>
  </si>
  <si>
    <t xml:space="preserve">mayonnaise</t>
  </si>
  <si>
    <t xml:space="preserve">okonomi sauce</t>
  </si>
  <si>
    <t xml:space="preserve">cabbage pancake</t>
  </si>
  <si>
    <t xml:space="preserve">Osaka</t>
  </si>
  <si>
    <t xml:space="preserve">Osaka's savoury cabbage pancake with sauce and mayo</t>
  </si>
  <si>
    <t xml:space="preserve">mayonnaise; pork belly; okonomi sauce; cabbage pancake</t>
  </si>
  <si>
    <t xml:space="preserve">https://commons.wikimedia.org/w/index.php?search=Okonomiyaki+food&amp;title=Special:MediaSearch&amp;type=image</t>
  </si>
  <si>
    <t xml:space="preserve">https://thumb.wikimedia.org/wikipedia/commons/thumb/5/59/Okonomiyaki_001.jpg/1280px-Okonomiyaki_001.jpg</t>
  </si>
  <si>
    <t xml:space="preserve">ume-y</t>
  </si>
  <si>
    <t xml:space="preserve">D0410</t>
  </si>
  <si>
    <t xml:space="preserve">Takoyaki</t>
  </si>
  <si>
    <t xml:space="preserve">batter balls</t>
  </si>
  <si>
    <t xml:space="preserve">octopus</t>
  </si>
  <si>
    <t xml:space="preserve">ball-shaped</t>
  </si>
  <si>
    <t xml:space="preserve">Osaka street food</t>
  </si>
  <si>
    <t xml:space="preserve">Osaka's batter balls with octopus inside</t>
  </si>
  <si>
    <t xml:space="preserve">mayonnaise; batter balls; octopus</t>
  </si>
  <si>
    <t xml:space="preserve">https://commons.wikimedia.org/w/index.php?search=Takoyaki+food&amp;title=Special:MediaSearch&amp;type=image</t>
  </si>
  <si>
    <t xml:space="preserve">https://thumb.wikimedia.org/wikipedia/commons/thumb/5/5c/%E3%82%BD%E3%83%BC%E3%82%B9%E3%81%A8%E3%83%9D%E3%83%B3%E9%85%A2%E3%81%AE%E3%81%9F%E3%81%93%E7%84%BC%E3%81%8D.jpg/1280px-%E3%82%BD%E3%83%BC%E3%82%B9%E3%81%A8%E3%83%9D%E3%83%B3%E9%85%A2%E3%81%AE%E3%81%9F%E3%81%93%E7%84%BC%E3%81%8D.jpg</t>
  </si>
  <si>
    <t xml:space="preserve">D0411</t>
  </si>
  <si>
    <t xml:space="preserve">Gyoza</t>
  </si>
  <si>
    <t xml:space="preserve">pan-fried</t>
  </si>
  <si>
    <t xml:space="preserve">crisp-bottomed</t>
  </si>
  <si>
    <t xml:space="preserve">soy-vinegar dip</t>
  </si>
  <si>
    <t xml:space="preserve">Japanese pan-fried dumplings</t>
  </si>
  <si>
    <t xml:space="preserve">pork; dumpling</t>
  </si>
  <si>
    <t xml:space="preserve">https://commons.wikimedia.org/w/index.php?search=Gyoza+food&amp;title=Special:MediaSearch&amp;type=image</t>
  </si>
  <si>
    <t xml:space="preserve">D0412</t>
  </si>
  <si>
    <t xml:space="preserve">Yakitori</t>
  </si>
  <si>
    <t xml:space="preserve">tare</t>
  </si>
  <si>
    <t xml:space="preserve">charcoal</t>
  </si>
  <si>
    <t xml:space="preserve">grilled skewers</t>
  </si>
  <si>
    <t xml:space="preserve">izakaya</t>
  </si>
  <si>
    <t xml:space="preserve">Japanese grilled chicken skewers</t>
  </si>
  <si>
    <t xml:space="preserve">tare; chicken</t>
  </si>
  <si>
    <t xml:space="preserve">https://commons.wikimedia.org/w/index.php?search=Yakitori+food&amp;title=Special:MediaSearch&amp;type=image</t>
  </si>
  <si>
    <t xml:space="preserve">D0413</t>
  </si>
  <si>
    <t xml:space="preserve">Teriyaki Chicken</t>
  </si>
  <si>
    <t xml:space="preserve">mirin</t>
  </si>
  <si>
    <t xml:space="preserve">glaze</t>
  </si>
  <si>
    <t xml:space="preserve">shiny sweet glaze</t>
  </si>
  <si>
    <t xml:space="preserve">Chicken glazed in sweet soy sauce</t>
  </si>
  <si>
    <t xml:space="preserve">sesame; mirin; glaze; chicken</t>
  </si>
  <si>
    <t xml:space="preserve">https://commons.wikimedia.org/w/index.php?search=Teriyaki+Chicken+food&amp;title=Special:MediaSearch&amp;type=image</t>
  </si>
  <si>
    <t xml:space="preserve">D0414</t>
  </si>
  <si>
    <t xml:space="preserve">Miso Soup</t>
  </si>
  <si>
    <t xml:space="preserve">wakame</t>
  </si>
  <si>
    <t xml:space="preserve">tofu</t>
  </si>
  <si>
    <t xml:space="preserve">everyday soup</t>
  </si>
  <si>
    <t xml:space="preserve">miso</t>
  </si>
  <si>
    <t xml:space="preserve">Japan's everyday soup of dashi and fermented soybean paste</t>
  </si>
  <si>
    <t xml:space="preserve">wakame; dashi; tofu; miso</t>
  </si>
  <si>
    <t xml:space="preserve">everyday soup; miso</t>
  </si>
  <si>
    <t xml:space="preserve">https://commons.wikimedia.org/w/index.php?search=Miso+Soup+food&amp;title=Special:MediaSearch&amp;type=image</t>
  </si>
  <si>
    <t xml:space="preserve">https://thumb.wikimedia.org/wikipedia/commons/thumb/e/e8/Miso_Soup_001.jpg/1280px-Miso_Soup_001.jpg</t>
  </si>
  <si>
    <t xml:space="preserve">Ocdp</t>
  </si>
  <si>
    <t xml:space="preserve">D0415</t>
  </si>
  <si>
    <t xml:space="preserve">Onigiri</t>
  </si>
  <si>
    <t xml:space="preserve">umeboshi</t>
  </si>
  <si>
    <t xml:space="preserve">salmon</t>
  </si>
  <si>
    <t xml:space="preserve">triangle</t>
  </si>
  <si>
    <t xml:space="preserve">rice ball</t>
  </si>
  <si>
    <t xml:space="preserve">lunchbox</t>
  </si>
  <si>
    <t xml:space="preserve">Japanese rice ball wrapped in seaweed</t>
  </si>
  <si>
    <t xml:space="preserve">umeboshi; salmon; nori</t>
  </si>
  <si>
    <t xml:space="preserve">https://commons.wikimedia.org/w/index.php?search=Onigiri+food&amp;title=Special:MediaSearch&amp;type=image</t>
  </si>
  <si>
    <t xml:space="preserve">D0416</t>
  </si>
  <si>
    <t xml:space="preserve">Katsu Curry</t>
  </si>
  <si>
    <t xml:space="preserve">cutlet with curry</t>
  </si>
  <si>
    <t xml:space="preserve">curry roux</t>
  </si>
  <si>
    <t xml:space="preserve">Breaded pork cutlet with Japanese curry and rice</t>
  </si>
  <si>
    <t xml:space="preserve">potato; rice; pork cutlet; curry roux</t>
  </si>
  <si>
    <t xml:space="preserve">cutlet with curry; curry roux</t>
  </si>
  <si>
    <t xml:space="preserve">https://commons.wikimedia.org/w/index.php?search=Katsu+Curry+food&amp;title=Special:MediaSearch&amp;type=image</t>
  </si>
  <si>
    <t xml:space="preserve">D0417</t>
  </si>
  <si>
    <t xml:space="preserve">Gyudon</t>
  </si>
  <si>
    <t xml:space="preserve">rice bowl</t>
  </si>
  <si>
    <t xml:space="preserve">beef bowl</t>
  </si>
  <si>
    <t xml:space="preserve">fast food</t>
  </si>
  <si>
    <t xml:space="preserve">Japanese bowl of simmered beef on rice</t>
  </si>
  <si>
    <t xml:space="preserve">soy sauce; dashi; beef; rice bowl</t>
  </si>
  <si>
    <t xml:space="preserve">https://commons.wikimedia.org/w/index.php?search=Gyudon+food&amp;title=Special:MediaSearch&amp;type=image</t>
  </si>
  <si>
    <t xml:space="preserve">https://thumb.wikimedia.org/wikipedia/commons/thumb/4/45/Gyuu-don_001.jpg/1280px-Gyuu-don_001.jpg</t>
  </si>
  <si>
    <t xml:space="preserve">D0418</t>
  </si>
  <si>
    <t xml:space="preserve">Oyakodon</t>
  </si>
  <si>
    <t xml:space="preserve">'parent and child' bowl</t>
  </si>
  <si>
    <t xml:space="preserve">Japanese bowl of chicken and egg simmered over rice</t>
  </si>
  <si>
    <t xml:space="preserve">soy sauce; egg; dashi; chicken; rice bowl</t>
  </si>
  <si>
    <t xml:space="preserve">https://commons.wikimedia.org/w/index.php?search=Oyakodon+food&amp;title=Special:MediaSearch&amp;type=image</t>
  </si>
  <si>
    <t xml:space="preserve">https://thumb.wikimedia.org/wikipedia/commons/thumb/2/29/Oyakodon_003.jpg/1280px-Oyakodon_003.jpg</t>
  </si>
  <si>
    <t xml:space="preserve">D0419</t>
  </si>
  <si>
    <t xml:space="preserve">Shabu-Shabu</t>
  </si>
  <si>
    <t xml:space="preserve">ponzu</t>
  </si>
  <si>
    <t xml:space="preserve">sesame sauce</t>
  </si>
  <si>
    <t xml:space="preserve">kombu broth</t>
  </si>
  <si>
    <t xml:space="preserve">thin beef slices</t>
  </si>
  <si>
    <t xml:space="preserve">swish-swish hot pot</t>
  </si>
  <si>
    <t xml:space="preserve">Japanese hot pot where thin meat slices are swished in broth</t>
  </si>
  <si>
    <t xml:space="preserve">cabbage; ponzu; sesame sauce; kombu broth; thin beef slices</t>
  </si>
  <si>
    <t xml:space="preserve">https://commons.wikimedia.org/w/index.php?search=Shabu-Shabu+food&amp;title=Special:MediaSearch&amp;type=image</t>
  </si>
  <si>
    <t xml:space="preserve">D0420</t>
  </si>
  <si>
    <t xml:space="preserve">Sukiyaki</t>
  </si>
  <si>
    <t xml:space="preserve">shiitake</t>
  </si>
  <si>
    <t xml:space="preserve">raw egg</t>
  </si>
  <si>
    <t xml:space="preserve">sweet soy hot pot</t>
  </si>
  <si>
    <t xml:space="preserve">dipped in egg</t>
  </si>
  <si>
    <t xml:space="preserve">Japanese sweet soy hot pot of beef and vegetables</t>
  </si>
  <si>
    <t xml:space="preserve">tofu; shiitake; raw egg; beef</t>
  </si>
  <si>
    <t xml:space="preserve">https://commons.wikimedia.org/w/index.php?search=Sukiyaki+food&amp;title=Special:MediaSearch&amp;type=image</t>
  </si>
  <si>
    <t xml:space="preserve">D0421</t>
  </si>
  <si>
    <t xml:space="preserve">Karaage</t>
  </si>
  <si>
    <t xml:space="preserve">potato starch</t>
  </si>
  <si>
    <t xml:space="preserve">ginger-soy marinade</t>
  </si>
  <si>
    <t xml:space="preserve">lemon wedge</t>
  </si>
  <si>
    <t xml:space="preserve">Japanese marinated fried chicken bites</t>
  </si>
  <si>
    <t xml:space="preserve">potato starch; fried chicken</t>
  </si>
  <si>
    <t xml:space="preserve">https://commons.wikimedia.org/w/index.php?search=Karaage+food&amp;title=Special:MediaSearch&amp;type=image</t>
  </si>
  <si>
    <t xml:space="preserve">https://thumb.wikimedia.org/wikipedia/commons/thumb/e/e6/Chicken_karaage_003.jpg/1280px-Chicken_karaage_003.jpg</t>
  </si>
  <si>
    <t xml:space="preserve">D0422</t>
  </si>
  <si>
    <t xml:space="preserve">Unagi Don</t>
  </si>
  <si>
    <t xml:space="preserve">sansho</t>
  </si>
  <si>
    <t xml:space="preserve">sweet soy glaze</t>
  </si>
  <si>
    <t xml:space="preserve">grilled eel</t>
  </si>
  <si>
    <t xml:space="preserve">eel over rice</t>
  </si>
  <si>
    <t xml:space="preserve">Grilled eel glazed in sweet soy over rice</t>
  </si>
  <si>
    <t xml:space="preserve">sansho; mirin; sweet soy glaze; grilled eel</t>
  </si>
  <si>
    <t xml:space="preserve">https://commons.wikimedia.org/w/index.php?search=Unagi+Don+food&amp;title=Special:MediaSearch&amp;type=image</t>
  </si>
  <si>
    <t xml:space="preserve">D0424</t>
  </si>
  <si>
    <t xml:space="preserve">Natto</t>
  </si>
  <si>
    <t xml:space="preserve">sticky</t>
  </si>
  <si>
    <t xml:space="preserve">fermented soybeans</t>
  </si>
  <si>
    <t xml:space="preserve">stringy and pungent</t>
  </si>
  <si>
    <t xml:space="preserve">Japanese breakfast</t>
  </si>
  <si>
    <t xml:space="preserve">Japan's sticky fermented soybeans</t>
  </si>
  <si>
    <t xml:space="preserve">soy sauce; mustard; fermented soybeans</t>
  </si>
  <si>
    <t xml:space="preserve">https://commons.wikimedia.org/w/index.php?search=Natto+food&amp;title=Special:MediaSearch&amp;type=image</t>
  </si>
  <si>
    <t xml:space="preserve">https://thumb.wikimedia.org/wikipedia/commons/thumb/2/28/Matsunoya_Breakfast_20240421_102843.jpg/1280px-Matsunoya_Breakfast_20240421_102843.jpg</t>
  </si>
  <si>
    <t xml:space="preserve">円周率３パーセント</t>
  </si>
  <si>
    <t xml:space="preserve">D0425</t>
  </si>
  <si>
    <t xml:space="preserve">Tamagoyaki</t>
  </si>
  <si>
    <t xml:space="preserve">rectangular pan</t>
  </si>
  <si>
    <t xml:space="preserve">layered omelette</t>
  </si>
  <si>
    <t xml:space="preserve">bento</t>
  </si>
  <si>
    <t xml:space="preserve">Japan's sweet rolled omelette</t>
  </si>
  <si>
    <t xml:space="preserve">mirin; dashi</t>
  </si>
  <si>
    <t xml:space="preserve">https://commons.wikimedia.org/w/index.php?search=Tamagoyaki+food&amp;title=Special:MediaSearch&amp;type=image</t>
  </si>
  <si>
    <t xml:space="preserve">https://thumb.wikimedia.org/wikipedia/commons/thumb/0/06/%E9%B3%A5%E7%84%BC%E3%81%8D%E5%B1%85%E9%85%92%E5%B1%8B_%2839394233682%29.jpg/1280px-%E9%B3%A5%E7%84%BC%E3%81%8D%E5%B1%85%E9%85%92%E5%B1%8B_%2839394233682%29.jpg</t>
  </si>
  <si>
    <t xml:space="preserve">極地狐</t>
  </si>
  <si>
    <t xml:space="preserve">D0426</t>
  </si>
  <si>
    <t xml:space="preserve">Mochi</t>
  </si>
  <si>
    <t xml:space="preserve">red bean paste</t>
  </si>
  <si>
    <t xml:space="preserve">pounded</t>
  </si>
  <si>
    <t xml:space="preserve">chewy and soft</t>
  </si>
  <si>
    <t xml:space="preserve">Soft, chewy pounded rice cakes</t>
  </si>
  <si>
    <t xml:space="preserve">potato starch; red bean paste; glutinous rice</t>
  </si>
  <si>
    <t xml:space="preserve">https://commons.wikimedia.org/w/index.php?search=Mochi+food&amp;title=Special:MediaSearch&amp;type=image</t>
  </si>
  <si>
    <t xml:space="preserve">D0427</t>
  </si>
  <si>
    <t xml:space="preserve">Dorayaki</t>
  </si>
  <si>
    <t xml:space="preserve">honey</t>
  </si>
  <si>
    <t xml:space="preserve">pancake sandwich</t>
  </si>
  <si>
    <t xml:space="preserve">Doraemon</t>
  </si>
  <si>
    <t xml:space="preserve">Two pancakes sandwiching sweet red bean paste</t>
  </si>
  <si>
    <t xml:space="preserve">honey; egg; pancake; red bean paste</t>
  </si>
  <si>
    <t xml:space="preserve">https://commons.wikimedia.org/w/index.php?search=Dorayaki+food&amp;title=Special:MediaSearch&amp;type=image</t>
  </si>
  <si>
    <t xml:space="preserve">https://thumb.wikimedia.org/wikipedia/commons/thumb/9/9c/Dorayaki_001_%283%29.jpg/1280px-Dorayaki_001_%283%29.jpg</t>
  </si>
  <si>
    <t xml:space="preserve">D0428</t>
  </si>
  <si>
    <t xml:space="preserve">Taiyaki</t>
  </si>
  <si>
    <t xml:space="preserve">fish-shaped</t>
  </si>
  <si>
    <t xml:space="preserve">street sweet</t>
  </si>
  <si>
    <t xml:space="preserve">batter cast in a mould</t>
  </si>
  <si>
    <t xml:space="preserve">crisp edges</t>
  </si>
  <si>
    <t xml:space="preserve">A fish-shaped cake filled with sweet red bean paste</t>
  </si>
  <si>
    <t xml:space="preserve">https://commons.wikimedia.org/w/index.php?search=Taiyaki+food&amp;title=Special:MediaSearch&amp;type=image</t>
  </si>
  <si>
    <t xml:space="preserve">https://thumb.wikimedia.org/wikipedia/commons/thumb/8/8e/Taiyaki_003.jpg/1280px-Taiyaki_003.jpg</t>
  </si>
  <si>
    <t xml:space="preserve">D0429</t>
  </si>
  <si>
    <t xml:space="preserve">Matcha Ice Cream</t>
  </si>
  <si>
    <t xml:space="preserve">green tea powder</t>
  </si>
  <si>
    <t xml:space="preserve">green ice cream</t>
  </si>
  <si>
    <t xml:space="preserve">Japanese flavour</t>
  </si>
  <si>
    <t xml:space="preserve">Green tea ice cream</t>
  </si>
  <si>
    <t xml:space="preserve">milk; green tea powder; cream</t>
  </si>
  <si>
    <t xml:space="preserve">green ice cream; cream</t>
  </si>
  <si>
    <t xml:space="preserve">https://commons.wikimedia.org/w/index.php?search=Matcha+Ice+Cream+food&amp;title=Special:MediaSearch&amp;type=image</t>
  </si>
  <si>
    <t xml:space="preserve">D0430</t>
  </si>
  <si>
    <t xml:space="preserve">Japanese Cheesecake</t>
  </si>
  <si>
    <t xml:space="preserve">egg whites</t>
  </si>
  <si>
    <t xml:space="preserve">cream cheese</t>
  </si>
  <si>
    <t xml:space="preserve">jiggly</t>
  </si>
  <si>
    <t xml:space="preserve">fluffy</t>
  </si>
  <si>
    <t xml:space="preserve">wobbly and airy cake</t>
  </si>
  <si>
    <t xml:space="preserve">Japan's light, jiggly soufflé cake made with cream cheese</t>
  </si>
  <si>
    <t xml:space="preserve">egg whites; cream cheese</t>
  </si>
  <si>
    <t xml:space="preserve">https://commons.wikimedia.org/w/index.php?search=Japanese+Cheesecake+food&amp;title=Special:MediaSearch&amp;type=image</t>
  </si>
  <si>
    <t xml:space="preserve">D0431</t>
  </si>
  <si>
    <t xml:space="preserve">Yakisoba</t>
  </si>
  <si>
    <t xml:space="preserve">pickled ginger</t>
  </si>
  <si>
    <t xml:space="preserve">street noodles</t>
  </si>
  <si>
    <t xml:space="preserve">festival stall</t>
  </si>
  <si>
    <t xml:space="preserve">yakisoba sauce</t>
  </si>
  <si>
    <t xml:space="preserve">Japan's stir-fried noodles with sweet-savoury sauce</t>
  </si>
  <si>
    <t xml:space="preserve">pickled ginger; pork; stir-fried noodles; yakisoba sauce</t>
  </si>
  <si>
    <t xml:space="preserve">https://commons.wikimedia.org/w/index.php?search=Yakisoba+food&amp;title=Special:MediaSearch&amp;type=image</t>
  </si>
  <si>
    <t xml:space="preserve">https://thumb.wikimedia.org/wikipedia/commons/thumb/0/01/Yakisoba_-_01.jpg/1280px-Yakisoba_-_01.jpg</t>
  </si>
  <si>
    <t xml:space="preserve">D0435</t>
  </si>
  <si>
    <t xml:space="preserve">Bibimbap</t>
  </si>
  <si>
    <t xml:space="preserve">South Korea</t>
  </si>
  <si>
    <t xml:space="preserve">fried egg</t>
  </si>
  <si>
    <t xml:space="preserve">gochujang</t>
  </si>
  <si>
    <t xml:space="preserve">mixed rice bowl</t>
  </si>
  <si>
    <t xml:space="preserve">stone pot</t>
  </si>
  <si>
    <t xml:space="preserve">Korea's mixed rice bowl with vegetables, egg and chilli paste</t>
  </si>
  <si>
    <t xml:space="preserve">spinach; bean sprouts; fried egg; gochujang</t>
  </si>
  <si>
    <t xml:space="preserve">https://commons.wikimedia.org/w/index.php?search=Bibimbap+food&amp;title=Special:MediaSearch&amp;type=image</t>
  </si>
  <si>
    <t xml:space="preserve">https://thumb.wikimedia.org/wikipedia/commons/thumb/4/44/Dolsot-bibimbap.jpg/1280px-Dolsot-bibimbap.jpg</t>
  </si>
  <si>
    <t xml:space="preserve">Sous Chef</t>
  </si>
  <si>
    <t xml:space="preserve">D0436</t>
  </si>
  <si>
    <t xml:space="preserve">Kimchi</t>
  </si>
  <si>
    <t xml:space="preserve">fish sauce</t>
  </si>
  <si>
    <t xml:space="preserve">gochugaru</t>
  </si>
  <si>
    <t xml:space="preserve">fermented napa cabbage</t>
  </si>
  <si>
    <t xml:space="preserve">spicy fermented side</t>
  </si>
  <si>
    <t xml:space="preserve">Korean staple</t>
  </si>
  <si>
    <t xml:space="preserve">Korea's spicy fermented cabbage</t>
  </si>
  <si>
    <t xml:space="preserve">spring onion; fish sauce; gochugaru; fermented napa cabbage</t>
  </si>
  <si>
    <t xml:space="preserve">https://commons.wikimedia.org/w/index.php?search=Kimchi+food&amp;title=Special:MediaSearch&amp;type=image</t>
  </si>
  <si>
    <t xml:space="preserve">D0437</t>
  </si>
  <si>
    <t xml:space="preserve">Bulgogi</t>
  </si>
  <si>
    <t xml:space="preserve">pear</t>
  </si>
  <si>
    <t xml:space="preserve">marinated beef</t>
  </si>
  <si>
    <t xml:space="preserve">marinated grilled beef</t>
  </si>
  <si>
    <t xml:space="preserve">Korean BBQ</t>
  </si>
  <si>
    <t xml:space="preserve">Korea's sweet-savoury marinated grilled beef</t>
  </si>
  <si>
    <t xml:space="preserve">soy sauce; sesame; pear; marinated beef</t>
  </si>
  <si>
    <t xml:space="preserve">https://commons.wikimedia.org/w/index.php?search=Bulgogi+food&amp;title=Special:MediaSearch&amp;type=image</t>
  </si>
  <si>
    <t xml:space="preserve">D0438</t>
  </si>
  <si>
    <t xml:space="preserve">Korean Fried Chicken</t>
  </si>
  <si>
    <t xml:space="preserve">gochujang glaze</t>
  </si>
  <si>
    <t xml:space="preserve">double-fried</t>
  </si>
  <si>
    <t xml:space="preserve">extra-crisp glazed chicken</t>
  </si>
  <si>
    <t xml:space="preserve">Korea's double-fried chicken with sweet-spicy glaze</t>
  </si>
  <si>
    <t xml:space="preserve">soy sauce; gochujang glaze; chicken</t>
  </si>
  <si>
    <t xml:space="preserve">extra-crisp glazed chicken; chicken</t>
  </si>
  <si>
    <t xml:space="preserve">https://commons.wikimedia.org/w/index.php?search=Korean+Fried+Chicken+food&amp;title=Special:MediaSearch&amp;type=image</t>
  </si>
  <si>
    <t xml:space="preserve">D0439</t>
  </si>
  <si>
    <t xml:space="preserve">Tteokbokki</t>
  </si>
  <si>
    <t xml:space="preserve">chewy cylinders in red sauce</t>
  </si>
  <si>
    <t xml:space="preserve">Korean street food</t>
  </si>
  <si>
    <t xml:space="preserve">Korean chewy rice cakes in sweet-spicy sauce</t>
  </si>
  <si>
    <t xml:space="preserve">spring onion; fish cake; gochujang; rice cakes</t>
  </si>
  <si>
    <t xml:space="preserve">https://commons.wikimedia.org/w/index.php?search=Tteokbokki+food&amp;title=Special:MediaSearch&amp;type=image</t>
  </si>
  <si>
    <t xml:space="preserve">https://thumb.wikimedia.org/wikipedia/commons/thumb/4/4d/Tteokbokki.JPG/1280px-Tteokbokki.JPG</t>
  </si>
  <si>
    <t xml:space="preserve">D0440</t>
  </si>
  <si>
    <t xml:space="preserve">Japchae</t>
  </si>
  <si>
    <t xml:space="preserve">glass noodles</t>
  </si>
  <si>
    <t xml:space="preserve">stir-fried sweet potato noodles</t>
  </si>
  <si>
    <t xml:space="preserve">Korean</t>
  </si>
  <si>
    <t xml:space="preserve">Korea's stir-fried glass noodles with vegetables</t>
  </si>
  <si>
    <t xml:space="preserve">spinach; sesame oil; beef; glass noodles</t>
  </si>
  <si>
    <t xml:space="preserve">https://commons.wikimedia.org/w/index.php?search=Japchae+food&amp;title=Special:MediaSearch&amp;type=image</t>
  </si>
  <si>
    <t xml:space="preserve">D0441</t>
  </si>
  <si>
    <t xml:space="preserve">Kimchi Jjigae</t>
  </si>
  <si>
    <t xml:space="preserve">spicy stew</t>
  </si>
  <si>
    <t xml:space="preserve">kimchi</t>
  </si>
  <si>
    <t xml:space="preserve">Korean stew of fermented cabbage, pork and tofu</t>
  </si>
  <si>
    <t xml:space="preserve">tofu; pork; gochugaru; kimchi</t>
  </si>
  <si>
    <t xml:space="preserve">https://commons.wikimedia.org/w/index.php?search=Kimchi+Jjigae+food&amp;title=Special:MediaSearch&amp;type=image</t>
  </si>
  <si>
    <t xml:space="preserve">D0442</t>
  </si>
  <si>
    <t xml:space="preserve">Samgyeopsal</t>
  </si>
  <si>
    <t xml:space="preserve">ssamjang</t>
  </si>
  <si>
    <t xml:space="preserve">lettuce wraps</t>
  </si>
  <si>
    <t xml:space="preserve">table grill</t>
  </si>
  <si>
    <t xml:space="preserve">grilled at the table</t>
  </si>
  <si>
    <t xml:space="preserve">Korean grilled pork belly wrapped in lettuce</t>
  </si>
  <si>
    <t xml:space="preserve">ssamjang; lettuce wraps; pork belly</t>
  </si>
  <si>
    <t xml:space="preserve">https://commons.wikimedia.org/w/index.php?search=Samgyeopsal+food&amp;title=Special:MediaSearch&amp;type=image</t>
  </si>
  <si>
    <t xml:space="preserve">https://thumb.wikimedia.org/wikipedia/commons/thumb/7/77/Samgyeopsal-gui.jpg/1280px-Samgyeopsal-gui.jpg</t>
  </si>
  <si>
    <t xml:space="preserve">jinsoo jang</t>
  </si>
  <si>
    <t xml:space="preserve">D0443</t>
  </si>
  <si>
    <t xml:space="preserve">Sundubu Jjigae</t>
  </si>
  <si>
    <t xml:space="preserve">clams</t>
  </si>
  <si>
    <t xml:space="preserve">earthen pot</t>
  </si>
  <si>
    <t xml:space="preserve">soft tofu</t>
  </si>
  <si>
    <t xml:space="preserve">bubbling red stew</t>
  </si>
  <si>
    <t xml:space="preserve">Korea's spicy soft-tofu stew</t>
  </si>
  <si>
    <t xml:space="preserve">clams; gochugaru; soft tofu</t>
  </si>
  <si>
    <t xml:space="preserve">https://commons.wikimedia.org/w/index.php?search=Sundubu+Jjigae+food&amp;title=Special:MediaSearch&amp;type=image</t>
  </si>
  <si>
    <t xml:space="preserve">D0444</t>
  </si>
  <si>
    <t xml:space="preserve">Galbi</t>
  </si>
  <si>
    <t xml:space="preserve">grilled short ribs</t>
  </si>
  <si>
    <t xml:space="preserve">grilled marinated ribs</t>
  </si>
  <si>
    <t xml:space="preserve">Korea's marinated grilled short ribs</t>
  </si>
  <si>
    <t xml:space="preserve">soy sauce; pear; sesame; grilled short ribs</t>
  </si>
  <si>
    <t xml:space="preserve">https://commons.wikimedia.org/w/index.php?search=Galbi+food&amp;title=Special:MediaSearch&amp;type=image</t>
  </si>
  <si>
    <t xml:space="preserve">D0445</t>
  </si>
  <si>
    <t xml:space="preserve">Samgyetang</t>
  </si>
  <si>
    <t xml:space="preserve">jujube</t>
  </si>
  <si>
    <t xml:space="preserve">ginseng</t>
  </si>
  <si>
    <t xml:space="preserve">whole young chicken</t>
  </si>
  <si>
    <t xml:space="preserve">summer soup</t>
  </si>
  <si>
    <t xml:space="preserve">whole stuffed bird</t>
  </si>
  <si>
    <t xml:space="preserve">Korean ginseng chicken soup</t>
  </si>
  <si>
    <t xml:space="preserve">jujube; ginseng; glutinous rice; whole young chicken</t>
  </si>
  <si>
    <t xml:space="preserve">https://commons.wikimedia.org/w/index.php?search=Samgyetang+food&amp;title=Special:MediaSearch&amp;type=image</t>
  </si>
  <si>
    <t xml:space="preserve">https://thumb.wikimedia.org/wikipedia/commons/thumb/e/e8/Samgye-tang_2.jpg/1280px-Samgye-tang_2.jpg</t>
  </si>
  <si>
    <t xml:space="preserve">wizdata</t>
  </si>
  <si>
    <t xml:space="preserve">D0446</t>
  </si>
  <si>
    <t xml:space="preserve">Gimbap</t>
  </si>
  <si>
    <t xml:space="preserve">rice roll</t>
  </si>
  <si>
    <t xml:space="preserve">sliced seaweed rolls</t>
  </si>
  <si>
    <t xml:space="preserve">picnic food</t>
  </si>
  <si>
    <t xml:space="preserve">Korea's seaweed rice rolls cut into slices</t>
  </si>
  <si>
    <t xml:space="preserve">sesame oil; nori; rice roll</t>
  </si>
  <si>
    <t xml:space="preserve">https://commons.wikimedia.org/w/index.php?search=Gimbap+food&amp;title=Special:MediaSearch&amp;type=image</t>
  </si>
  <si>
    <t xml:space="preserve">https://thumb.wikimedia.org/wikipedia/commons/thumb/0/0e/Gimbap_%28pixabay%29.jpg/1280px-Gimbap_%28pixabay%29.jpg</t>
  </si>
  <si>
    <t xml:space="preserve">changupn</t>
  </si>
  <si>
    <t xml:space="preserve">D0447</t>
  </si>
  <si>
    <t xml:space="preserve">Haemul Pajeon</t>
  </si>
  <si>
    <t xml:space="preserve">batter</t>
  </si>
  <si>
    <t xml:space="preserve">spring onion pancake</t>
  </si>
  <si>
    <t xml:space="preserve">seafood pancake</t>
  </si>
  <si>
    <t xml:space="preserve">rainy day</t>
  </si>
  <si>
    <t xml:space="preserve">Korean savoury seafood and spring onion pancake</t>
  </si>
  <si>
    <t xml:space="preserve">shrimp; batter; spring onion pancake</t>
  </si>
  <si>
    <t xml:space="preserve">https://commons.wikimedia.org/w/index.php?search=Haemul+Pajeon+food&amp;title=Special:MediaSearch&amp;type=image</t>
  </si>
  <si>
    <t xml:space="preserve">D0448</t>
  </si>
  <si>
    <t xml:space="preserve">Naengmyeon</t>
  </si>
  <si>
    <t xml:space="preserve">icy broth</t>
  </si>
  <si>
    <t xml:space="preserve">cold noodle soup</t>
  </si>
  <si>
    <t xml:space="preserve">Korean summer</t>
  </si>
  <si>
    <t xml:space="preserve">Korea's icy cold buckwheat noodles</t>
  </si>
  <si>
    <t xml:space="preserve">pear; boiled egg; icy broth; buckwheat noodles</t>
  </si>
  <si>
    <t xml:space="preserve">https://commons.wikimedia.org/w/index.php?search=Naengmyeon+food&amp;title=Special:MediaSearch&amp;type=image</t>
  </si>
  <si>
    <t xml:space="preserve">D0449</t>
  </si>
  <si>
    <t xml:space="preserve">Jjajangmyeon</t>
  </si>
  <si>
    <t xml:space="preserve">zucchini</t>
  </si>
  <si>
    <t xml:space="preserve">black bean sauce</t>
  </si>
  <si>
    <t xml:space="preserve">black sauce noodles</t>
  </si>
  <si>
    <t xml:space="preserve">Korean-Chinese</t>
  </si>
  <si>
    <t xml:space="preserve">Korean-Chinese noodles in black bean sauce</t>
  </si>
  <si>
    <t xml:space="preserve">pork; zucchini; black bean sauce; noodles</t>
  </si>
  <si>
    <t xml:space="preserve">https://commons.wikimedia.org/w/index.php?search=Jjajangmyeon+food&amp;title=Special:MediaSearch&amp;type=image</t>
  </si>
  <si>
    <t xml:space="preserve">D0450</t>
  </si>
  <si>
    <t xml:space="preserve">Budae Jjigae</t>
  </si>
  <si>
    <t xml:space="preserve">cheese</t>
  </si>
  <si>
    <t xml:space="preserve">spam</t>
  </si>
  <si>
    <t xml:space="preserve">sausage</t>
  </si>
  <si>
    <t xml:space="preserve">instant noodles</t>
  </si>
  <si>
    <t xml:space="preserve">army base stew</t>
  </si>
  <si>
    <t xml:space="preserve">Korean 'army stew' with spam, sausage and noodles</t>
  </si>
  <si>
    <t xml:space="preserve">cheese; spam; sausage; instant noodles</t>
  </si>
  <si>
    <t xml:space="preserve">https://commons.wikimedia.org/w/index.php?search=Budae+Jjigae+food&amp;title=Special:MediaSearch&amp;type=image</t>
  </si>
  <si>
    <t xml:space="preserve">D0452</t>
  </si>
  <si>
    <t xml:space="preserve">Hotteok</t>
  </si>
  <si>
    <t xml:space="preserve">cinnamon</t>
  </si>
  <si>
    <t xml:space="preserve">sweet filled pancake</t>
  </si>
  <si>
    <t xml:space="preserve">Korean winter street food</t>
  </si>
  <si>
    <t xml:space="preserve">Korea's pan-fried sweet filled pancake</t>
  </si>
  <si>
    <t xml:space="preserve">cinnamon; peanuts; pancake</t>
  </si>
  <si>
    <t xml:space="preserve">https://commons.wikimedia.org/w/index.php?search=Hotteok+food&amp;title=Special:MediaSearch&amp;type=image</t>
  </si>
  <si>
    <t xml:space="preserve">D0453</t>
  </si>
  <si>
    <t xml:space="preserve">Bingsu</t>
  </si>
  <si>
    <t xml:space="preserve">red beans</t>
  </si>
  <si>
    <t xml:space="preserve">fruit</t>
  </si>
  <si>
    <t xml:space="preserve">shaved milk ice</t>
  </si>
  <si>
    <t xml:space="preserve">shaved ice dessert</t>
  </si>
  <si>
    <t xml:space="preserve">Korea's shaved milk-ice dessert with toppings</t>
  </si>
  <si>
    <t xml:space="preserve">condensed milk; red beans; fruit; shaved milk ice</t>
  </si>
  <si>
    <t xml:space="preserve">https://commons.wikimedia.org/w/index.php?search=Bingsu+food&amp;title=Special:MediaSearch&amp;type=image</t>
  </si>
  <si>
    <t xml:space="preserve">D0454</t>
  </si>
  <si>
    <t xml:space="preserve">Kimchi Fried Rice</t>
  </si>
  <si>
    <t xml:space="preserve">fried rice</t>
  </si>
  <si>
    <t xml:space="preserve">Korean fried rice with fermented cabbage</t>
  </si>
  <si>
    <t xml:space="preserve">sesame oil; rice; fried egg; kimchi</t>
  </si>
  <si>
    <t xml:space="preserve">fried rice; rice; fried egg; kimchi</t>
  </si>
  <si>
    <t xml:space="preserve">https://commons.wikimedia.org/w/index.php?search=Kimchi+Fried+Rice+food&amp;title=Special:MediaSearch&amp;type=image</t>
  </si>
  <si>
    <t xml:space="preserve">D0458</t>
  </si>
  <si>
    <t xml:space="preserve">Pad Thai</t>
  </si>
  <si>
    <t xml:space="preserve">Thailand</t>
  </si>
  <si>
    <t xml:space="preserve">rice noodles</t>
  </si>
  <si>
    <t xml:space="preserve">Thailand's stir-fried rice noodles with tamarind, peanuts and egg</t>
  </si>
  <si>
    <t xml:space="preserve">egg; bean sprouts; peanuts; tamarind; shrimp; rice noodles</t>
  </si>
  <si>
    <t xml:space="preserve">https://commons.wikimedia.org/w/index.php?search=Pad+Thai+food&amp;title=Special:MediaSearch&amp;type=image</t>
  </si>
  <si>
    <t xml:space="preserve">https://thumb.wikimedia.org/wikipedia/commons/thumb/3/39/Phat_Thai_kung_Chang_Khien_street_stall.jpg/1280px-Phat_Thai_kung_Chang_Khien_street_stall.jpg</t>
  </si>
  <si>
    <t xml:space="preserve">Takeaway</t>
  </si>
  <si>
    <t xml:space="preserve">D0459</t>
  </si>
  <si>
    <t xml:space="preserve">Tom Yum Goong</t>
  </si>
  <si>
    <t xml:space="preserve">lime leaf</t>
  </si>
  <si>
    <t xml:space="preserve">galangal</t>
  </si>
  <si>
    <t xml:space="preserve">lemongrass</t>
  </si>
  <si>
    <t xml:space="preserve">hot and sour soup</t>
  </si>
  <si>
    <t xml:space="preserve">Thai</t>
  </si>
  <si>
    <t xml:space="preserve">Thailand's hot and sour prawn soup</t>
  </si>
  <si>
    <t xml:space="preserve">lime leaf; galangal; lemongrass; prawns</t>
  </si>
  <si>
    <t xml:space="preserve">https://commons.wikimedia.org/w/index.php?search=Tom+Yum+Goong+food&amp;title=Special:MediaSearch&amp;type=image</t>
  </si>
  <si>
    <t xml:space="preserve">D0460</t>
  </si>
  <si>
    <t xml:space="preserve">Green Curry</t>
  </si>
  <si>
    <t xml:space="preserve">Gaeng Keow Wan</t>
  </si>
  <si>
    <t xml:space="preserve">thai basil</t>
  </si>
  <si>
    <t xml:space="preserve">thai eggplant</t>
  </si>
  <si>
    <t xml:space="preserve">green curry paste</t>
  </si>
  <si>
    <t xml:space="preserve">Thailand's coconut-milk curry made with fresh chillies and basil</t>
  </si>
  <si>
    <t xml:space="preserve">fish sauce; thai basil; thai eggplant; coconut milk; chicken; green curry paste</t>
  </si>
  <si>
    <t xml:space="preserve">https://commons.wikimedia.org/w/index.php?search=Green+Curry+food&amp;title=Special:MediaSearch&amp;type=image</t>
  </si>
  <si>
    <t xml:space="preserve">D0461</t>
  </si>
  <si>
    <t xml:space="preserve">Red Curry</t>
  </si>
  <si>
    <t xml:space="preserve">red curry paste</t>
  </si>
  <si>
    <t xml:space="preserve">Thailand's coconut-milk curry made with dried chilli paste</t>
  </si>
  <si>
    <t xml:space="preserve">fish sauce; bamboo shoot; thai basil; coconut milk; red curry paste</t>
  </si>
  <si>
    <t xml:space="preserve">https://commons.wikimedia.org/w/index.php?search=Red+Curry+food&amp;title=Special:MediaSearch&amp;type=image</t>
  </si>
  <si>
    <t xml:space="preserve">D0462</t>
  </si>
  <si>
    <t xml:space="preserve">Massaman Curry</t>
  </si>
  <si>
    <t xml:space="preserve">mild Muslim-influenced curry</t>
  </si>
  <si>
    <t xml:space="preserve">massaman paste</t>
  </si>
  <si>
    <t xml:space="preserve">Thailand's mild, rich curry with potatoes and peanuts</t>
  </si>
  <si>
    <t xml:space="preserve">peanuts; coconut milk; beef; massaman paste</t>
  </si>
  <si>
    <t xml:space="preserve">mild Muslim-influenced curry; massaman paste</t>
  </si>
  <si>
    <t xml:space="preserve">https://commons.wikimedia.org/w/index.php?search=Massaman+Curry+food&amp;title=Special:MediaSearch&amp;type=image</t>
  </si>
  <si>
    <t xml:space="preserve">D0463</t>
  </si>
  <si>
    <t xml:space="preserve">Panang Curry</t>
  </si>
  <si>
    <t xml:space="preserve">thick coconut cream</t>
  </si>
  <si>
    <t xml:space="preserve">thick, dry curry</t>
  </si>
  <si>
    <t xml:space="preserve">panang paste</t>
  </si>
  <si>
    <t xml:space="preserve">Thailand's thick, rich red curry</t>
  </si>
  <si>
    <t xml:space="preserve">peanuts; thick coconut cream; beef; panang paste</t>
  </si>
  <si>
    <t xml:space="preserve">thick, dry curry; panang paste</t>
  </si>
  <si>
    <t xml:space="preserve">https://commons.wikimedia.org/w/index.php?search=Panang+Curry+food&amp;title=Special:MediaSearch&amp;type=image</t>
  </si>
  <si>
    <t xml:space="preserve">https://thumb.wikimedia.org/wikipedia/commons/thumb/0/0d/Panang_curry_%2842943883862%29.jpg/1280px-Panang_curry_%2842943883862%29.jpg</t>
  </si>
  <si>
    <t xml:space="preserve">Vee Satayamas from Bangkok, Thailand</t>
  </si>
  <si>
    <t xml:space="preserve">D0464</t>
  </si>
  <si>
    <t xml:space="preserve">Som Tam</t>
  </si>
  <si>
    <t xml:space="preserve">Papaya Salad</t>
  </si>
  <si>
    <t xml:space="preserve">green papaya</t>
  </si>
  <si>
    <t xml:space="preserve">pounded salad</t>
  </si>
  <si>
    <t xml:space="preserve">Thailand's spicy pounded salad of unripe fruit</t>
  </si>
  <si>
    <t xml:space="preserve">lime; peanuts; fish sauce; green papaya</t>
  </si>
  <si>
    <t xml:space="preserve">https://commons.wikimedia.org/w/index.php?search=Som+Tam+food&amp;title=Special:MediaSearch&amp;type=image</t>
  </si>
  <si>
    <t xml:space="preserve">https://thumb.wikimedia.org/wikipedia/commons/thumb/3/34/2013_Tam_Lao.jpg/1280px-2013_Tam_Lao.jpg</t>
  </si>
  <si>
    <t xml:space="preserve">D0465</t>
  </si>
  <si>
    <t xml:space="preserve">Tom Kha Gai</t>
  </si>
  <si>
    <t xml:space="preserve">coconut chicken soup</t>
  </si>
  <si>
    <t xml:space="preserve">Thailand's coconut-milk chicken soup with galangal</t>
  </si>
  <si>
    <t xml:space="preserve">mushroom; coconut milk; galangal; chicken</t>
  </si>
  <si>
    <t xml:space="preserve">https://commons.wikimedia.org/w/index.php?search=Tom+Kha+Gai+food&amp;title=Special:MediaSearch&amp;type=image</t>
  </si>
  <si>
    <t xml:space="preserve">https://thumb.wikimedia.org/wikipedia/commons/thumb/e/e5/Flickr_preppybyday_4711943668--Tom_kha_gai.jpg/1280px-Flickr_preppybyday_4711943668--Tom_kha_gai.jpg</t>
  </si>
  <si>
    <t xml:space="preserve">Evan Joshua Swigart (TheCulinaryGeek) from Chicago, Illinois, USA; hometown of Ames, Iowa, USA</t>
  </si>
  <si>
    <t xml:space="preserve">D0466</t>
  </si>
  <si>
    <t xml:space="preserve">Pad Kra Pao</t>
  </si>
  <si>
    <t xml:space="preserve">oyster sauce</t>
  </si>
  <si>
    <t xml:space="preserve">holy basil</t>
  </si>
  <si>
    <t xml:space="preserve">basil stir-fry over rice</t>
  </si>
  <si>
    <t xml:space="preserve">Thailand's holy-basil stir-fry with a fried egg</t>
  </si>
  <si>
    <t xml:space="preserve">oyster sauce; fried egg; holy basil; minced pork</t>
  </si>
  <si>
    <t xml:space="preserve">https://commons.wikimedia.org/w/index.php?search=Pad+Kra+Pao+food&amp;title=Special:MediaSearch&amp;type=image</t>
  </si>
  <si>
    <t xml:space="preserve">D0467</t>
  </si>
  <si>
    <t xml:space="preserve">Khao Pad</t>
  </si>
  <si>
    <t xml:space="preserve">jasmine rice</t>
  </si>
  <si>
    <t xml:space="preserve">Thai fried rice</t>
  </si>
  <si>
    <t xml:space="preserve">Thailand's fried rice</t>
  </si>
  <si>
    <t xml:space="preserve">lime; egg; fish sauce; jasmine rice</t>
  </si>
  <si>
    <t xml:space="preserve">https://commons.wikimedia.org/w/index.php?search=Khao+Pad+food&amp;title=Special:MediaSearch&amp;type=image</t>
  </si>
  <si>
    <t xml:space="preserve">D0468</t>
  </si>
  <si>
    <t xml:space="preserve">Mango Sticky Rice</t>
  </si>
  <si>
    <t xml:space="preserve">ripe mango</t>
  </si>
  <si>
    <t xml:space="preserve">Thailand's sweet coconut glutinous rice with ripe fruit</t>
  </si>
  <si>
    <t xml:space="preserve">sesame; coconut milk; glutinous rice; ripe mango</t>
  </si>
  <si>
    <t xml:space="preserve">glutinous rice; ripe mango</t>
  </si>
  <si>
    <t xml:space="preserve">https://commons.wikimedia.org/w/index.php?search=Mango+Sticky+Rice+food&amp;title=Special:MediaSearch&amp;type=image</t>
  </si>
  <si>
    <t xml:space="preserve">https://thumb.wikimedia.org/wikipedia/commons/thumb/5/5d/Mango_sticy_rice_%283859549574%29.jpg/1280px-Mango_sticy_rice_%283859549574%29.jpg</t>
  </si>
  <si>
    <t xml:space="preserve">Dennis Wong from Hong Kong, Hong Kong</t>
  </si>
  <si>
    <t xml:space="preserve">D0469</t>
  </si>
  <si>
    <t xml:space="preserve">Khao Soi</t>
  </si>
  <si>
    <t xml:space="preserve">coconut curry</t>
  </si>
  <si>
    <t xml:space="preserve">crispy noodles</t>
  </si>
  <si>
    <t xml:space="preserve">curry noodle soup</t>
  </si>
  <si>
    <t xml:space="preserve">northern Thailand</t>
  </si>
  <si>
    <t xml:space="preserve">Chiang Mai</t>
  </si>
  <si>
    <t xml:space="preserve">Northern Thailand's coconut curry noodle soup</t>
  </si>
  <si>
    <t xml:space="preserve">coconut curry; crispy noodles; egg noodles</t>
  </si>
  <si>
    <t xml:space="preserve">https://commons.wikimedia.org/w/index.php?search=Khao+Soi+food&amp;title=Special:MediaSearch&amp;type=image</t>
  </si>
  <si>
    <t xml:space="preserve">https://thumb.wikimedia.org/wikipedia/commons/thumb/c/cf/Khao_Soi_Northern_Thai_food_%E0%B8%82%E0%B9%89%E0%B8%B2%E0%B8%A7%E0%B8%8B%E0%B8%AD%E0%B8%A2_%E0%B8%9C%E0%B8%B1%E0%B8%81%E0%B8%94%E0%B8%AD%E0%B8%87.jpg/1280px-Khao_Soi_Northern_Thai_food_%E0%B8%82%E0%B9%89%E0%B8%B2%E0%B8%A7%E0%B8%8B%E0%B8%AD%E0%B8%A2_%E0%B8%9C%E0%B8%B1%E0%B8%81%E0%B8%94%E0%B8%AD%E0%B8%87.jpg</t>
  </si>
  <si>
    <t xml:space="preserve">Chainwit.</t>
  </si>
  <si>
    <t xml:space="preserve">D0470</t>
  </si>
  <si>
    <t xml:space="preserve">Larb</t>
  </si>
  <si>
    <t xml:space="preserve">toasted rice powder</t>
  </si>
  <si>
    <t xml:space="preserve">Thai and Lao</t>
  </si>
  <si>
    <t xml:space="preserve">Thai minced meat salad with herbs and lime</t>
  </si>
  <si>
    <t xml:space="preserve">shallots; mint; fish sauce; toasted rice powder; minced meat</t>
  </si>
  <si>
    <t xml:space="preserve">https://commons.wikimedia.org/w/index.php?search=Larb+food&amp;title=Special:MediaSearch&amp;type=image</t>
  </si>
  <si>
    <t xml:space="preserve">https://thumb.wikimedia.org/wikipedia/commons/thumb/4/4a/LaoFood_LarbNeua.JPG/1280px-LaoFood_LarbNeua.JPG</t>
  </si>
  <si>
    <t xml:space="preserve">Jpatokal</t>
  </si>
  <si>
    <t xml:space="preserve">D0471</t>
  </si>
  <si>
    <t xml:space="preserve">Pad See Ew</t>
  </si>
  <si>
    <t xml:space="preserve">chinese broccoli</t>
  </si>
  <si>
    <t xml:space="preserve">dark soy sauce</t>
  </si>
  <si>
    <t xml:space="preserve">wide rice noodles</t>
  </si>
  <si>
    <t xml:space="preserve">wide noodles</t>
  </si>
  <si>
    <t xml:space="preserve">Thailand's stir-fried wide rice noodles in dark soy</t>
  </si>
  <si>
    <t xml:space="preserve">egg; chinese broccoli; dark soy sauce; wide rice noodles</t>
  </si>
  <si>
    <t xml:space="preserve">https://commons.wikimedia.org/w/index.php?search=Pad+See+Ew+food&amp;title=Special:MediaSearch&amp;type=image</t>
  </si>
  <si>
    <t xml:space="preserve">https://thumb.wikimedia.org/wikipedia/commons/thumb/a/ab/Pad_see_ew.jpg/1280px-Pad_see_ew.jpg</t>
  </si>
  <si>
    <t xml:space="preserve">stu_spivack</t>
  </si>
  <si>
    <t xml:space="preserve">D0476</t>
  </si>
  <si>
    <t xml:space="preserve">Pho</t>
  </si>
  <si>
    <t xml:space="preserve">Vietnam</t>
  </si>
  <si>
    <t xml:space="preserve">beef broth</t>
  </si>
  <si>
    <t xml:space="preserve">Vietnam's beef noodle soup with herbs</t>
  </si>
  <si>
    <t xml:space="preserve">bean sprouts; thai basil; rice noodles; beef broth</t>
  </si>
  <si>
    <t xml:space="preserve">https://commons.wikimedia.org/w/index.php?search=Pho+food&amp;title=Special:MediaSearch&amp;type=image</t>
  </si>
  <si>
    <t xml:space="preserve">https://thumb.wikimedia.org/wikipedia/commons/thumb/5/52/Bowl_of_Meatball_pho.jpg/1280px-Bowl_of_Meatball_pho.jpg</t>
  </si>
  <si>
    <t xml:space="preserve">SerraKnightz</t>
  </si>
  <si>
    <t xml:space="preserve">D0477</t>
  </si>
  <si>
    <t xml:space="preserve">Banh Mi</t>
  </si>
  <si>
    <t xml:space="preserve">pickled carrot</t>
  </si>
  <si>
    <t xml:space="preserve">pâté</t>
  </si>
  <si>
    <t xml:space="preserve">baguette</t>
  </si>
  <si>
    <t xml:space="preserve">sandwich</t>
  </si>
  <si>
    <t xml:space="preserve">Vietnam's baguette sandwich</t>
  </si>
  <si>
    <t xml:space="preserve">pickled carrot; pâté; pork; baguette</t>
  </si>
  <si>
    <t xml:space="preserve">https://commons.wikimedia.org/w/index.php?search=Banh+Mi+food&amp;title=Special:MediaSearch&amp;type=image</t>
  </si>
  <si>
    <t xml:space="preserve">D0478</t>
  </si>
  <si>
    <t xml:space="preserve">Bun Cha</t>
  </si>
  <si>
    <t xml:space="preserve">herbs</t>
  </si>
  <si>
    <t xml:space="preserve">rice vermicelli</t>
  </si>
  <si>
    <t xml:space="preserve">grilled pork patties</t>
  </si>
  <si>
    <t xml:space="preserve">grilled pork with noodles</t>
  </si>
  <si>
    <t xml:space="preserve">Hanoi</t>
  </si>
  <si>
    <t xml:space="preserve">Hanoi's grilled pork with rice noodles and dipping sauce</t>
  </si>
  <si>
    <t xml:space="preserve">fish sauce; herbs; rice vermicelli; grilled pork patties</t>
  </si>
  <si>
    <t xml:space="preserve">https://commons.wikimedia.org/w/index.php?search=Bun+Cha+food&amp;title=Special:MediaSearch&amp;type=image</t>
  </si>
  <si>
    <t xml:space="preserve">D0479</t>
  </si>
  <si>
    <t xml:space="preserve">Goi Cuon</t>
  </si>
  <si>
    <t xml:space="preserve">Fresh Spring Rolls</t>
  </si>
  <si>
    <t xml:space="preserve">peanut sauce</t>
  </si>
  <si>
    <t xml:space="preserve">rice paper</t>
  </si>
  <si>
    <t xml:space="preserve">not fried</t>
  </si>
  <si>
    <t xml:space="preserve">Vietnamese</t>
  </si>
  <si>
    <t xml:space="preserve">Vietnam's soft, uncooked rice-paper rolls with shrimp</t>
  </si>
  <si>
    <t xml:space="preserve">rice vermicelli; shrimp; peanut sauce; rice paper</t>
  </si>
  <si>
    <t xml:space="preserve">https://commons.wikimedia.org/w/index.php?search=Goi+Cuon+food&amp;title=Special:MediaSearch&amp;type=image</t>
  </si>
  <si>
    <t xml:space="preserve">https://thumb.wikimedia.org/wikipedia/commons/thumb/1/1a/Homemade_spring_rolls_%287010969349%29.jpg/1280px-Homemade_spring_rolls_%287010969349%29.jpg</t>
  </si>
  <si>
    <t xml:space="preserve">pelican from Tokyo, Japan</t>
  </si>
  <si>
    <t xml:space="preserve">D0480</t>
  </si>
  <si>
    <t xml:space="preserve">Cha Gio</t>
  </si>
  <si>
    <t xml:space="preserve">Fried Spring Rolls</t>
  </si>
  <si>
    <t xml:space="preserve">wood ear</t>
  </si>
  <si>
    <t xml:space="preserve">Vietnam's deep-fried rolls</t>
  </si>
  <si>
    <t xml:space="preserve">carrot; wood ear; pork; rice paper</t>
  </si>
  <si>
    <t xml:space="preserve">https://commons.wikimedia.org/w/index.php?search=Cha+Gio+food&amp;title=Special:MediaSearch&amp;type=image</t>
  </si>
  <si>
    <t xml:space="preserve">D0481</t>
  </si>
  <si>
    <t xml:space="preserve">Bun Bo Hue</t>
  </si>
  <si>
    <t xml:space="preserve">pork knuckle</t>
  </si>
  <si>
    <t xml:space="preserve">spicy beef noodle soup</t>
  </si>
  <si>
    <t xml:space="preserve">Hue</t>
  </si>
  <si>
    <t xml:space="preserve">Hue's spicy lemongrass beef noodle soup</t>
  </si>
  <si>
    <t xml:space="preserve">pork knuckle; chilli oil; lemongrass; beef</t>
  </si>
  <si>
    <t xml:space="preserve">https://commons.wikimedia.org/w/index.php?search=Bun+Bo+Hue+food&amp;title=Special:MediaSearch&amp;type=image</t>
  </si>
  <si>
    <t xml:space="preserve">https://thumb.wikimedia.org/wikipedia/commons/thumb/0/04/B%C3%BAn_b%C3%B2_Hu%E1%BA%BF_-_Ch%E1%BB%A3_%C4%90%C3%B4ng_Ba_%282024%29_-_img_02.jpg/1280px-B%C3%BAn_b%C3%B2_Hu%E1%BA%BF_-_Ch%E1%BB%A3_%C4%90%C3%B4ng_Ba_%282024%29_-_img_02.jpg</t>
  </si>
  <si>
    <t xml:space="preserve">D0482</t>
  </si>
  <si>
    <t xml:space="preserve">Com Tam</t>
  </si>
  <si>
    <t xml:space="preserve">pickles</t>
  </si>
  <si>
    <t xml:space="preserve">grilled pork chop</t>
  </si>
  <si>
    <t xml:space="preserve">broken rice</t>
  </si>
  <si>
    <t xml:space="preserve">Saigon</t>
  </si>
  <si>
    <t xml:space="preserve">Saigon's broken rice with grilled pork chop</t>
  </si>
  <si>
    <t xml:space="preserve">fried egg; pickles; fish sauce; grilled pork chop; broken rice</t>
  </si>
  <si>
    <t xml:space="preserve">https://commons.wikimedia.org/w/index.php?search=Com+Tam+food&amp;title=Special:MediaSearch&amp;type=image</t>
  </si>
  <si>
    <t xml:space="preserve">D0483</t>
  </si>
  <si>
    <t xml:space="preserve">Banh Xeo</t>
  </si>
  <si>
    <t xml:space="preserve">lettuce</t>
  </si>
  <si>
    <t xml:space="preserve">rice flour crepe</t>
  </si>
  <si>
    <t xml:space="preserve">sizzling crepe</t>
  </si>
  <si>
    <t xml:space="preserve">Vietnam's crisp turmeric crepe with shrimp and sprouts</t>
  </si>
  <si>
    <t xml:space="preserve">lettuce; bean sprouts; shrimp; rice flour crepe</t>
  </si>
  <si>
    <t xml:space="preserve">https://commons.wikimedia.org/w/index.php?search=Banh+Xeo+food&amp;title=Special:MediaSearch&amp;type=image</t>
  </si>
  <si>
    <t xml:space="preserve">D0487</t>
  </si>
  <si>
    <t xml:space="preserve">Nasi Lemak</t>
  </si>
  <si>
    <t xml:space="preserve">Malaysia</t>
  </si>
  <si>
    <t xml:space="preserve">anchovies</t>
  </si>
  <si>
    <t xml:space="preserve">sambal</t>
  </si>
  <si>
    <t xml:space="preserve">coconut rice</t>
  </si>
  <si>
    <t xml:space="preserve">Malaysian breakfast</t>
  </si>
  <si>
    <t xml:space="preserve">Malaysia's coconut rice with sambal, anchovies and egg</t>
  </si>
  <si>
    <t xml:space="preserve">peanuts; boiled egg; anchovies; sambal; coconut rice</t>
  </si>
  <si>
    <t xml:space="preserve">https://commons.wikimedia.org/w/index.php?search=Nasi+Lemak+food&amp;title=Special:MediaSearch&amp;type=image</t>
  </si>
  <si>
    <t xml:space="preserve">https://thumb.wikimedia.org/wikipedia/commons/thumb/5/55/Nasi_Lemak_dengan_Chili_Nasi_Lemak_dan_Sotong_Pedas%2C_di_Penang_Summer_Restaurant.jpg/1280px-Nasi_Lemak_dengan_Chili_Nasi_Lemak_dan_Sotong_Pedas%2C_di_Penang_Summer_Restaurant.jpg</t>
  </si>
  <si>
    <t xml:space="preserve">Meandkancil2020</t>
  </si>
  <si>
    <t xml:space="preserve">D0488</t>
  </si>
  <si>
    <t xml:space="preserve">Char Kway Teow</t>
  </si>
  <si>
    <t xml:space="preserve">cockles</t>
  </si>
  <si>
    <t xml:space="preserve">lap cheong</t>
  </si>
  <si>
    <t xml:space="preserve">flat rice noodles</t>
  </si>
  <si>
    <t xml:space="preserve">wok-fried noodles</t>
  </si>
  <si>
    <t xml:space="preserve">Penang hawker</t>
  </si>
  <si>
    <t xml:space="preserve">Malaysia's smoky wok-fried flat rice noodles</t>
  </si>
  <si>
    <t xml:space="preserve">cockles; lap cheong; dark soy sauce; flat rice noodles</t>
  </si>
  <si>
    <t xml:space="preserve">https://commons.wikimedia.org/w/index.php?search=Char+Kway+Teow+food&amp;title=Special:MediaSearch&amp;type=image</t>
  </si>
  <si>
    <t xml:space="preserve">D0489</t>
  </si>
  <si>
    <t xml:space="preserve">Laksa</t>
  </si>
  <si>
    <t xml:space="preserve">tofu puffs</t>
  </si>
  <si>
    <t xml:space="preserve">coconut curry broth</t>
  </si>
  <si>
    <t xml:space="preserve">Malaysian</t>
  </si>
  <si>
    <t xml:space="preserve">Malaysia's spicy coconut curry noodle soup</t>
  </si>
  <si>
    <t xml:space="preserve">tofu puffs; shrimp; coconut curry broth; noodles</t>
  </si>
  <si>
    <t xml:space="preserve">Shared by Malaysia, Singapore and Indonesia</t>
  </si>
  <si>
    <t xml:space="preserve">https://commons.wikimedia.org/w/index.php?search=Laksa+food&amp;title=Special:MediaSearch&amp;type=image</t>
  </si>
  <si>
    <t xml:space="preserve">D0491</t>
  </si>
  <si>
    <t xml:space="preserve">Roti Canai</t>
  </si>
  <si>
    <t xml:space="preserve">dhal</t>
  </si>
  <si>
    <t xml:space="preserve">curry</t>
  </si>
  <si>
    <t xml:space="preserve">Malaysia's flaky flatbread with curry</t>
  </si>
  <si>
    <t xml:space="preserve">egg; dhal; curry; flaky flatbread</t>
  </si>
  <si>
    <t xml:space="preserve">Indian-origin flatbread, now Malaysian</t>
  </si>
  <si>
    <t xml:space="preserve">https://commons.wikimedia.org/w/index.php?search=Roti+Canai+food&amp;title=Special:MediaSearch&amp;type=image</t>
  </si>
  <si>
    <t xml:space="preserve">D0492</t>
  </si>
  <si>
    <t xml:space="preserve">Satay</t>
  </si>
  <si>
    <t xml:space="preserve">Indonesia</t>
  </si>
  <si>
    <t xml:space="preserve">kecap manis</t>
  </si>
  <si>
    <t xml:space="preserve">Grilled meat skewers with peanut sauce</t>
  </si>
  <si>
    <t xml:space="preserve">lemongrass; kecap manis; peanut sauce</t>
  </si>
  <si>
    <t xml:space="preserve">Shared by Indonesia, Malaysia, Singapore and Thailand</t>
  </si>
  <si>
    <t xml:space="preserve">https://commons.wikimedia.org/w/index.php?search=Satay+food&amp;title=Special:MediaSearch&amp;type=image</t>
  </si>
  <si>
    <t xml:space="preserve">D0493</t>
  </si>
  <si>
    <t xml:space="preserve">Rendang</t>
  </si>
  <si>
    <t xml:space="preserve">kerisik</t>
  </si>
  <si>
    <t xml:space="preserve">slow-cooked beef</t>
  </si>
  <si>
    <t xml:space="preserve">slow-cooked dry curry</t>
  </si>
  <si>
    <t xml:space="preserve">Indonesian</t>
  </si>
  <si>
    <t xml:space="preserve">Indonesia's slow-cooked dry beef curry</t>
  </si>
  <si>
    <t xml:space="preserve">lemongrass; kerisik; coconut milk; slow-cooked beef</t>
  </si>
  <si>
    <t xml:space="preserve">Indonesia (Minangkabau) and Malaysia</t>
  </si>
  <si>
    <t xml:space="preserve">https://commons.wikimedia.org/w/index.php?search=Rendang+food&amp;title=Special:MediaSearch&amp;type=image</t>
  </si>
  <si>
    <t xml:space="preserve">https://thumb.wikimedia.org/wikipedia/commons/thumb/7/70/Rendang_daging_sapi_asli_Padang.JPG/1280px-Rendang_daging_sapi_asli_Padang.JPG</t>
  </si>
  <si>
    <t xml:space="preserve">Midori</t>
  </si>
  <si>
    <t xml:space="preserve">D0494</t>
  </si>
  <si>
    <t xml:space="preserve">Nasi Goreng</t>
  </si>
  <si>
    <t xml:space="preserve">Indonesia's sweet-soy fried rice</t>
  </si>
  <si>
    <t xml:space="preserve">shallots; sambal; fried egg; kecap manis</t>
  </si>
  <si>
    <t xml:space="preserve">https://commons.wikimedia.org/w/index.php?search=Nasi+Goreng+food&amp;title=Special:MediaSearch&amp;type=image</t>
  </si>
  <si>
    <t xml:space="preserve">https://thumb.wikimedia.org/wikipedia/commons/thumb/c/c7/Nasi_Goreng_Kampung_%2811967588375%29.jpg/1280px-Nasi_Goreng_Kampung_%2811967588375%29.jpg</t>
  </si>
  <si>
    <t xml:space="preserve">shankar s. from Dubai, united arab emirates</t>
  </si>
  <si>
    <t xml:space="preserve">D0495</t>
  </si>
  <si>
    <t xml:space="preserve">Mie Goreng</t>
  </si>
  <si>
    <t xml:space="preserve">fried noodles</t>
  </si>
  <si>
    <t xml:space="preserve">Indonesia's sweet-soy fried noodles</t>
  </si>
  <si>
    <t xml:space="preserve">egg; cabbage; shallots; kecap manis; fried noodles</t>
  </si>
  <si>
    <t xml:space="preserve">https://commons.wikimedia.org/w/index.php?search=Mie+Goreng+food&amp;title=Special:MediaSearch&amp;type=image</t>
  </si>
  <si>
    <t xml:space="preserve">https://thumb.wikimedia.org/wikipedia/commons/thumb/f/f0/Mi_Goreng_GM.jpg/1280px-Mi_Goreng_GM.jpg</t>
  </si>
  <si>
    <t xml:space="preserve">Gunawan Kartapranata</t>
  </si>
  <si>
    <t xml:space="preserve">D0496</t>
  </si>
  <si>
    <t xml:space="preserve">Gado-Gado</t>
  </si>
  <si>
    <t xml:space="preserve">tempeh</t>
  </si>
  <si>
    <t xml:space="preserve">blanched vegetables</t>
  </si>
  <si>
    <t xml:space="preserve">Indonesia's vegetable salad with peanut sauce</t>
  </si>
  <si>
    <t xml:space="preserve">boiled egg; tofu; tempeh; blanched vegetables; peanut sauce</t>
  </si>
  <si>
    <t xml:space="preserve">https://commons.wikimedia.org/w/index.php?search=Gado-Gado+food&amp;title=Special:MediaSearch&amp;type=image</t>
  </si>
  <si>
    <t xml:space="preserve">D0497</t>
  </si>
  <si>
    <t xml:space="preserve">Soto Ayam</t>
  </si>
  <si>
    <t xml:space="preserve">turmeric broth</t>
  </si>
  <si>
    <t xml:space="preserve">yellow chicken soup</t>
  </si>
  <si>
    <t xml:space="preserve">Indonesia's turmeric chicken soup</t>
  </si>
  <si>
    <t xml:space="preserve">boiled egg; glass noodles; turmeric broth; chicken</t>
  </si>
  <si>
    <t xml:space="preserve">https://commons.wikimedia.org/w/index.php?search=Soto+Ayam+food&amp;title=Special:MediaSearch&amp;type=image</t>
  </si>
  <si>
    <t xml:space="preserve">D0499</t>
  </si>
  <si>
    <t xml:space="preserve">Martabak</t>
  </si>
  <si>
    <t xml:space="preserve">stuffed pancake</t>
  </si>
  <si>
    <t xml:space="preserve">Indonesian street food</t>
  </si>
  <si>
    <t xml:space="preserve">Indonesia's stuffed, folded street pancake</t>
  </si>
  <si>
    <t xml:space="preserve">spring onion; egg; minced meat; stuffed pancake</t>
  </si>
  <si>
    <t xml:space="preserve">https://commons.wikimedia.org/w/index.php?search=Martabak+food&amp;title=Special:MediaSearch&amp;type=image</t>
  </si>
  <si>
    <t xml:space="preserve">https://thumb.wikimedia.org/wikipedia/commons/thumb/6/63/Murtabak.jpg/1280px-Murtabak.jpg</t>
  </si>
  <si>
    <t xml:space="preserve">Mojackjutaily</t>
  </si>
  <si>
    <t xml:space="preserve">D0500</t>
  </si>
  <si>
    <t xml:space="preserve">Bakso</t>
  </si>
  <si>
    <t xml:space="preserve">beef meatballs</t>
  </si>
  <si>
    <t xml:space="preserve">meatball soup</t>
  </si>
  <si>
    <t xml:space="preserve">Indonesia's beef meatball soup</t>
  </si>
  <si>
    <t xml:space="preserve">noodles; tofu; broth; beef meatballs</t>
  </si>
  <si>
    <t xml:space="preserve">https://commons.wikimedia.org/w/index.php?search=Bakso+food&amp;title=Special:MediaSearch&amp;type=image</t>
  </si>
  <si>
    <t xml:space="preserve">D0502</t>
  </si>
  <si>
    <t xml:space="preserve">Chilli Crab</t>
  </si>
  <si>
    <t xml:space="preserve">mantou</t>
  </si>
  <si>
    <t xml:space="preserve">crab in sauce</t>
  </si>
  <si>
    <t xml:space="preserve">chilli</t>
  </si>
  <si>
    <t xml:space="preserve">mud crab</t>
  </si>
  <si>
    <t xml:space="preserve">Singapore's shellfish in sweet-spicy tomato sauce</t>
  </si>
  <si>
    <t xml:space="preserve">ketchup; mantou; chilli; mud crab</t>
  </si>
  <si>
    <t xml:space="preserve">crab in sauce; chilli; mud crab</t>
  </si>
  <si>
    <t xml:space="preserve">https://commons.wikimedia.org/w/index.php?search=Chilli+Crab+food&amp;title=Special:MediaSearch&amp;type=image</t>
  </si>
  <si>
    <t xml:space="preserve">D0503</t>
  </si>
  <si>
    <t xml:space="preserve">Kaya Toast</t>
  </si>
  <si>
    <t xml:space="preserve">soft-boiled egg</t>
  </si>
  <si>
    <t xml:space="preserve">kopi</t>
  </si>
  <si>
    <t xml:space="preserve">coconut jam</t>
  </si>
  <si>
    <t xml:space="preserve">breakfast toast</t>
  </si>
  <si>
    <t xml:space="preserve">toast</t>
  </si>
  <si>
    <t xml:space="preserve">Singapore's toast with coconut jam and butter</t>
  </si>
  <si>
    <t xml:space="preserve">soft-boiled egg; kopi; coconut jam; toast</t>
  </si>
  <si>
    <t xml:space="preserve">breakfast toast; toast</t>
  </si>
  <si>
    <t xml:space="preserve">Singapore and Malaysia</t>
  </si>
  <si>
    <t xml:space="preserve">https://commons.wikimedia.org/w/index.php?search=Kaya+Toast+food&amp;title=Special:MediaSearch&amp;type=image</t>
  </si>
  <si>
    <t xml:space="preserve">D0504</t>
  </si>
  <si>
    <t xml:space="preserve">Bak Kut Teh</t>
  </si>
  <si>
    <t xml:space="preserve">herbal broth</t>
  </si>
  <si>
    <t xml:space="preserve">pork ribs</t>
  </si>
  <si>
    <t xml:space="preserve">herbal pork rib soup</t>
  </si>
  <si>
    <t xml:space="preserve">Malaysia's peppery herbal pork rib soup</t>
  </si>
  <si>
    <t xml:space="preserve">star anise; herbal broth; pork ribs</t>
  </si>
  <si>
    <t xml:space="preserve">Malaysia and Singapore</t>
  </si>
  <si>
    <t xml:space="preserve">https://commons.wikimedia.org/w/index.php?search=Bak+Kut+Teh+food&amp;title=Special:MediaSearch&amp;type=image</t>
  </si>
  <si>
    <t xml:space="preserve">https://thumb.wikimedia.org/wikipedia/commons/thumb/f/fb/Song_Fa_Bak_Kut_Teh%2C_New_Bridge_Rd%2C_Singapore_%282023%29_06.jpg/1280px-Song_Fa_Bak_Kut_Teh%2C_New_Bridge_Rd%2C_Singapore_%282023%29_06.jpg</t>
  </si>
  <si>
    <t xml:space="preserve">D0505</t>
  </si>
  <si>
    <t xml:space="preserve">Hokkien Mee</t>
  </si>
  <si>
    <t xml:space="preserve">pork lard</t>
  </si>
  <si>
    <t xml:space="preserve">yellow noodles</t>
  </si>
  <si>
    <t xml:space="preserve">prawn noodles</t>
  </si>
  <si>
    <t xml:space="preserve">Singapore's prawn noodles fried in rich stock</t>
  </si>
  <si>
    <t xml:space="preserve">pork lard; sambal; prawns; yellow noodles</t>
  </si>
  <si>
    <t xml:space="preserve">https://commons.wikimedia.org/w/index.php?search=Hokkien+Mee+food&amp;title=Special:MediaSearch&amp;type=image</t>
  </si>
  <si>
    <t xml:space="preserve">https://thumb.wikimedia.org/wikipedia/commons/thumb/7/75/Newton_HokkienMee.JPG/1280px-Newton_HokkienMee.JPG</t>
  </si>
  <si>
    <t xml:space="preserve">D0507</t>
  </si>
  <si>
    <t xml:space="preserve">Adobo</t>
  </si>
  <si>
    <t xml:space="preserve">Philippines</t>
  </si>
  <si>
    <t xml:space="preserve">vinegar-soy braise</t>
  </si>
  <si>
    <t xml:space="preserve">Filipino</t>
  </si>
  <si>
    <t xml:space="preserve">The Philippines' vinegar and soy braised chicken or pork</t>
  </si>
  <si>
    <t xml:space="preserve">bay leaf; soy sauce; vinegar; chicken</t>
  </si>
  <si>
    <t xml:space="preserve">https://commons.wikimedia.org/w/index.php?search=Adobo+food&amp;title=Special:MediaSearch&amp;type=image</t>
  </si>
  <si>
    <t xml:space="preserve">https://thumb.wikimedia.org/wikipedia/commons/thumb/8/8f/Lomo_en_adobo-2009.jpg/1280px-Lomo_en_adobo-2009.jpg</t>
  </si>
  <si>
    <t xml:space="preserve">Tamorlan</t>
  </si>
  <si>
    <t xml:space="preserve">D0508</t>
  </si>
  <si>
    <t xml:space="preserve">Sinigang</t>
  </si>
  <si>
    <t xml:space="preserve">kangkong</t>
  </si>
  <si>
    <t xml:space="preserve">tamarind broth</t>
  </si>
  <si>
    <t xml:space="preserve">sour soup</t>
  </si>
  <si>
    <t xml:space="preserve">The Philippines' sour tamarind soup</t>
  </si>
  <si>
    <t xml:space="preserve">kangkong; radish; tamarind broth; pork</t>
  </si>
  <si>
    <t xml:space="preserve">https://commons.wikimedia.org/w/index.php?search=Sinigang+food&amp;title=Special:MediaSearch&amp;type=image</t>
  </si>
  <si>
    <t xml:space="preserve">https://thumb.wikimedia.org/wikipedia/commons/thumb/c/c3/The_Best_Sinigang_Cuisine.jpg/1280px-The_Best_Sinigang_Cuisine.jpg</t>
  </si>
  <si>
    <t xml:space="preserve">Jessartcam</t>
  </si>
  <si>
    <t xml:space="preserve">D0509</t>
  </si>
  <si>
    <t xml:space="preserve">Lechon</t>
  </si>
  <si>
    <t xml:space="preserve">crackling skin</t>
  </si>
  <si>
    <t xml:space="preserve">spit-roasted</t>
  </si>
  <si>
    <t xml:space="preserve">whole pig</t>
  </si>
  <si>
    <t xml:space="preserve">whole roast pig</t>
  </si>
  <si>
    <t xml:space="preserve">The Philippines' spit-roasted whole pig</t>
  </si>
  <si>
    <t xml:space="preserve">lemongrass; whole pig</t>
  </si>
  <si>
    <t xml:space="preserve">https://commons.wikimedia.org/w/index.php?search=Lechon+food&amp;title=Special:MediaSearch&amp;type=image</t>
  </si>
  <si>
    <t xml:space="preserve">https://thumb.wikimedia.org/wikipedia/commons/thumb/9/95/Cochinillos-Mercado_de_la_Cebada.jpg/1280px-Cochinillos-Mercado_de_la_Cebada.jpg</t>
  </si>
  <si>
    <t xml:space="preserve">D0510</t>
  </si>
  <si>
    <t xml:space="preserve">Kare-Kare</t>
  </si>
  <si>
    <t xml:space="preserve">bagoong</t>
  </si>
  <si>
    <t xml:space="preserve">oxtail</t>
  </si>
  <si>
    <t xml:space="preserve">peanut stew</t>
  </si>
  <si>
    <t xml:space="preserve">The Philippines' oxtail stew in peanut sauce</t>
  </si>
  <si>
    <t xml:space="preserve">aubergine; bagoong; peanut sauce; oxtail</t>
  </si>
  <si>
    <t xml:space="preserve">https://commons.wikimedia.org/w/index.php?search=Kare-Kare+food&amp;title=Special:MediaSearch&amp;type=image</t>
  </si>
  <si>
    <t xml:space="preserve">D0511</t>
  </si>
  <si>
    <t xml:space="preserve">Sisig</t>
  </si>
  <si>
    <t xml:space="preserve">calamansi</t>
  </si>
  <si>
    <t xml:space="preserve">sizzling plate</t>
  </si>
  <si>
    <t xml:space="preserve">pig face</t>
  </si>
  <si>
    <t xml:space="preserve">sizzling pork</t>
  </si>
  <si>
    <t xml:space="preserve">The Philippines' sizzling chopped pork</t>
  </si>
  <si>
    <t xml:space="preserve">egg; calamansi; pig face</t>
  </si>
  <si>
    <t xml:space="preserve">https://commons.wikimedia.org/w/index.php?search=Sisig+food&amp;title=Special:MediaSearch&amp;type=image</t>
  </si>
  <si>
    <t xml:space="preserve">https://thumb.wikimedia.org/wikipedia/commons/thumb/d/d7/Authentic_Kapampangan_Sisig.jpg/1280px-Authentic_Kapampangan_Sisig.jpg</t>
  </si>
  <si>
    <t xml:space="preserve">Joy L. Cruz</t>
  </si>
  <si>
    <t xml:space="preserve">D0512</t>
  </si>
  <si>
    <t xml:space="preserve">Lumpia</t>
  </si>
  <si>
    <t xml:space="preserve">sweet chilli sauce</t>
  </si>
  <si>
    <t xml:space="preserve">spring roll wrapper</t>
  </si>
  <si>
    <t xml:space="preserve">spring rolls</t>
  </si>
  <si>
    <t xml:space="preserve">The Philippines' spring rolls</t>
  </si>
  <si>
    <t xml:space="preserve">carrot; sweet chilli sauce; spring roll wrapper; pork</t>
  </si>
  <si>
    <t xml:space="preserve">Shared across the Philippines and Indonesia</t>
  </si>
  <si>
    <t xml:space="preserve">https://commons.wikimedia.org/w/index.php?search=Lumpia+food&amp;title=Special:MediaSearch&amp;type=image</t>
  </si>
  <si>
    <t xml:space="preserve">https://thumb.wikimedia.org/wikipedia/commons/thumb/4/43/Loenpia_Semarang.JPG/1280px-Loenpia_Semarang.JPG</t>
  </si>
  <si>
    <t xml:space="preserve">D0513</t>
  </si>
  <si>
    <t xml:space="preserve">Pancit Canton</t>
  </si>
  <si>
    <t xml:space="preserve">The Philippines' stir-fried egg noodles</t>
  </si>
  <si>
    <t xml:space="preserve">soy sauce; cabbage; calamansi; egg noodles</t>
  </si>
  <si>
    <t xml:space="preserve">https://commons.wikimedia.org/w/index.php?search=Pancit+Canton+food&amp;title=Special:MediaSearch&amp;type=image</t>
  </si>
  <si>
    <t xml:space="preserve">https://thumb.wikimedia.org/wikipedia/commons/thumb/e/ef/Pancit_Ilonggo_Style_-_12110747826.jpg/1280px-Pancit_Ilonggo_Style_-_12110747826.jpg</t>
  </si>
  <si>
    <t xml:space="preserve">pulaw</t>
  </si>
  <si>
    <t xml:space="preserve">D0517</t>
  </si>
  <si>
    <t xml:space="preserve">Fish Amok</t>
  </si>
  <si>
    <t xml:space="preserve">Cambodia</t>
  </si>
  <si>
    <t xml:space="preserve">noni leaf</t>
  </si>
  <si>
    <t xml:space="preserve">coconut custard</t>
  </si>
  <si>
    <t xml:space="preserve">steamed fish curry</t>
  </si>
  <si>
    <t xml:space="preserve">Cambodia's steamed fish curry in banana leaf</t>
  </si>
  <si>
    <t xml:space="preserve">noni leaf; coconut custard; fish</t>
  </si>
  <si>
    <t xml:space="preserve">steamed fish curry; fish</t>
  </si>
  <si>
    <t xml:space="preserve">https://commons.wikimedia.org/w/index.php?search=Fish+Amok+food&amp;title=Special:MediaSearch&amp;type=image</t>
  </si>
  <si>
    <t xml:space="preserve">D0519</t>
  </si>
  <si>
    <t xml:space="preserve">Mohinga</t>
  </si>
  <si>
    <t xml:space="preserve">Myanmar</t>
  </si>
  <si>
    <t xml:space="preserve">chickpea fritters</t>
  </si>
  <si>
    <t xml:space="preserve">fish broth</t>
  </si>
  <si>
    <t xml:space="preserve">fish noodle soup</t>
  </si>
  <si>
    <t xml:space="preserve">Myanmar breakfast</t>
  </si>
  <si>
    <t xml:space="preserve">Myanmar's fish and rice noodle soup</t>
  </si>
  <si>
    <t xml:space="preserve">lemongrass; chickpea fritters; fish broth; rice noodles</t>
  </si>
  <si>
    <t xml:space="preserve">https://commons.wikimedia.org/w/index.php?search=Mohinga+food&amp;title=Special:MediaSearch&amp;type=image</t>
  </si>
  <si>
    <t xml:space="preserve">D0522</t>
  </si>
  <si>
    <t xml:space="preserve">Kottu Roti</t>
  </si>
  <si>
    <t xml:space="preserve">Sri Lanka</t>
  </si>
  <si>
    <t xml:space="preserve">chopped flatbread stir-fry</t>
  </si>
  <si>
    <t xml:space="preserve">Sri Lankan street food</t>
  </si>
  <si>
    <t xml:space="preserve">chopped godamba roti</t>
  </si>
  <si>
    <t xml:space="preserve">Sri Lanka's chopped flatbread stir-fried with curry</t>
  </si>
  <si>
    <t xml:space="preserve">egg; cabbage; curry</t>
  </si>
  <si>
    <t xml:space="preserve">https://commons.wikimedia.org/w/index.php?search=Kottu+Roti+food&amp;title=Special:MediaSearch&amp;type=image</t>
  </si>
  <si>
    <t xml:space="preserve">D0523</t>
  </si>
  <si>
    <t xml:space="preserve">Hoppers</t>
  </si>
  <si>
    <t xml:space="preserve">Appa</t>
  </si>
  <si>
    <t xml:space="preserve">fermented rice batter</t>
  </si>
  <si>
    <t xml:space="preserve">Sri Lankan</t>
  </si>
  <si>
    <t xml:space="preserve">Sri Lanka's bowl-shaped crisp pancakes</t>
  </si>
  <si>
    <t xml:space="preserve">egg; coconut milk; fermented rice batter</t>
  </si>
  <si>
    <t xml:space="preserve">https://commons.wikimedia.org/w/index.php?search=Hoppers+food&amp;title=Special:MediaSearch&amp;type=image</t>
  </si>
  <si>
    <t xml:space="preserve">D0527</t>
  </si>
  <si>
    <t xml:space="preserve">Kacchi Biryani</t>
  </si>
  <si>
    <t xml:space="preserve">Bangladesh</t>
  </si>
  <si>
    <t xml:space="preserve">Dhaka</t>
  </si>
  <si>
    <t xml:space="preserve">Dhaka's layered mutton rice with potato</t>
  </si>
  <si>
    <t xml:space="preserve">potato; yogurt; kewra; saffron; mutton</t>
  </si>
  <si>
    <t xml:space="preserve">https://commons.wikimedia.org/w/index.php?search=Kacchi+Biryani+food&amp;title=Special:MediaSearch&amp;type=image</t>
  </si>
  <si>
    <t xml:space="preserve">D0530</t>
  </si>
  <si>
    <t xml:space="preserve">Dal Bhat</t>
  </si>
  <si>
    <t xml:space="preserve">Nepal</t>
  </si>
  <si>
    <t xml:space="preserve">achar</t>
  </si>
  <si>
    <t xml:space="preserve">vegetable curry</t>
  </si>
  <si>
    <t xml:space="preserve">lentil soup</t>
  </si>
  <si>
    <t xml:space="preserve">rice and lentils</t>
  </si>
  <si>
    <t xml:space="preserve">Nepal's everyday plate of rice and lentil soup</t>
  </si>
  <si>
    <t xml:space="preserve">rice; achar; vegetable curry; lentil soup</t>
  </si>
  <si>
    <t xml:space="preserve">Nepal, also Bangladesh and India</t>
  </si>
  <si>
    <t xml:space="preserve">https://commons.wikimedia.org/w/index.php?search=Dal+Bhat+food&amp;title=Special:MediaSearch&amp;type=image</t>
  </si>
  <si>
    <t xml:space="preserve">D0533</t>
  </si>
  <si>
    <t xml:space="preserve">Ema Datshi</t>
  </si>
  <si>
    <t xml:space="preserve">Bhutan</t>
  </si>
  <si>
    <t xml:space="preserve">red rice</t>
  </si>
  <si>
    <t xml:space="preserve">chilli and cheese stew</t>
  </si>
  <si>
    <t xml:space="preserve">Bhutan's chilli-and-cheese stew</t>
  </si>
  <si>
    <t xml:space="preserve">tomato; red rice; cheese</t>
  </si>
  <si>
    <t xml:space="preserve">https://commons.wikimedia.org/w/index.php?search=Ema+Datshi+food&amp;title=Special:MediaSearch&amp;type=image</t>
  </si>
  <si>
    <t xml:space="preserve">D0535</t>
  </si>
  <si>
    <t xml:space="preserve">Karahi Gosht</t>
  </si>
  <si>
    <t xml:space="preserve">Pakistan</t>
  </si>
  <si>
    <t xml:space="preserve">wok</t>
  </si>
  <si>
    <t xml:space="preserve">wok curry</t>
  </si>
  <si>
    <t xml:space="preserve">Pakistani</t>
  </si>
  <si>
    <t xml:space="preserve">Pakistan's mutton cooked in a wok-like pan</t>
  </si>
  <si>
    <t xml:space="preserve">tomato; mutton</t>
  </si>
  <si>
    <t xml:space="preserve">https://commons.wikimedia.org/w/index.php?search=Karahi+Gosht+food&amp;title=Special:MediaSearch&amp;type=image</t>
  </si>
  <si>
    <t xml:space="preserve">D0536</t>
  </si>
  <si>
    <t xml:space="preserve">Chapli Kebab</t>
  </si>
  <si>
    <t xml:space="preserve">pomegranate seeds</t>
  </si>
  <si>
    <t xml:space="preserve">flat patty</t>
  </si>
  <si>
    <t xml:space="preserve">minced beef</t>
  </si>
  <si>
    <t xml:space="preserve">Peshawar</t>
  </si>
  <si>
    <t xml:space="preserve">Peshawar's flat, spicy minced beef patty</t>
  </si>
  <si>
    <t xml:space="preserve">tomato; coriander seed; pomegranate seeds; flat patty; minced beef</t>
  </si>
  <si>
    <t xml:space="preserve">https://commons.wikimedia.org/w/index.php?search=Chapli+Kebab+food&amp;title=Special:MediaSearch&amp;type=image</t>
  </si>
  <si>
    <t xml:space="preserve">https://thumb.wikimedia.org/wikipedia/commons/thumb/3/33/Chapli_Kebab.jpg/1280px-Chapli_Kebab.jpg</t>
  </si>
  <si>
    <t xml:space="preserve">Murcotipton</t>
  </si>
  <si>
    <t xml:space="preserve">D0539</t>
  </si>
  <si>
    <t xml:space="preserve">Kabuli Pulao</t>
  </si>
  <si>
    <t xml:space="preserve">Afghanistan</t>
  </si>
  <si>
    <t xml:space="preserve">julienned carrot</t>
  </si>
  <si>
    <t xml:space="preserve">lamb</t>
  </si>
  <si>
    <t xml:space="preserve">national rice dish</t>
  </si>
  <si>
    <t xml:space="preserve">Afghan</t>
  </si>
  <si>
    <t xml:space="preserve">Afghanistan's rice with lamb, carrots and raisins</t>
  </si>
  <si>
    <t xml:space="preserve">almond; raisins; julienned carrot; lamb</t>
  </si>
  <si>
    <t xml:space="preserve">https://commons.wikimedia.org/w/index.php?search=Kabuli+Pulao+food&amp;title=Special:MediaSearch&amp;type=image</t>
  </si>
  <si>
    <t xml:space="preserve">D0542</t>
  </si>
  <si>
    <t xml:space="preserve">Plov</t>
  </si>
  <si>
    <t xml:space="preserve">Uzbekistan</t>
  </si>
  <si>
    <t xml:space="preserve">Central Asia</t>
  </si>
  <si>
    <t xml:space="preserve">yellow carrot</t>
  </si>
  <si>
    <t xml:space="preserve">kazan</t>
  </si>
  <si>
    <t xml:space="preserve">rice pilaf</t>
  </si>
  <si>
    <t xml:space="preserve">Uzbekistan's rice pilaf with lamb and carrots</t>
  </si>
  <si>
    <t xml:space="preserve">chickpeas; yellow carrot; lamb</t>
  </si>
  <si>
    <t xml:space="preserve">Shared across Central Asia</t>
  </si>
  <si>
    <t xml:space="preserve">https://commons.wikimedia.org/w/index.php?search=Plov+food&amp;title=Special:MediaSearch&amp;type=image</t>
  </si>
  <si>
    <t xml:space="preserve">D0543</t>
  </si>
  <si>
    <t xml:space="preserve">Lagman</t>
  </si>
  <si>
    <t xml:space="preserve">Central Asia's hand-pulled noodles with lamb</t>
  </si>
  <si>
    <t xml:space="preserve">tomato; capsicum; lamb; hand-pulled noodles</t>
  </si>
  <si>
    <t xml:space="preserve">https://commons.wikimedia.org/w/index.php?search=Lagman+food&amp;title=Special:MediaSearch&amp;type=image</t>
  </si>
  <si>
    <t xml:space="preserve">D0548</t>
  </si>
  <si>
    <t xml:space="preserve">Margherita Pizza</t>
  </si>
  <si>
    <t xml:space="preserve">Italy</t>
  </si>
  <si>
    <t xml:space="preserve">Southern Europe</t>
  </si>
  <si>
    <t xml:space="preserve">basil</t>
  </si>
  <si>
    <t xml:space="preserve">mozzarella</t>
  </si>
  <si>
    <t xml:space="preserve">wood-fired</t>
  </si>
  <si>
    <t xml:space="preserve">three colours of the flag</t>
  </si>
  <si>
    <t xml:space="preserve">Naples</t>
  </si>
  <si>
    <t xml:space="preserve">Naples' classic with tomato, mozzarella and basil</t>
  </si>
  <si>
    <t xml:space="preserve">yeast dough; basil; mozzarella</t>
  </si>
  <si>
    <t xml:space="preserve">https://commons.wikimedia.org/w/index.php?search=Margherita+Pizza+food&amp;title=Special:MediaSearch&amp;type=image</t>
  </si>
  <si>
    <t xml:space="preserve">D0549</t>
  </si>
  <si>
    <t xml:space="preserve">Spaghetti Carbonara</t>
  </si>
  <si>
    <t xml:space="preserve">pecorino romano</t>
  </si>
  <si>
    <t xml:space="preserve">guanciale</t>
  </si>
  <si>
    <t xml:space="preserve">creamy without cream</t>
  </si>
  <si>
    <t xml:space="preserve">spaghetti</t>
  </si>
  <si>
    <t xml:space="preserve">Rome's pasta with egg, cheese and cured pork</t>
  </si>
  <si>
    <t xml:space="preserve">egg yolk; pecorino romano; guanciale; spaghetti</t>
  </si>
  <si>
    <t xml:space="preserve">https://commons.wikimedia.org/w/index.php?search=Spaghetti+Carbonara+food&amp;title=Special:MediaSearch&amp;type=image</t>
  </si>
  <si>
    <t xml:space="preserve">D0550</t>
  </si>
  <si>
    <t xml:space="preserve">Lasagne</t>
  </si>
  <si>
    <t xml:space="preserve">béchamel</t>
  </si>
  <si>
    <t xml:space="preserve">parmesan</t>
  </si>
  <si>
    <t xml:space="preserve">ragù</t>
  </si>
  <si>
    <t xml:space="preserve">pasta sheets</t>
  </si>
  <si>
    <t xml:space="preserve">layered baked pasta</t>
  </si>
  <si>
    <t xml:space="preserve">Italian</t>
  </si>
  <si>
    <t xml:space="preserve">Italy's baked layers of pasta, meat sauce and béchamel</t>
  </si>
  <si>
    <t xml:space="preserve">béchamel; parmesan; ragù; pasta sheets</t>
  </si>
  <si>
    <t xml:space="preserve">https://commons.wikimedia.org/w/index.php?search=Lasagne+food&amp;title=Special:MediaSearch&amp;type=image</t>
  </si>
  <si>
    <t xml:space="preserve">D0551</t>
  </si>
  <si>
    <t xml:space="preserve">Risotto alla Milanese</t>
  </si>
  <si>
    <t xml:space="preserve">white wine</t>
  </si>
  <si>
    <t xml:space="preserve">arborio rice</t>
  </si>
  <si>
    <t xml:space="preserve">golden rice</t>
  </si>
  <si>
    <t xml:space="preserve">Milan</t>
  </si>
  <si>
    <t xml:space="preserve">Milan's creamy saffron rice</t>
  </si>
  <si>
    <t xml:space="preserve">white wine; parmesan; saffron; arborio rice</t>
  </si>
  <si>
    <t xml:space="preserve">https://commons.wikimedia.org/w/index.php?search=Risotto+alla+Milanese+food&amp;title=Special:MediaSearch&amp;type=image</t>
  </si>
  <si>
    <t xml:space="preserve">D0552</t>
  </si>
  <si>
    <t xml:space="preserve">Spaghetti Bolognese</t>
  </si>
  <si>
    <t xml:space="preserve">Ragù alla Bolognese</t>
  </si>
  <si>
    <t xml:space="preserve">celery</t>
  </si>
  <si>
    <t xml:space="preserve">red wine</t>
  </si>
  <si>
    <t xml:space="preserve">pasta</t>
  </si>
  <si>
    <t xml:space="preserve">meat sauce pasta</t>
  </si>
  <si>
    <t xml:space="preserve">Pasta with a slow-cooked meat sauce</t>
  </si>
  <si>
    <t xml:space="preserve">celery; red wine; minced beef; pasta</t>
  </si>
  <si>
    <t xml:space="preserve">https://commons.wikimedia.org/w/index.php?search=Spaghetti+Bolognese+food&amp;title=Special:MediaSearch&amp;type=image</t>
  </si>
  <si>
    <t xml:space="preserve">D0553</t>
  </si>
  <si>
    <t xml:space="preserve">Pesto alla Genovese</t>
  </si>
  <si>
    <t xml:space="preserve">pine nuts</t>
  </si>
  <si>
    <t xml:space="preserve">green sauce</t>
  </si>
  <si>
    <t xml:space="preserve">Genoa</t>
  </si>
  <si>
    <t xml:space="preserve">Genoa's basil and pine-nut sauce</t>
  </si>
  <si>
    <t xml:space="preserve">pecorino romano; parmesan; pine nuts; basil</t>
  </si>
  <si>
    <t xml:space="preserve">https://commons.wikimedia.org/w/index.php?search=Pesto+alla+Genovese+food&amp;title=Special:MediaSearch&amp;type=image</t>
  </si>
  <si>
    <t xml:space="preserve">https://thumb.wikimedia.org/wikipedia/commons/thumb/c/c9/BasilPesto.JPG/1280px-BasilPesto.JPG</t>
  </si>
  <si>
    <t xml:space="preserve">Ɱ</t>
  </si>
  <si>
    <t xml:space="preserve">D0554</t>
  </si>
  <si>
    <t xml:space="preserve">Cacio e Pepe</t>
  </si>
  <si>
    <t xml:space="preserve">pasta water</t>
  </si>
  <si>
    <t xml:space="preserve">tonnarelli</t>
  </si>
  <si>
    <t xml:space="preserve">cheese and pepper pasta</t>
  </si>
  <si>
    <t xml:space="preserve">Rome's pasta with cheese and black pepper</t>
  </si>
  <si>
    <t xml:space="preserve">butter; pasta water; tonnarelli; pecorino romano</t>
  </si>
  <si>
    <t xml:space="preserve">https://commons.wikimedia.org/w/index.php?search=Cacio+e+Pepe+food&amp;title=Special:MediaSearch&amp;type=image</t>
  </si>
  <si>
    <t xml:space="preserve">D0555</t>
  </si>
  <si>
    <t xml:space="preserve">Amatriciana</t>
  </si>
  <si>
    <t xml:space="preserve">bucatini</t>
  </si>
  <si>
    <t xml:space="preserve">tomato and pork pasta</t>
  </si>
  <si>
    <t xml:space="preserve">Amatrice</t>
  </si>
  <si>
    <t xml:space="preserve">Pasta in tomato sauce with cured pork cheek</t>
  </si>
  <si>
    <t xml:space="preserve">white wine; pecorino romano; guanciale; bucatini</t>
  </si>
  <si>
    <t xml:space="preserve">https://commons.wikimedia.org/w/index.php?search=Amatriciana+food&amp;title=Special:MediaSearch&amp;type=image</t>
  </si>
  <si>
    <t xml:space="preserve">https://thumb.wikimedia.org/wikipedia/commons/thumb/9/9d/Bucatini_allamatriciana.jpg/1280px-Bucatini_allamatriciana.jpg</t>
  </si>
  <si>
    <t xml:space="preserve">D0556</t>
  </si>
  <si>
    <t xml:space="preserve">Aglio e Olio</t>
  </si>
  <si>
    <t xml:space="preserve">parsley</t>
  </si>
  <si>
    <t xml:space="preserve">chilli flakes</t>
  </si>
  <si>
    <t xml:space="preserve">garlic-oil pasta</t>
  </si>
  <si>
    <t xml:space="preserve">Italy's garlic and olive oil spaghetti</t>
  </si>
  <si>
    <t xml:space="preserve">parsley; chilli flakes; spaghetti</t>
  </si>
  <si>
    <t xml:space="preserve">https://commons.wikimedia.org/w/index.php?search=Aglio+e+Olio+food&amp;title=Special:MediaSearch&amp;type=image</t>
  </si>
  <si>
    <t xml:space="preserve">D0557</t>
  </si>
  <si>
    <t xml:space="preserve">Fettuccine Alfredo</t>
  </si>
  <si>
    <t xml:space="preserve">creamy white pasta</t>
  </si>
  <si>
    <t xml:space="preserve">fettuccine</t>
  </si>
  <si>
    <t xml:space="preserve">Ribbon pasta in a butter-cream-parmesan sauce</t>
  </si>
  <si>
    <t xml:space="preserve">cream; butter; parmesan; fettuccine</t>
  </si>
  <si>
    <t xml:space="preserve">https://commons.wikimedia.org/w/index.php?search=Fettuccine+Alfredo+food&amp;title=Special:MediaSearch&amp;type=image</t>
  </si>
  <si>
    <t xml:space="preserve">https://thumb.wikimedia.org/wikipedia/commons/thumb/9/91/Fettuccine_Alfredo_originals.jpg/1280px-Fettuccine_Alfredo_originals.jpg</t>
  </si>
  <si>
    <t xml:space="preserve">Civa61</t>
  </si>
  <si>
    <t xml:space="preserve">D0558</t>
  </si>
  <si>
    <t xml:space="preserve">Osso Buco</t>
  </si>
  <si>
    <t xml:space="preserve">gremolata</t>
  </si>
  <si>
    <t xml:space="preserve">veal shanks</t>
  </si>
  <si>
    <t xml:space="preserve">Milan's braised veal shanks</t>
  </si>
  <si>
    <t xml:space="preserve">carrot; tomato; white wine; gremolata; veal shanks</t>
  </si>
  <si>
    <t xml:space="preserve">https://commons.wikimedia.org/w/index.php?search=Osso+Buco+food&amp;title=Special:MediaSearch&amp;type=image</t>
  </si>
  <si>
    <t xml:space="preserve">D0559</t>
  </si>
  <si>
    <t xml:space="preserve">Gnocchi</t>
  </si>
  <si>
    <t xml:space="preserve">sage butter</t>
  </si>
  <si>
    <t xml:space="preserve">potato dumplings</t>
  </si>
  <si>
    <t xml:space="preserve">Italy's soft potato dumplings</t>
  </si>
  <si>
    <t xml:space="preserve">egg; sage butter; parmesan; potato dumplings</t>
  </si>
  <si>
    <t xml:space="preserve">https://commons.wikimedia.org/w/index.php?search=Gnocchi+food&amp;title=Special:MediaSearch&amp;type=image</t>
  </si>
  <si>
    <t xml:space="preserve">D0560</t>
  </si>
  <si>
    <t xml:space="preserve">Tiramisu</t>
  </si>
  <si>
    <t xml:space="preserve">cocoa</t>
  </si>
  <si>
    <t xml:space="preserve">mascarpone</t>
  </si>
  <si>
    <t xml:space="preserve">espresso</t>
  </si>
  <si>
    <t xml:space="preserve">ladyfingers</t>
  </si>
  <si>
    <t xml:space="preserve">coffee-soaked layers</t>
  </si>
  <si>
    <t xml:space="preserve">Italy's coffee-soaked layered dessert with mascarpone</t>
  </si>
  <si>
    <t xml:space="preserve">cocoa; mascarpone; espresso; ladyfingers</t>
  </si>
  <si>
    <t xml:space="preserve">https://commons.wikimedia.org/w/index.php?search=Tiramisu+food&amp;title=Special:MediaSearch&amp;type=image</t>
  </si>
  <si>
    <t xml:space="preserve">https://thumb.wikimedia.org/wikipedia/commons/thumb/5/58/Tiramisu_-_Raffaele_Diomede.jpg/1280px-Tiramisu_-_Raffaele_Diomede.jpg</t>
  </si>
  <si>
    <t xml:space="preserve">Raffaele Diomede from Pordenone, ITALIA</t>
  </si>
  <si>
    <t xml:space="preserve">D0561</t>
  </si>
  <si>
    <t xml:space="preserve">Panna Cotta</t>
  </si>
  <si>
    <t xml:space="preserve">vanilla</t>
  </si>
  <si>
    <t xml:space="preserve">gelatin</t>
  </si>
  <si>
    <t xml:space="preserve">berry coulis</t>
  </si>
  <si>
    <t xml:space="preserve">wobbly set dessert</t>
  </si>
  <si>
    <t xml:space="preserve">Italy's set, wobbly vanilla cream dessert</t>
  </si>
  <si>
    <t xml:space="preserve">vanilla; cream; gelatin; berry coulis</t>
  </si>
  <si>
    <t xml:space="preserve">https://commons.wikimedia.org/w/index.php?search=Panna+Cotta+food&amp;title=Special:MediaSearch&amp;type=image</t>
  </si>
  <si>
    <t xml:space="preserve">D0562</t>
  </si>
  <si>
    <t xml:space="preserve">Cannoli</t>
  </si>
  <si>
    <t xml:space="preserve">chocolate chips</t>
  </si>
  <si>
    <t xml:space="preserve">sweet ricotta</t>
  </si>
  <si>
    <t xml:space="preserve">fried pastry tubes</t>
  </si>
  <si>
    <t xml:space="preserve">crisp tubes</t>
  </si>
  <si>
    <t xml:space="preserve">Sicilian pastry</t>
  </si>
  <si>
    <t xml:space="preserve">Sicily</t>
  </si>
  <si>
    <t xml:space="preserve">Sicily's crisp fried tubes filled with sweet ricotta</t>
  </si>
  <si>
    <t xml:space="preserve">chocolate chips; sweet ricotta; fried pastry tubes</t>
  </si>
  <si>
    <t xml:space="preserve">https://commons.wikimedia.org/w/index.php?search=Cannoli+food&amp;title=Special:MediaSearch&amp;type=image</t>
  </si>
  <si>
    <t xml:space="preserve">https://thumb.wikimedia.org/wikipedia/commons/thumb/a/ad/Cannoli_siciliani_al_Caff%C3%A8_Impero%2C_ad_Alcamo.jpg/1280px-Cannoli_siciliani_al_Caff%C3%A8_Impero%2C_ad_Alcamo.jpg</t>
  </si>
  <si>
    <t xml:space="preserve">Ensahequ</t>
  </si>
  <si>
    <t xml:space="preserve">D0563</t>
  </si>
  <si>
    <t xml:space="preserve">Gelato</t>
  </si>
  <si>
    <t xml:space="preserve">churned</t>
  </si>
  <si>
    <t xml:space="preserve">dense ice cream</t>
  </si>
  <si>
    <t xml:space="preserve">Italian ice cream</t>
  </si>
  <si>
    <t xml:space="preserve">Italy's dense, smooth ice cream</t>
  </si>
  <si>
    <t xml:space="preserve">milk; pistachio; dense ice cream</t>
  </si>
  <si>
    <t xml:space="preserve">https://commons.wikimedia.org/w/index.php?search=Gelato+food&amp;title=Special:MediaSearch&amp;type=image</t>
  </si>
  <si>
    <t xml:space="preserve">https://thumb.wikimedia.org/wikipedia/commons/thumb/3/3a/Delicious_Gelato_on_display.jpg/1280px-Delicious_Gelato_on_display.jpg</t>
  </si>
  <si>
    <t xml:space="preserve">EquipmentAndConcepts</t>
  </si>
  <si>
    <t xml:space="preserve">D0564</t>
  </si>
  <si>
    <t xml:space="preserve">Bruschetta</t>
  </si>
  <si>
    <t xml:space="preserve">toasted bread</t>
  </si>
  <si>
    <t xml:space="preserve">Italian starter</t>
  </si>
  <si>
    <t xml:space="preserve">garlic-rubbed</t>
  </si>
  <si>
    <t xml:space="preserve">olive oil</t>
  </si>
  <si>
    <t xml:space="preserve">antipasto</t>
  </si>
  <si>
    <t xml:space="preserve">Toasted bread rubbed with garlic and topped with tomato</t>
  </si>
  <si>
    <t xml:space="preserve">basil; toasted bread; olive oil</t>
  </si>
  <si>
    <t xml:space="preserve">https://commons.wikimedia.org/w/index.php?search=Bruschetta+food&amp;title=Special:MediaSearch&amp;type=image</t>
  </si>
  <si>
    <t xml:space="preserve">https://thumb.wikimedia.org/wikipedia/commons/thumb/1/1f/2014_Bruschetta_The_Larder_Chiang_Mai.jpg/1280px-2014_Bruschetta_The_Larder_Chiang_Mai.jpg</t>
  </si>
  <si>
    <t xml:space="preserve">D0565</t>
  </si>
  <si>
    <t xml:space="preserve">Caprese Salad</t>
  </si>
  <si>
    <t xml:space="preserve">balsamic</t>
  </si>
  <si>
    <t xml:space="preserve">red, white and green salad</t>
  </si>
  <si>
    <t xml:space="preserve">Capri</t>
  </si>
  <si>
    <t xml:space="preserve">Capri's salad of tomato, mozzarella and basil</t>
  </si>
  <si>
    <t xml:space="preserve">tomato; balsamic; basil; mozzarella</t>
  </si>
  <si>
    <t xml:space="preserve">https://commons.wikimedia.org/w/index.php?search=Caprese+Salad+food&amp;title=Special:MediaSearch&amp;type=image</t>
  </si>
  <si>
    <t xml:space="preserve">D0566</t>
  </si>
  <si>
    <t xml:space="preserve">Arancini</t>
  </si>
  <si>
    <t xml:space="preserve">fried rice balls</t>
  </si>
  <si>
    <t xml:space="preserve">Sicilian street food</t>
  </si>
  <si>
    <t xml:space="preserve">Sicily's fried, stuffed risotto balls</t>
  </si>
  <si>
    <t xml:space="preserve">breadcrumbs; mozzarella; ragù; fried rice balls</t>
  </si>
  <si>
    <t xml:space="preserve">https://commons.wikimedia.org/w/index.php?search=Arancini+food&amp;title=Special:MediaSearch&amp;type=image</t>
  </si>
  <si>
    <t xml:space="preserve">D0567</t>
  </si>
  <si>
    <t xml:space="preserve">Focaccia</t>
  </si>
  <si>
    <t xml:space="preserve">sea salt</t>
  </si>
  <si>
    <t xml:space="preserve">rosemary</t>
  </si>
  <si>
    <t xml:space="preserve">dimpled</t>
  </si>
  <si>
    <t xml:space="preserve">flat oven bread</t>
  </si>
  <si>
    <t xml:space="preserve">Liguria</t>
  </si>
  <si>
    <t xml:space="preserve">Italy's dimpled olive-oil flatbread</t>
  </si>
  <si>
    <t xml:space="preserve">sea salt; rosemary; olive oil</t>
  </si>
  <si>
    <t xml:space="preserve">https://commons.wikimedia.org/w/index.php?search=Focaccia+food&amp;title=Special:MediaSearch&amp;type=image</t>
  </si>
  <si>
    <t xml:space="preserve">https://thumb.wikimedia.org/wikipedia/commons/thumb/b/bf/Focaccia_with_Crumb.jpg/1280px-Focaccia_with_Crumb.jpg</t>
  </si>
  <si>
    <t xml:space="preserve">Fred Benenson</t>
  </si>
  <si>
    <t xml:space="preserve">D0568</t>
  </si>
  <si>
    <t xml:space="preserve">Minestrone</t>
  </si>
  <si>
    <t xml:space="preserve">cannellini beans</t>
  </si>
  <si>
    <t xml:space="preserve">small pasta</t>
  </si>
  <si>
    <t xml:space="preserve">chunky vegetable soup</t>
  </si>
  <si>
    <t xml:space="preserve">Italy's thick vegetable and bean soup with pasta</t>
  </si>
  <si>
    <t xml:space="preserve">celery; zucchini; cannellini beans; small pasta</t>
  </si>
  <si>
    <t xml:space="preserve">https://commons.wikimedia.org/w/index.php?search=Minestrone+food&amp;title=Special:MediaSearch&amp;type=image</t>
  </si>
  <si>
    <t xml:space="preserve">https://thumb.wikimedia.org/wikipedia/commons/thumb/f/fe/Minestrone_soup_%285%29.jpg/1280px-Minestrone_soup_%285%29.jpg</t>
  </si>
  <si>
    <t xml:space="preserve">Daniel Ziegener</t>
  </si>
  <si>
    <t xml:space="preserve">D0572</t>
  </si>
  <si>
    <t xml:space="preserve">Polenta</t>
  </si>
  <si>
    <t xml:space="preserve">cornmeal</t>
  </si>
  <si>
    <t xml:space="preserve">northern Italian</t>
  </si>
  <si>
    <t xml:space="preserve">creamy or grilled</t>
  </si>
  <si>
    <t xml:space="preserve">Northern Italy's creamy cornmeal</t>
  </si>
  <si>
    <t xml:space="preserve">butter; parmesan; cornmeal</t>
  </si>
  <si>
    <t xml:space="preserve">https://commons.wikimedia.org/w/index.php?search=Polenta+food&amp;title=Special:MediaSearch&amp;type=image</t>
  </si>
  <si>
    <t xml:space="preserve">D0577</t>
  </si>
  <si>
    <t xml:space="preserve">Panettone</t>
  </si>
  <si>
    <t xml:space="preserve">candied orange</t>
  </si>
  <si>
    <t xml:space="preserve">tall sweet bread</t>
  </si>
  <si>
    <t xml:space="preserve">Christmas</t>
  </si>
  <si>
    <t xml:space="preserve">Milan's tall, fruity Christmas bread</t>
  </si>
  <si>
    <t xml:space="preserve">butter; egg; raisins; candied orange; tall sweet bread</t>
  </si>
  <si>
    <t xml:space="preserve">https://commons.wikimedia.org/w/index.php?search=Panettone+food&amp;title=Special:MediaSearch&amp;type=image</t>
  </si>
  <si>
    <t xml:space="preserve">https://thumb.wikimedia.org/wikipedia/commons/thumb/e/e6/Panettone_-_Nicolettone_2017_-_IMG_7085_%2831752542285%29.jpg/1280px-Panettone_-_Nicolettone_2017_-_IMG_7085_%2831752542285%29.jpg</t>
  </si>
  <si>
    <t xml:space="preserve">N i c o l a from Fiumicino (Rome), Italy</t>
  </si>
  <si>
    <t xml:space="preserve">D0578</t>
  </si>
  <si>
    <t xml:space="preserve">Affogato</t>
  </si>
  <si>
    <t xml:space="preserve">gelato</t>
  </si>
  <si>
    <t xml:space="preserve">hot espresso</t>
  </si>
  <si>
    <t xml:space="preserve">ice cream drowned in coffee</t>
  </si>
  <si>
    <t xml:space="preserve">scoop of vanilla</t>
  </si>
  <si>
    <t xml:space="preserve">Italian café</t>
  </si>
  <si>
    <t xml:space="preserve">Ice cream with a shot of hot espresso poured over it</t>
  </si>
  <si>
    <t xml:space="preserve">vanilla; gelato; hot espresso</t>
  </si>
  <si>
    <t xml:space="preserve">https://commons.wikimedia.org/w/index.php?search=Affogato+food&amp;title=Special:MediaSearch&amp;type=image</t>
  </si>
  <si>
    <t xml:space="preserve">https://thumb.wikimedia.org/wikipedia/commons/thumb/1/17/Vinoteca%2C_Smithfield%2C_London_%284485849609%29.jpg/1280px-Vinoteca%2C_Smithfield%2C_London_%284485849609%29.jpg</t>
  </si>
  <si>
    <t xml:space="preserve">Ewan Munro from London, UK</t>
  </si>
  <si>
    <t xml:space="preserve">D0579</t>
  </si>
  <si>
    <t xml:space="preserve">Ravioli</t>
  </si>
  <si>
    <t xml:space="preserve">egg pasta</t>
  </si>
  <si>
    <t xml:space="preserve">sage</t>
  </si>
  <si>
    <t xml:space="preserve">ricotta</t>
  </si>
  <si>
    <t xml:space="preserve">stuffed pasta squares</t>
  </si>
  <si>
    <t xml:space="preserve">Italy's stuffed pasta pillows</t>
  </si>
  <si>
    <t xml:space="preserve">egg pasta; sage; ricotta; spinach</t>
  </si>
  <si>
    <t xml:space="preserve">https://commons.wikimedia.org/w/index.php?search=Ravioli+food&amp;title=Special:MediaSearch&amp;type=image</t>
  </si>
  <si>
    <t xml:space="preserve">https://thumb.wikimedia.org/wikipedia/commons/thumb/9/95/Flickr_-_cyclonebill_-_Ravioli_med_skinke_og_asparges_i_mascarponecreme.jpg/1280px-Flickr_-_cyclonebill_-_Ravioli_med_skinke_og_asparges_i_mascarponecreme.jpg</t>
  </si>
  <si>
    <t xml:space="preserve">cyclonebill</t>
  </si>
  <si>
    <t xml:space="preserve">D0580</t>
  </si>
  <si>
    <t xml:space="preserve">Penne all'Arrabbiata</t>
  </si>
  <si>
    <t xml:space="preserve">'angry' spicy tomato pasta</t>
  </si>
  <si>
    <t xml:space="preserve">Rome</t>
  </si>
  <si>
    <t xml:space="preserve">garlic</t>
  </si>
  <si>
    <t xml:space="preserve">penne</t>
  </si>
  <si>
    <t xml:space="preserve">Rome's pasta in a spicy, garlicky tomato sauce</t>
  </si>
  <si>
    <t xml:space="preserve">tomato; garlic; penne</t>
  </si>
  <si>
    <t xml:space="preserve">https://commons.wikimedia.org/w/index.php?search=Penne+all%27Arrabbiata+food&amp;title=Special:MediaSearch&amp;type=image</t>
  </si>
  <si>
    <t xml:space="preserve">https://thumb.wikimedia.org/wikipedia/commons/thumb/c/cd/Penne_Arrabbiata.jpg/1280px-Penne_Arrabbiata.jpg</t>
  </si>
  <si>
    <t xml:space="preserve">Petar Milošević</t>
  </si>
  <si>
    <t xml:space="preserve">D0583</t>
  </si>
  <si>
    <t xml:space="preserve">Croissant</t>
  </si>
  <si>
    <t xml:space="preserve">France</t>
  </si>
  <si>
    <t xml:space="preserve">Western Europe</t>
  </si>
  <si>
    <t xml:space="preserve">laminated butter</t>
  </si>
  <si>
    <t xml:space="preserve">crescent</t>
  </si>
  <si>
    <t xml:space="preserve">French breakfast</t>
  </si>
  <si>
    <t xml:space="preserve">Paris bakery</t>
  </si>
  <si>
    <t xml:space="preserve">France's flaky, buttery crescent pastry</t>
  </si>
  <si>
    <t xml:space="preserve">milk; laminated butter</t>
  </si>
  <si>
    <t xml:space="preserve">Inspired by the Austrian kipferl; modern form is French</t>
  </si>
  <si>
    <t xml:space="preserve">https://commons.wikimedia.org/w/index.php?search=Croissant+food&amp;title=Special:MediaSearch&amp;type=image</t>
  </si>
  <si>
    <t xml:space="preserve">D0584</t>
  </si>
  <si>
    <t xml:space="preserve">Coq au Vin</t>
  </si>
  <si>
    <t xml:space="preserve">pearl onions</t>
  </si>
  <si>
    <t xml:space="preserve">lardons</t>
  </si>
  <si>
    <t xml:space="preserve">chicken braised in wine</t>
  </si>
  <si>
    <t xml:space="preserve">Burgundy</t>
  </si>
  <si>
    <t xml:space="preserve">France's chicken braised in red wine</t>
  </si>
  <si>
    <t xml:space="preserve">pearl onions; lardons; red wine; chicken</t>
  </si>
  <si>
    <t xml:space="preserve">https://commons.wikimedia.org/w/index.php?search=Coq+au+Vin+food&amp;title=Special:MediaSearch&amp;type=image</t>
  </si>
  <si>
    <t xml:space="preserve">https://thumb.wikimedia.org/wikipedia/commons/thumb/5/5a/Gourmet_coq_au_vin.jpg/1280px-Gourmet_coq_au_vin.jpg</t>
  </si>
  <si>
    <t xml:space="preserve">Beck from East Midlands, United Kingdon</t>
  </si>
  <si>
    <t xml:space="preserve">D0585</t>
  </si>
  <si>
    <t xml:space="preserve">Boeuf Bourguignon</t>
  </si>
  <si>
    <t xml:space="preserve">thyme</t>
  </si>
  <si>
    <t xml:space="preserve">Burgundy's beef braised in red wine</t>
  </si>
  <si>
    <t xml:space="preserve">thyme; mushroom; pearl onions; red wine; beef</t>
  </si>
  <si>
    <t xml:space="preserve">https://commons.wikimedia.org/w/index.php?search=Boeuf+Bourguignon+food&amp;title=Special:MediaSearch&amp;type=image</t>
  </si>
  <si>
    <t xml:space="preserve">https://thumb.wikimedia.org/wikipedia/commons/thumb/2/29/Beef_bourguignon_NYT.jpg/1280px-Beef_bourguignon_NYT.jpg</t>
  </si>
  <si>
    <t xml:space="preserve">Slayschips</t>
  </si>
  <si>
    <t xml:space="preserve">D0586</t>
  </si>
  <si>
    <t xml:space="preserve">Ratatouille</t>
  </si>
  <si>
    <t xml:space="preserve">herbes de Provence</t>
  </si>
  <si>
    <t xml:space="preserve">Provençal vegetable stew</t>
  </si>
  <si>
    <t xml:space="preserve">Pixar film</t>
  </si>
  <si>
    <t xml:space="preserve">Provence's stewed summer vegetables</t>
  </si>
  <si>
    <t xml:space="preserve">herbes de Provence; capsicum; zucchini; aubergine</t>
  </si>
  <si>
    <t xml:space="preserve">https://commons.wikimedia.org/w/index.php?search=Ratatouille+food&amp;title=Special:MediaSearch&amp;type=image</t>
  </si>
  <si>
    <t xml:space="preserve">D0587</t>
  </si>
  <si>
    <t xml:space="preserve">French Onion Soup</t>
  </si>
  <si>
    <t xml:space="preserve">beef stock</t>
  </si>
  <si>
    <t xml:space="preserve">gruyère</t>
  </si>
  <si>
    <t xml:space="preserve">croutons</t>
  </si>
  <si>
    <t xml:space="preserve">baked soup with cheesy toast lid</t>
  </si>
  <si>
    <t xml:space="preserve">caramelised onion</t>
  </si>
  <si>
    <t xml:space="preserve">France's caramelised allium soup with melted cheese toast</t>
  </si>
  <si>
    <t xml:space="preserve">thyme; beef stock; gruyère; croutons; caramelised onion</t>
  </si>
  <si>
    <t xml:space="preserve">baked soup with cheesy toast lid; caramelised onion</t>
  </si>
  <si>
    <t xml:space="preserve">https://commons.wikimedia.org/w/index.php?search=French+Onion+Soup+food&amp;title=Special:MediaSearch&amp;type=image</t>
  </si>
  <si>
    <t xml:space="preserve">https://thumb.wikimedia.org/wikipedia/commons/thumb/5/5a/Soupe_%C3%A0_l%27oignon.jpg/1280px-Soupe_%C3%A0_l%27oignon.jpg</t>
  </si>
  <si>
    <t xml:space="preserve">Ludovic Péron</t>
  </si>
  <si>
    <t xml:space="preserve">D0588</t>
  </si>
  <si>
    <t xml:space="preserve">Crème Brûlée</t>
  </si>
  <si>
    <t xml:space="preserve">torched</t>
  </si>
  <si>
    <t xml:space="preserve">caramelised sugar crust</t>
  </si>
  <si>
    <t xml:space="preserve">crack the sugar top</t>
  </si>
  <si>
    <t xml:space="preserve">French</t>
  </si>
  <si>
    <t xml:space="preserve">France's vanilla custard with a torched sugar crust</t>
  </si>
  <si>
    <t xml:space="preserve">cream; egg yolk; caramelised sugar crust</t>
  </si>
  <si>
    <t xml:space="preserve">https://commons.wikimedia.org/w/index.php?search=Cr%C3%A8me+Br%C3%BBl%C3%A9e+food&amp;title=Special:MediaSearch&amp;type=image</t>
  </si>
  <si>
    <t xml:space="preserve">D0589</t>
  </si>
  <si>
    <t xml:space="preserve">Bouillabaisse</t>
  </si>
  <si>
    <t xml:space="preserve">orange peel</t>
  </si>
  <si>
    <t xml:space="preserve">rouille</t>
  </si>
  <si>
    <t xml:space="preserve">mixed fish</t>
  </si>
  <si>
    <t xml:space="preserve">fish stew</t>
  </si>
  <si>
    <t xml:space="preserve">Marseille</t>
  </si>
  <si>
    <t xml:space="preserve">Marseille's saffron fish stew</t>
  </si>
  <si>
    <t xml:space="preserve">fennel; orange peel; rouille; mixed fish</t>
  </si>
  <si>
    <t xml:space="preserve">https://commons.wikimedia.org/w/index.php?search=Bouillabaisse+food&amp;title=Special:MediaSearch&amp;type=image</t>
  </si>
  <si>
    <t xml:space="preserve">D0590</t>
  </si>
  <si>
    <t xml:space="preserve">Quiche Lorraine</t>
  </si>
  <si>
    <t xml:space="preserve">bacon</t>
  </si>
  <si>
    <t xml:space="preserve">savoury tart</t>
  </si>
  <si>
    <t xml:space="preserve">France's savoury egg-and-bacon tart</t>
  </si>
  <si>
    <t xml:space="preserve">cream; egg; nutmeg; pastry; bacon</t>
  </si>
  <si>
    <t xml:space="preserve">https://commons.wikimedia.org/w/index.php?search=Quiche+Lorraine+food&amp;title=Special:MediaSearch&amp;type=image</t>
  </si>
  <si>
    <t xml:space="preserve">D0591</t>
  </si>
  <si>
    <t xml:space="preserve">Crêpes</t>
  </si>
  <si>
    <t xml:space="preserve">Brittany</t>
  </si>
  <si>
    <t xml:space="preserve">France's thin pancakes</t>
  </si>
  <si>
    <t xml:space="preserve">milk; butter; egg; thin pancakes</t>
  </si>
  <si>
    <t xml:space="preserve">https://commons.wikimedia.org/w/index.php?search=Cr%C3%AApes+food&amp;title=Special:MediaSearch&amp;type=image</t>
  </si>
  <si>
    <t xml:space="preserve">D0592</t>
  </si>
  <si>
    <t xml:space="preserve">Croque Monsieur</t>
  </si>
  <si>
    <t xml:space="preserve">ham</t>
  </si>
  <si>
    <t xml:space="preserve">toasted sandwich</t>
  </si>
  <si>
    <t xml:space="preserve">grilled ham and cheese</t>
  </si>
  <si>
    <t xml:space="preserve">Paris café</t>
  </si>
  <si>
    <t xml:space="preserve">France's grilled ham-and-cheese sandwich with béchamel</t>
  </si>
  <si>
    <t xml:space="preserve">béchamel; gruyère; ham; toasted sandwich</t>
  </si>
  <si>
    <t xml:space="preserve">https://commons.wikimedia.org/w/index.php?search=Croque+Monsieur+food&amp;title=Special:MediaSearch&amp;type=image</t>
  </si>
  <si>
    <t xml:space="preserve">https://thumb.wikimedia.org/wikipedia/commons/thumb/3/3e/Croque_monsieur.jpg/1280px-Croque_monsieur.jpg</t>
  </si>
  <si>
    <t xml:space="preserve">CC BY-SA 2.5</t>
  </si>
  <si>
    <t xml:space="preserve">Michael Brewer</t>
  </si>
  <si>
    <t xml:space="preserve">D0593</t>
  </si>
  <si>
    <t xml:space="preserve">Escargots</t>
  </si>
  <si>
    <t xml:space="preserve">snails</t>
  </si>
  <si>
    <t xml:space="preserve">garlic-butter shells</t>
  </si>
  <si>
    <t xml:space="preserve">French starter</t>
  </si>
  <si>
    <t xml:space="preserve">France's snails baked in garlic-herb butter</t>
  </si>
  <si>
    <t xml:space="preserve">butter; parsley; shallots; snails</t>
  </si>
  <si>
    <t xml:space="preserve">https://commons.wikimedia.org/w/index.php?search=Escargots+food&amp;title=Special:MediaSearch&amp;type=image</t>
  </si>
  <si>
    <t xml:space="preserve">D0594</t>
  </si>
  <si>
    <t xml:space="preserve">Confit de Canard</t>
  </si>
  <si>
    <t xml:space="preserve">slow-cooked in fat</t>
  </si>
  <si>
    <t xml:space="preserve">duck leg</t>
  </si>
  <si>
    <t xml:space="preserve">Gascony</t>
  </si>
  <si>
    <t xml:space="preserve">crispy skin</t>
  </si>
  <si>
    <t xml:space="preserve">south-west France</t>
  </si>
  <si>
    <t xml:space="preserve">Gascony's duck leg slow-cooked in its own fat</t>
  </si>
  <si>
    <t xml:space="preserve">thyme; duck leg</t>
  </si>
  <si>
    <t xml:space="preserve">https://commons.wikimedia.org/w/index.php?search=Confit+de+Canard+food&amp;title=Special:MediaSearch&amp;type=image</t>
  </si>
  <si>
    <t xml:space="preserve">D0595</t>
  </si>
  <si>
    <t xml:space="preserve">Cassoulet</t>
  </si>
  <si>
    <t xml:space="preserve">duck confit</t>
  </si>
  <si>
    <t xml:space="preserve">white beans</t>
  </si>
  <si>
    <t xml:space="preserve">bean stew</t>
  </si>
  <si>
    <t xml:space="preserve">Languedoc</t>
  </si>
  <si>
    <t xml:space="preserve">Southern France's slow-baked white bean and meat stew</t>
  </si>
  <si>
    <t xml:space="preserve">sausage; pork; duck confit; white beans</t>
  </si>
  <si>
    <t xml:space="preserve">https://commons.wikimedia.org/w/index.php?search=Cassoulet+food&amp;title=Special:MediaSearch&amp;type=image</t>
  </si>
  <si>
    <t xml:space="preserve">D0596</t>
  </si>
  <si>
    <t xml:space="preserve">Salade Niçoise</t>
  </si>
  <si>
    <t xml:space="preserve">green beans</t>
  </si>
  <si>
    <t xml:space="preserve">tuna</t>
  </si>
  <si>
    <t xml:space="preserve">salad</t>
  </si>
  <si>
    <t xml:space="preserve">Nice</t>
  </si>
  <si>
    <t xml:space="preserve">Nice's salad of tuna, egg, olives and anchovies</t>
  </si>
  <si>
    <t xml:space="preserve">anchovies; green beans; boiled egg; tuna</t>
  </si>
  <si>
    <t xml:space="preserve">https://commons.wikimedia.org/w/index.php?search=Salade+Ni%C3%A7oise+food&amp;title=Special:MediaSearch&amp;type=image</t>
  </si>
  <si>
    <t xml:space="preserve">D0597</t>
  </si>
  <si>
    <t xml:space="preserve">Steak Frites</t>
  </si>
  <si>
    <t xml:space="preserve">béarnaise</t>
  </si>
  <si>
    <t xml:space="preserve">fries</t>
  </si>
  <si>
    <t xml:space="preserve">bistro</t>
  </si>
  <si>
    <t xml:space="preserve">steak</t>
  </si>
  <si>
    <t xml:space="preserve">French bistro beef with fries</t>
  </si>
  <si>
    <t xml:space="preserve">butter; béarnaise; fries; steak</t>
  </si>
  <si>
    <t xml:space="preserve">https://commons.wikimedia.org/w/index.php?search=Steak+Frites+food&amp;title=Special:MediaSearch&amp;type=image</t>
  </si>
  <si>
    <t xml:space="preserve">D0598</t>
  </si>
  <si>
    <t xml:space="preserve">Tarte Tatin</t>
  </si>
  <si>
    <t xml:space="preserve">caramel</t>
  </si>
  <si>
    <t xml:space="preserve">upside-down</t>
  </si>
  <si>
    <t xml:space="preserve">apple</t>
  </si>
  <si>
    <t xml:space="preserve">caramelised fruit</t>
  </si>
  <si>
    <t xml:space="preserve">France's upside-down caramelised apple tart</t>
  </si>
  <si>
    <t xml:space="preserve">butter; caramel; pastry; apple</t>
  </si>
  <si>
    <t xml:space="preserve">https://commons.wikimedia.org/w/index.php?search=Tarte+Tatin+food&amp;title=Special:MediaSearch&amp;type=image</t>
  </si>
  <si>
    <t xml:space="preserve">https://thumb.wikimedia.org/wikipedia/commons/thumb/1/16/Franse_tarte_tatin.jpg/1280px-Franse_tarte_tatin.jpg</t>
  </si>
  <si>
    <t xml:space="preserve">Djenghisz</t>
  </si>
  <si>
    <t xml:space="preserve">D0599</t>
  </si>
  <si>
    <t xml:space="preserve">Macarons</t>
  </si>
  <si>
    <t xml:space="preserve">ganache</t>
  </si>
  <si>
    <t xml:space="preserve">colourful</t>
  </si>
  <si>
    <t xml:space="preserve">almond flour</t>
  </si>
  <si>
    <t xml:space="preserve">Paris</t>
  </si>
  <si>
    <t xml:space="preserve">Paris's colourful almond meringue sandwich cookies</t>
  </si>
  <si>
    <t xml:space="preserve">ganache; egg whites; almond flour</t>
  </si>
  <si>
    <t xml:space="preserve">https://commons.wikimedia.org/w/index.php?search=Macarons+food&amp;title=Special:MediaSearch&amp;type=image</t>
  </si>
  <si>
    <t xml:space="preserve">D0600</t>
  </si>
  <si>
    <t xml:space="preserve">Baguette</t>
  </si>
  <si>
    <t xml:space="preserve">crusty</t>
  </si>
  <si>
    <t xml:space="preserve">long</t>
  </si>
  <si>
    <t xml:space="preserve">long thin loaf</t>
  </si>
  <si>
    <t xml:space="preserve">flour, water, salt, yeast</t>
  </si>
  <si>
    <t xml:space="preserve">France's long, crusty loaf</t>
  </si>
  <si>
    <t xml:space="preserve">https://commons.wikimedia.org/w/index.php?search=Baguette+food&amp;title=Special:MediaSearch&amp;type=image</t>
  </si>
  <si>
    <t xml:space="preserve">D0601</t>
  </si>
  <si>
    <t xml:space="preserve">Pain au Chocolat</t>
  </si>
  <si>
    <t xml:space="preserve">dark chocolate</t>
  </si>
  <si>
    <t xml:space="preserve">chocolate-filled pastry</t>
  </si>
  <si>
    <t xml:space="preserve">A flaky French pastry with a chocolate bar inside</t>
  </si>
  <si>
    <t xml:space="preserve">laminated butter; dark chocolate; pastry</t>
  </si>
  <si>
    <t xml:space="preserve">https://commons.wikimedia.org/w/index.php?search=Pain+au+Chocolat+food&amp;title=Special:MediaSearch&amp;type=image</t>
  </si>
  <si>
    <t xml:space="preserve">D0602</t>
  </si>
  <si>
    <t xml:space="preserve">Soufflé</t>
  </si>
  <si>
    <t xml:space="preserve">rises</t>
  </si>
  <si>
    <t xml:space="preserve">puffs up in the oven</t>
  </si>
  <si>
    <t xml:space="preserve">France's light, risen baked egg dish</t>
  </si>
  <si>
    <t xml:space="preserve">butter; egg whites</t>
  </si>
  <si>
    <t xml:space="preserve">https://commons.wikimedia.org/w/index.php?search=Souffl%C3%A9+food&amp;title=Special:MediaSearch&amp;type=image</t>
  </si>
  <si>
    <t xml:space="preserve">https://thumb.wikimedia.org/wikipedia/commons/thumb/3/37/Bacon_and_Cheddar_Cheese_Souffl%C3%A9.jpg/1280px-Bacon_and_Cheddar_Cheese_Souffl%C3%A9.jpg</t>
  </si>
  <si>
    <t xml:space="preserve">Mark Miller</t>
  </si>
  <si>
    <t xml:space="preserve">D0603</t>
  </si>
  <si>
    <t xml:space="preserve">Moules Marinières</t>
  </si>
  <si>
    <t xml:space="preserve">mussels</t>
  </si>
  <si>
    <t xml:space="preserve">steamed shellfish</t>
  </si>
  <si>
    <t xml:space="preserve">France's mussels steamed in white wine</t>
  </si>
  <si>
    <t xml:space="preserve">shallots; parsley; white wine; mussels</t>
  </si>
  <si>
    <t xml:space="preserve">https://commons.wikimedia.org/w/index.php?search=Moules+Marini%C3%A8res+food&amp;title=Special:MediaSearch&amp;type=image</t>
  </si>
  <si>
    <t xml:space="preserve">D0606</t>
  </si>
  <si>
    <t xml:space="preserve">Gratin Dauphinois</t>
  </si>
  <si>
    <t xml:space="preserve">sliced potato</t>
  </si>
  <si>
    <t xml:space="preserve">creamy baked potatoes</t>
  </si>
  <si>
    <t xml:space="preserve">France's creamy baked sliced potatoes</t>
  </si>
  <si>
    <t xml:space="preserve">milk; cream; nutmeg; sliced potato</t>
  </si>
  <si>
    <t xml:space="preserve">https://commons.wikimedia.org/w/index.php?search=Gratin+Dauphinois+food&amp;title=Special:MediaSearch&amp;type=image</t>
  </si>
  <si>
    <t xml:space="preserve">D0608</t>
  </si>
  <si>
    <t xml:space="preserve">Éclair</t>
  </si>
  <si>
    <t xml:space="preserve">choux pastry</t>
  </si>
  <si>
    <t xml:space="preserve">chocolate glaze</t>
  </si>
  <si>
    <t xml:space="preserve">A long choux pastry filled with cream and topped with chocolate</t>
  </si>
  <si>
    <t xml:space="preserve">butter; cream; choux pastry; chocolate glaze</t>
  </si>
  <si>
    <t xml:space="preserve">https://commons.wikimedia.org/w/index.php?search=%C3%89clair+food&amp;title=Special:MediaSearch&amp;type=image</t>
  </si>
  <si>
    <t xml:space="preserve">D0609</t>
  </si>
  <si>
    <t xml:space="preserve">Profiteroles</t>
  </si>
  <si>
    <t xml:space="preserve">chocolate sauce</t>
  </si>
  <si>
    <t xml:space="preserve">cream puffs</t>
  </si>
  <si>
    <t xml:space="preserve">Cream-filled choux puffs with chocolate sauce</t>
  </si>
  <si>
    <t xml:space="preserve">vanilla; cream; choux pastry; chocolate sauce</t>
  </si>
  <si>
    <t xml:space="preserve">https://commons.wikimedia.org/w/index.php?search=Profiteroles+food&amp;title=Special:MediaSearch&amp;type=image</t>
  </si>
  <si>
    <t xml:space="preserve">https://thumb.wikimedia.org/wikipedia/commons/thumb/7/75/Paris_2e_-_Rue_Vivienne_-_Restaurant_Le_Vaudeville_-_Profiteroles_au_chocolat.jpg/1280px-Paris_2e_-_Rue_Vivienne_-_Restaurant_Le_Vaudeville_-_Profiteroles_au_chocolat.jpg</t>
  </si>
  <si>
    <t xml:space="preserve">Romainbehar</t>
  </si>
  <si>
    <t xml:space="preserve">D0614</t>
  </si>
  <si>
    <t xml:space="preserve">Fondue</t>
  </si>
  <si>
    <t xml:space="preserve">Switzerland</t>
  </si>
  <si>
    <t xml:space="preserve">kirsch</t>
  </si>
  <si>
    <t xml:space="preserve">bread cubes</t>
  </si>
  <si>
    <t xml:space="preserve">melted gruyère</t>
  </si>
  <si>
    <t xml:space="preserve">shared melted-cheese pot</t>
  </si>
  <si>
    <t xml:space="preserve">Swiss</t>
  </si>
  <si>
    <t xml:space="preserve">Switzerland's pot of melted cheese for dipping bread</t>
  </si>
  <si>
    <t xml:space="preserve">kirsch; white wine; bread cubes; melted gruyère</t>
  </si>
  <si>
    <t xml:space="preserve">https://commons.wikimedia.org/w/index.php?search=Fondue+food&amp;title=Special:MediaSearch&amp;type=image</t>
  </si>
  <si>
    <t xml:space="preserve">D0615</t>
  </si>
  <si>
    <t xml:space="preserve">Raclette</t>
  </si>
  <si>
    <t xml:space="preserve">gherkins</t>
  </si>
  <si>
    <t xml:space="preserve">pickled onions</t>
  </si>
  <si>
    <t xml:space="preserve">boiled potatoes</t>
  </si>
  <si>
    <t xml:space="preserve">scraped melted cheese</t>
  </si>
  <si>
    <t xml:space="preserve">melted cheese scraped onto potatoes</t>
  </si>
  <si>
    <t xml:space="preserve">Switzerland's melted cheese scraped over potatoes</t>
  </si>
  <si>
    <t xml:space="preserve">gherkins; pickled onions; boiled potatoes</t>
  </si>
  <si>
    <t xml:space="preserve">https://commons.wikimedia.org/w/index.php?search=Raclette+food&amp;title=Special:MediaSearch&amp;type=image</t>
  </si>
  <si>
    <t xml:space="preserve">D0616</t>
  </si>
  <si>
    <t xml:space="preserve">Rösti</t>
  </si>
  <si>
    <t xml:space="preserve">crispy</t>
  </si>
  <si>
    <t xml:space="preserve">grated potato</t>
  </si>
  <si>
    <t xml:space="preserve">crisp potato cake</t>
  </si>
  <si>
    <t xml:space="preserve">Switzerland's crisp grated-potato cake</t>
  </si>
  <si>
    <t xml:space="preserve">butter; grated potato</t>
  </si>
  <si>
    <t xml:space="preserve">https://commons.wikimedia.org/w/index.php?search=R%C3%B6sti+food&amp;title=Special:MediaSearch&amp;type=image</t>
  </si>
  <si>
    <t xml:space="preserve">D0618</t>
  </si>
  <si>
    <t xml:space="preserve">Paella</t>
  </si>
  <si>
    <t xml:space="preserve">Spain</t>
  </si>
  <si>
    <t xml:space="preserve">rabbit</t>
  </si>
  <si>
    <t xml:space="preserve">bomba rice</t>
  </si>
  <si>
    <t xml:space="preserve">rice pan</t>
  </si>
  <si>
    <t xml:space="preserve">Valencia</t>
  </si>
  <si>
    <t xml:space="preserve">Valencia's saffron rice cooked in a wide pan</t>
  </si>
  <si>
    <t xml:space="preserve">chicken; rabbit; saffron; bomba rice</t>
  </si>
  <si>
    <t xml:space="preserve">https://commons.wikimedia.org/w/index.php?search=Paella+food&amp;title=Special:MediaSearch&amp;type=image</t>
  </si>
  <si>
    <t xml:space="preserve">D0620</t>
  </si>
  <si>
    <t xml:space="preserve">Tortilla Española</t>
  </si>
  <si>
    <t xml:space="preserve">thick omelette</t>
  </si>
  <si>
    <t xml:space="preserve">potato omelette</t>
  </si>
  <si>
    <t xml:space="preserve">Spanish</t>
  </si>
  <si>
    <t xml:space="preserve">eggs</t>
  </si>
  <si>
    <t xml:space="preserve">tapas bar</t>
  </si>
  <si>
    <t xml:space="preserve">Spain's thick potato omelette</t>
  </si>
  <si>
    <t xml:space="preserve">thick omelette; onion</t>
  </si>
  <si>
    <t xml:space="preserve">https://commons.wikimedia.org/w/index.php?search=Tortilla+Espa%C3%B1ola+food&amp;title=Special:MediaSearch&amp;type=image</t>
  </si>
  <si>
    <t xml:space="preserve">D0621</t>
  </si>
  <si>
    <t xml:space="preserve">Gazpacho</t>
  </si>
  <si>
    <t xml:space="preserve">cold</t>
  </si>
  <si>
    <t xml:space="preserve">cold soup</t>
  </si>
  <si>
    <t xml:space="preserve">Andalusia</t>
  </si>
  <si>
    <t xml:space="preserve">Andalusia's chilled tomato soup</t>
  </si>
  <si>
    <t xml:space="preserve">tomato; cucumber; capsicum</t>
  </si>
  <si>
    <t xml:space="preserve">https://commons.wikimedia.org/w/index.php?search=Gazpacho+food&amp;title=Special:MediaSearch&amp;type=image</t>
  </si>
  <si>
    <t xml:space="preserve">https://thumb.wikimedia.org/wikipedia/commons/thumb/9/99/Gazpacho_Malague%C3%B1o_con_su_%E2%80%9Cpica%C3%ADto%E2%80%9D_-_Moreno%2C_Playa_Burriana_%28cropped%29.jpg/1280px-Gazpacho_Malague%C3%B1o_con_su_%E2%80%9Cpica%C3%ADto%E2%80%9D_-_Moreno%2C_Playa_Burriana_%28cropped%29.jpg</t>
  </si>
  <si>
    <t xml:space="preserve">Haydn Blackey</t>
  </si>
  <si>
    <t xml:space="preserve">D0622</t>
  </si>
  <si>
    <t xml:space="preserve">Patatas Bravas</t>
  </si>
  <si>
    <t xml:space="preserve">paprika</t>
  </si>
  <si>
    <t xml:space="preserve">spicy tomato sauce</t>
  </si>
  <si>
    <t xml:space="preserve">aioli</t>
  </si>
  <si>
    <t xml:space="preserve">fried potatoes</t>
  </si>
  <si>
    <t xml:space="preserve">tapas</t>
  </si>
  <si>
    <t xml:space="preserve">Spain's fried potatoes with spicy sauce</t>
  </si>
  <si>
    <t xml:space="preserve">paprika; spicy tomato sauce; aioli; fried potatoes</t>
  </si>
  <si>
    <t xml:space="preserve">https://commons.wikimedia.org/w/index.php?search=Patatas+Bravas+food&amp;title=Special:MediaSearch&amp;type=image</t>
  </si>
  <si>
    <t xml:space="preserve">D0623</t>
  </si>
  <si>
    <t xml:space="preserve">Churros</t>
  </si>
  <si>
    <t xml:space="preserve">hot chocolate</t>
  </si>
  <si>
    <t xml:space="preserve">fried dough sticks</t>
  </si>
  <si>
    <t xml:space="preserve">Spanish breakfast</t>
  </si>
  <si>
    <t xml:space="preserve">ridged</t>
  </si>
  <si>
    <t xml:space="preserve">sugar-dusted</t>
  </si>
  <si>
    <t xml:space="preserve">Spain's fried dough sticks dipped in chocolate</t>
  </si>
  <si>
    <t xml:space="preserve">cinnamon; hot chocolate; fried dough sticks</t>
  </si>
  <si>
    <t xml:space="preserve">Spain and Portugal</t>
  </si>
  <si>
    <t xml:space="preserve">https://commons.wikimedia.org/w/index.php?search=Churros+food&amp;title=Special:MediaSearch&amp;type=image</t>
  </si>
  <si>
    <t xml:space="preserve">https://thumb.wikimedia.org/wikipedia/commons/thumb/c/c6/Chocolate_con_churros_%2827343655726%29.jpg/1280px-Chocolate_con_churros_%2827343655726%29.jpg</t>
  </si>
  <si>
    <t xml:space="preserve">Joy</t>
  </si>
  <si>
    <t xml:space="preserve">D0624</t>
  </si>
  <si>
    <t xml:space="preserve">Gambas al Ajillo</t>
  </si>
  <si>
    <t xml:space="preserve">sizzling garlic prawns</t>
  </si>
  <si>
    <t xml:space="preserve">clay dish</t>
  </si>
  <si>
    <t xml:space="preserve">Spain's prawns sizzled in garlic and olive oil</t>
  </si>
  <si>
    <t xml:space="preserve">prawns; chilli; olive oil</t>
  </si>
  <si>
    <t xml:space="preserve">https://commons.wikimedia.org/w/index.php?search=Gambas+al+Ajillo+food&amp;title=Special:MediaSearch&amp;type=image</t>
  </si>
  <si>
    <t xml:space="preserve">D0625</t>
  </si>
  <si>
    <t xml:space="preserve">Jamón Ibérico</t>
  </si>
  <si>
    <t xml:space="preserve">acorn-fed</t>
  </si>
  <si>
    <t xml:space="preserve">cured</t>
  </si>
  <si>
    <t xml:space="preserve">thin slices</t>
  </si>
  <si>
    <t xml:space="preserve">pork leg</t>
  </si>
  <si>
    <t xml:space="preserve">cured ham</t>
  </si>
  <si>
    <t xml:space="preserve">Spain's prized cured ham</t>
  </si>
  <si>
    <t xml:space="preserve">https://commons.wikimedia.org/w/index.php?search=Jam%C3%B3n+Ib%C3%A9rico+food&amp;title=Special:MediaSearch&amp;type=image</t>
  </si>
  <si>
    <t xml:space="preserve">https://thumb.wikimedia.org/wikipedia/commons/thumb/3/35/Jamon_iberico_de_bellota_2_%28cinco_jotas%29.jpg/1280px-Jamon_iberico_de_bellota_2_%28cinco_jotas%29.jpg</t>
  </si>
  <si>
    <t xml:space="preserve">Cantabrucu</t>
  </si>
  <si>
    <t xml:space="preserve">D0626</t>
  </si>
  <si>
    <t xml:space="preserve">Croquetas</t>
  </si>
  <si>
    <t xml:space="preserve">fried</t>
  </si>
  <si>
    <t xml:space="preserve">fried croquettes</t>
  </si>
  <si>
    <t xml:space="preserve">Spain's creamy fried croquettes</t>
  </si>
  <si>
    <t xml:space="preserve">béchamel; breadcrumbs; ham</t>
  </si>
  <si>
    <t xml:space="preserve">https://commons.wikimedia.org/w/index.php?search=Croquetas+food&amp;title=Special:MediaSearch&amp;type=image</t>
  </si>
  <si>
    <t xml:space="preserve">D0634</t>
  </si>
  <si>
    <t xml:space="preserve">Pastel de Nata</t>
  </si>
  <si>
    <t xml:space="preserve">Portugal</t>
  </si>
  <si>
    <t xml:space="preserve">puff pastry</t>
  </si>
  <si>
    <t xml:space="preserve">custard tart</t>
  </si>
  <si>
    <t xml:space="preserve">Lisbon</t>
  </si>
  <si>
    <t xml:space="preserve">Portugal's custard tart with a blistered top</t>
  </si>
  <si>
    <t xml:space="preserve">cinnamon; cream; egg yolk; puff pastry; custard tart</t>
  </si>
  <si>
    <t xml:space="preserve">https://commons.wikimedia.org/w/index.php?search=Pastel+de+Nata+food&amp;title=Special:MediaSearch&amp;type=image</t>
  </si>
  <si>
    <t xml:space="preserve">https://thumb.wikimedia.org/wikipedia/commons/thumb/0/0c/Pasteis_de_Belem.jpg/1280px-Pasteis_de_Belem.jpg</t>
  </si>
  <si>
    <t xml:space="preserve">Mon Œil</t>
  </si>
  <si>
    <t xml:space="preserve">D0635</t>
  </si>
  <si>
    <t xml:space="preserve">Bacalhau à Brás</t>
  </si>
  <si>
    <t xml:space="preserve">olives</t>
  </si>
  <si>
    <t xml:space="preserve">matchstick potatoes</t>
  </si>
  <si>
    <t xml:space="preserve">salt cod</t>
  </si>
  <si>
    <t xml:space="preserve">Portugal's salt cod scrambled with egg and potato</t>
  </si>
  <si>
    <t xml:space="preserve">egg; olives; parsley; matchstick potatoes; salt cod</t>
  </si>
  <si>
    <t xml:space="preserve">https://commons.wikimedia.org/w/index.php?search=Bacalhau+%C3%A0+Br%C3%A1s+food&amp;title=Special:MediaSearch&amp;type=image</t>
  </si>
  <si>
    <t xml:space="preserve">D0636</t>
  </si>
  <si>
    <t xml:space="preserve">Francesinha</t>
  </si>
  <si>
    <t xml:space="preserve">melted cheese</t>
  </si>
  <si>
    <t xml:space="preserve">beer tomato sauce</t>
  </si>
  <si>
    <t xml:space="preserve">meat sandwich drowned in sauce</t>
  </si>
  <si>
    <t xml:space="preserve">Porto</t>
  </si>
  <si>
    <t xml:space="preserve">Porto's meat-stacked sandwich in beer sauce</t>
  </si>
  <si>
    <t xml:space="preserve">sausage; steak; beer tomato sauce</t>
  </si>
  <si>
    <t xml:space="preserve">https://commons.wikimedia.org/w/index.php?search=Francesinha+food&amp;title=Special:MediaSearch&amp;type=image</t>
  </si>
  <si>
    <t xml:space="preserve">https://thumb.wikimedia.org/wikipedia/commons/thumb/4/47/Francesinha_Sandwich_%28cropped%29.jpg/1280px-Francesinha_Sandwich_%28cropped%29.jpg</t>
  </si>
  <si>
    <t xml:space="preserve">TheRealDapperDan</t>
  </si>
  <si>
    <t xml:space="preserve">D0637</t>
  </si>
  <si>
    <t xml:space="preserve">Caldo Verde</t>
  </si>
  <si>
    <t xml:space="preserve">chouriço</t>
  </si>
  <si>
    <t xml:space="preserve">kale</t>
  </si>
  <si>
    <t xml:space="preserve">green soup</t>
  </si>
  <si>
    <t xml:space="preserve">Portuguese</t>
  </si>
  <si>
    <t xml:space="preserve">Portugal's potato and kale soup with sausage</t>
  </si>
  <si>
    <t xml:space="preserve">potato; chouriço; kale</t>
  </si>
  <si>
    <t xml:space="preserve">https://commons.wikimedia.org/w/index.php?search=Caldo+Verde+food&amp;title=Special:MediaSearch&amp;type=image</t>
  </si>
  <si>
    <t xml:space="preserve">D0638</t>
  </si>
  <si>
    <t xml:space="preserve">Piri Piri Chicken</t>
  </si>
  <si>
    <t xml:space="preserve">bird's eye chilli</t>
  </si>
  <si>
    <t xml:space="preserve">Portugal's chilli-marinated grilled chicken</t>
  </si>
  <si>
    <t xml:space="preserve">lemon; paprika; bird's eye chilli; grilled chicken</t>
  </si>
  <si>
    <t xml:space="preserve">https://commons.wikimedia.org/w/index.php?search=Piri+Piri+Chicken+food&amp;title=Special:MediaSearch&amp;type=image</t>
  </si>
  <si>
    <t xml:space="preserve">D0641</t>
  </si>
  <si>
    <t xml:space="preserve">Fish and Chips</t>
  </si>
  <si>
    <t xml:space="preserve">United Kingdom</t>
  </si>
  <si>
    <t xml:space="preserve">Northern Europe</t>
  </si>
  <si>
    <t xml:space="preserve">mushy peas</t>
  </si>
  <si>
    <t xml:space="preserve">beer batter</t>
  </si>
  <si>
    <t xml:space="preserve">cod</t>
  </si>
  <si>
    <t xml:space="preserve">battered fish</t>
  </si>
  <si>
    <t xml:space="preserve">British seaside</t>
  </si>
  <si>
    <t xml:space="preserve">chips</t>
  </si>
  <si>
    <t xml:space="preserve">Britain's battered cod with fried potatoes</t>
  </si>
  <si>
    <t xml:space="preserve">mushy peas; beer batter; cod; chips</t>
  </si>
  <si>
    <t xml:space="preserve">battered fish; chips</t>
  </si>
  <si>
    <t xml:space="preserve">https://commons.wikimedia.org/w/index.php?search=Fish+and+Chips+food&amp;title=Special:MediaSearch&amp;type=image</t>
  </si>
  <si>
    <t xml:space="preserve">https://thumb.wikimedia.org/wikipedia/commons/thumb/f/ff/Fish_and_chips_blackpool.jpg/1280px-Fish_and_chips_blackpool.jpg</t>
  </si>
  <si>
    <t xml:space="preserve">Matthias Meckel</t>
  </si>
  <si>
    <t xml:space="preserve">D0642</t>
  </si>
  <si>
    <t xml:space="preserve">Full English Breakfast</t>
  </si>
  <si>
    <t xml:space="preserve">baked beans</t>
  </si>
  <si>
    <t xml:space="preserve">British</t>
  </si>
  <si>
    <t xml:space="preserve">Britain's big cooked morning plate</t>
  </si>
  <si>
    <t xml:space="preserve">mushroom; baked beans; sausage; bacon; fried egg</t>
  </si>
  <si>
    <t xml:space="preserve">https://commons.wikimedia.org/w/index.php?search=Full+English+Breakfast+food&amp;title=Special:MediaSearch&amp;type=image</t>
  </si>
  <si>
    <t xml:space="preserve">D0643</t>
  </si>
  <si>
    <t xml:space="preserve">Shepherd's Pie</t>
  </si>
  <si>
    <t xml:space="preserve">gravy</t>
  </si>
  <si>
    <t xml:space="preserve">mashed potato topping</t>
  </si>
  <si>
    <t xml:space="preserve">minced lamb</t>
  </si>
  <si>
    <t xml:space="preserve">meat pie with mash on top</t>
  </si>
  <si>
    <t xml:space="preserve">Britain's minced lamb pie topped with mashed potato</t>
  </si>
  <si>
    <t xml:space="preserve">peas; gravy; mashed potato topping; minced lamb</t>
  </si>
  <si>
    <t xml:space="preserve">https://commons.wikimedia.org/w/index.php?search=Shepherd%27s+Pie+food&amp;title=Special:MediaSearch&amp;type=image</t>
  </si>
  <si>
    <t xml:space="preserve">D0644</t>
  </si>
  <si>
    <t xml:space="preserve">Sunday Roast</t>
  </si>
  <si>
    <t xml:space="preserve">Yorkshire pudding</t>
  </si>
  <si>
    <t xml:space="preserve">weekend family roast</t>
  </si>
  <si>
    <t xml:space="preserve">roast potatoes</t>
  </si>
  <si>
    <t xml:space="preserve">roast beef</t>
  </si>
  <si>
    <t xml:space="preserve">Britain's weekend roast with all the trimmings</t>
  </si>
  <si>
    <t xml:space="preserve">gravy; Yorkshire pudding; roast potatoes; roast beef</t>
  </si>
  <si>
    <t xml:space="preserve">weekend family roast; roast potatoes; roast beef</t>
  </si>
  <si>
    <t xml:space="preserve">https://commons.wikimedia.org/w/index.php?search=Sunday+Roast+food&amp;title=Special:MediaSearch&amp;type=image</t>
  </si>
  <si>
    <t xml:space="preserve">https://thumb.wikimedia.org/wikipedia/commons/thumb/b/bd/Sunday_roast_lamb_Cock_Inn_Henham_Essex_England_01.jpg/1280px-Sunday_roast_lamb_Cock_Inn_Henham_Essex_England_01.jpg</t>
  </si>
  <si>
    <t xml:space="preserve">Acabashi</t>
  </si>
  <si>
    <t xml:space="preserve">D0645</t>
  </si>
  <si>
    <t xml:space="preserve">Beef Wellington</t>
  </si>
  <si>
    <t xml:space="preserve">prosciutto</t>
  </si>
  <si>
    <t xml:space="preserve">beef in pastry</t>
  </si>
  <si>
    <t xml:space="preserve">beef fillet</t>
  </si>
  <si>
    <t xml:space="preserve">Beef fillet wrapped in mushroom and pastry</t>
  </si>
  <si>
    <t xml:space="preserve">prosciutto; mustard; puff pastry; beef fillet</t>
  </si>
  <si>
    <t xml:space="preserve">beef in pastry; beef fillet</t>
  </si>
  <si>
    <t xml:space="preserve">https://commons.wikimedia.org/w/index.php?search=Beef+Wellington+food&amp;title=Special:MediaSearch&amp;type=image</t>
  </si>
  <si>
    <t xml:space="preserve">https://thumb.wikimedia.org/wikipedia/commons/thumb/a/a9/Beef_Wellington_2019.jpg/1280px-Beef_Wellington_2019.jpg</t>
  </si>
  <si>
    <t xml:space="preserve">Snielsen1112</t>
  </si>
  <si>
    <t xml:space="preserve">D0646</t>
  </si>
  <si>
    <t xml:space="preserve">Bangers and Mash</t>
  </si>
  <si>
    <t xml:space="preserve">onion gravy</t>
  </si>
  <si>
    <t xml:space="preserve">mashed potato</t>
  </si>
  <si>
    <t xml:space="preserve">British pub</t>
  </si>
  <si>
    <t xml:space="preserve">Britain's sausages with mashed potato and gravy</t>
  </si>
  <si>
    <t xml:space="preserve">butter; onion gravy; peas; mashed potato; sausage</t>
  </si>
  <si>
    <t xml:space="preserve">https://commons.wikimedia.org/w/index.php?search=Bangers+and+Mash+food&amp;title=Special:MediaSearch&amp;type=image</t>
  </si>
  <si>
    <t xml:space="preserve">D0647</t>
  </si>
  <si>
    <t xml:space="preserve">Cornish Pasty</t>
  </si>
  <si>
    <t xml:space="preserve">swede</t>
  </si>
  <si>
    <t xml:space="preserve">crimped pastry</t>
  </si>
  <si>
    <t xml:space="preserve">Cornwall</t>
  </si>
  <si>
    <t xml:space="preserve">Cornwall's crimped beef-and-vegetable pastry</t>
  </si>
  <si>
    <t xml:space="preserve">potato; swede; beef</t>
  </si>
  <si>
    <t xml:space="preserve">https://commons.wikimedia.org/w/index.php?search=Cornish+Pasty+food&amp;title=Special:MediaSearch&amp;type=image</t>
  </si>
  <si>
    <t xml:space="preserve">D0648</t>
  </si>
  <si>
    <t xml:space="preserve">Scotch Egg</t>
  </si>
  <si>
    <t xml:space="preserve">sausage meat</t>
  </si>
  <si>
    <t xml:space="preserve">British picnic</t>
  </si>
  <si>
    <t xml:space="preserve">A boiled egg wrapped in sausage meat, crumbed and fried</t>
  </si>
  <si>
    <t xml:space="preserve">breadcrumbs; sausage meat; boiled egg</t>
  </si>
  <si>
    <t xml:space="preserve">https://commons.wikimedia.org/w/index.php?search=Scotch+Egg+food&amp;title=Special:MediaSearch&amp;type=image</t>
  </si>
  <si>
    <t xml:space="preserve">https://thumb.wikimedia.org/wikipedia/commons/thumb/4/4f/One_scotch_egg_%28No_jar_of_Marmite%29.jpg/1280px-One_scotch_egg_%28No_jar_of_Marmite%29.jpg</t>
  </si>
  <si>
    <t xml:space="preserve">Unhindered by Talent</t>
  </si>
  <si>
    <t xml:space="preserve">D0650</t>
  </si>
  <si>
    <t xml:space="preserve">Sticky Toffee Pudding</t>
  </si>
  <si>
    <t xml:space="preserve">sponge</t>
  </si>
  <si>
    <t xml:space="preserve">date sponge</t>
  </si>
  <si>
    <t xml:space="preserve">toffee sauce</t>
  </si>
  <si>
    <t xml:space="preserve">Britain's date sponge with caramel sauce</t>
  </si>
  <si>
    <t xml:space="preserve">butter; sponge; dates; toffee sauce</t>
  </si>
  <si>
    <t xml:space="preserve">https://commons.wikimedia.org/w/index.php?search=Sticky+Toffee+Pudding+food&amp;title=Special:MediaSearch&amp;type=image</t>
  </si>
  <si>
    <t xml:space="preserve">D0651</t>
  </si>
  <si>
    <t xml:space="preserve">Scones</t>
  </si>
  <si>
    <t xml:space="preserve">jam</t>
  </si>
  <si>
    <t xml:space="preserve">clotted cream</t>
  </si>
  <si>
    <t xml:space="preserve">cream tea</t>
  </si>
  <si>
    <t xml:space="preserve">Britain's baked rounds served with jam and cream</t>
  </si>
  <si>
    <t xml:space="preserve">milk; butter; jam; clotted cream</t>
  </si>
  <si>
    <t xml:space="preserve">https://commons.wikimedia.org/w/index.php?search=Scones+food&amp;title=Special:MediaSearch&amp;type=image</t>
  </si>
  <si>
    <t xml:space="preserve">D0652</t>
  </si>
  <si>
    <t xml:space="preserve">Trifle</t>
  </si>
  <si>
    <t xml:space="preserve">jelly</t>
  </si>
  <si>
    <t xml:space="preserve">custard</t>
  </si>
  <si>
    <t xml:space="preserve">layered dessert</t>
  </si>
  <si>
    <t xml:space="preserve">Britain's layered sponge, jelly, custard and cream dessert</t>
  </si>
  <si>
    <t xml:space="preserve">fruit; jelly; sponge; custard</t>
  </si>
  <si>
    <t xml:space="preserve">https://commons.wikimedia.org/w/index.php?search=Trifle+food&amp;title=Special:MediaSearch&amp;type=image</t>
  </si>
  <si>
    <t xml:space="preserve">D0654</t>
  </si>
  <si>
    <t xml:space="preserve">Victoria Sponge</t>
  </si>
  <si>
    <t xml:space="preserve">layer cake</t>
  </si>
  <si>
    <t xml:space="preserve">jam-and-cream sandwich cake</t>
  </si>
  <si>
    <t xml:space="preserve">Britain's jam-and-cream layer cake named after a queen</t>
  </si>
  <si>
    <t xml:space="preserve">egg; cream; jam</t>
  </si>
  <si>
    <t xml:space="preserve">https://commons.wikimedia.org/w/index.php?search=Victoria+Sponge+food&amp;title=Special:MediaSearch&amp;type=image</t>
  </si>
  <si>
    <t xml:space="preserve">https://thumb.wikimedia.org/wikipedia/commons/thumb/8/80/Victoria_Sponges.jpg/1280px-Victoria_Sponges.jpg</t>
  </si>
  <si>
    <t xml:space="preserve">euphro</t>
  </si>
  <si>
    <t xml:space="preserve">D0655</t>
  </si>
  <si>
    <t xml:space="preserve">Haggis</t>
  </si>
  <si>
    <t xml:space="preserve">suet</t>
  </si>
  <si>
    <t xml:space="preserve">sheep offal</t>
  </si>
  <si>
    <t xml:space="preserve">neeps and tatties</t>
  </si>
  <si>
    <t xml:space="preserve">Scottish</t>
  </si>
  <si>
    <t xml:space="preserve">Burns Night</t>
  </si>
  <si>
    <t xml:space="preserve">Scotland</t>
  </si>
  <si>
    <t xml:space="preserve">Scotland's savoury pudding of sheep offal and oats</t>
  </si>
  <si>
    <t xml:space="preserve">suet; sheep offal; neeps and tatties</t>
  </si>
  <si>
    <t xml:space="preserve">https://commons.wikimedia.org/w/index.php?search=Haggis+food&amp;title=Special:MediaSearch&amp;type=image</t>
  </si>
  <si>
    <t xml:space="preserve">https://thumb.wikimedia.org/wikipedia/commons/thumb/a/a5/Scotland_Haggis.jpg/1280px-Scotland_Haggis.jpg</t>
  </si>
  <si>
    <t xml:space="preserve">Chris Brown</t>
  </si>
  <si>
    <t xml:space="preserve">D0659</t>
  </si>
  <si>
    <t xml:space="preserve">Irish Stew</t>
  </si>
  <si>
    <t xml:space="preserve">Ireland</t>
  </si>
  <si>
    <t xml:space="preserve">lamb stew</t>
  </si>
  <si>
    <t xml:space="preserve">Ireland's lamb and potato stew</t>
  </si>
  <si>
    <t xml:space="preserve">carrot; potato; thyme; lamb</t>
  </si>
  <si>
    <t xml:space="preserve">https://commons.wikimedia.org/w/index.php?search=Irish+Stew+food&amp;title=Special:MediaSearch&amp;type=image</t>
  </si>
  <si>
    <t xml:space="preserve">https://thumb.wikimedia.org/wikipedia/commons/thumb/d/d8/Irish_Beef_Stew_%2834046928633%29.jpg/1280px-Irish_Beef_Stew_%2834046928633%29.jpg</t>
  </si>
  <si>
    <t xml:space="preserve">A Healthier Michigan from Detroit, United States</t>
  </si>
  <si>
    <t xml:space="preserve">D0662</t>
  </si>
  <si>
    <t xml:space="preserve">Wiener Schnitzel</t>
  </si>
  <si>
    <t xml:space="preserve">Austria</t>
  </si>
  <si>
    <t xml:space="preserve">Central Europe</t>
  </si>
  <si>
    <t xml:space="preserve">potato salad</t>
  </si>
  <si>
    <t xml:space="preserve">veal cutlet</t>
  </si>
  <si>
    <t xml:space="preserve">Vienna</t>
  </si>
  <si>
    <t xml:space="preserve">Vienna's breaded veal cutlet</t>
  </si>
  <si>
    <t xml:space="preserve">lemon; egg; breadcrumbs; potato salad; veal cutlet</t>
  </si>
  <si>
    <t xml:space="preserve">https://commons.wikimedia.org/w/index.php?search=Wiener+Schnitzel+food&amp;title=Special:MediaSearch&amp;type=image</t>
  </si>
  <si>
    <t xml:space="preserve">D0663</t>
  </si>
  <si>
    <t xml:space="preserve">Apfelstrudel</t>
  </si>
  <si>
    <t xml:space="preserve">thin pastry</t>
  </si>
  <si>
    <t xml:space="preserve">rolled pastry</t>
  </si>
  <si>
    <t xml:space="preserve">Austrian</t>
  </si>
  <si>
    <t xml:space="preserve">Austria's thin-pastry apple roll</t>
  </si>
  <si>
    <t xml:space="preserve">raisins; breadcrumbs; thin pastry; apple</t>
  </si>
  <si>
    <t xml:space="preserve">https://commons.wikimedia.org/w/index.php?search=Apfelstrudel+food&amp;title=Special:MediaSearch&amp;type=image</t>
  </si>
  <si>
    <t xml:space="preserve">https://thumb.wikimedia.org/wikipedia/commons/thumb/4/40/Strudel.jpg/1280px-Strudel.jpg</t>
  </si>
  <si>
    <t xml:space="preserve">che</t>
  </si>
  <si>
    <t xml:space="preserve">D0664</t>
  </si>
  <si>
    <t xml:space="preserve">Sachertorte</t>
  </si>
  <si>
    <t xml:space="preserve">apricot jam</t>
  </si>
  <si>
    <t xml:space="preserve">dark chocolate glaze</t>
  </si>
  <si>
    <t xml:space="preserve">chocolate cake</t>
  </si>
  <si>
    <t xml:space="preserve">Vienna's chocolate cake with apricot jam</t>
  </si>
  <si>
    <t xml:space="preserve">butter; apricot jam; dark chocolate glaze</t>
  </si>
  <si>
    <t xml:space="preserve">https://commons.wikimedia.org/w/index.php?search=Sachertorte+food&amp;title=Special:MediaSearch&amp;type=image</t>
  </si>
  <si>
    <t xml:space="preserve">https://thumb.wikimedia.org/wikipedia/commons/thumb/b/b8/Sachertorte_DSC03027.JPG/1280px-Sachertorte_DSC03027.JPG</t>
  </si>
  <si>
    <t xml:space="preserve">David Monniaux</t>
  </si>
  <si>
    <t xml:space="preserve">D0667</t>
  </si>
  <si>
    <t xml:space="preserve">Bratwurst</t>
  </si>
  <si>
    <t xml:space="preserve">Germany</t>
  </si>
  <si>
    <t xml:space="preserve">bread roll</t>
  </si>
  <si>
    <t xml:space="preserve">pork sausage</t>
  </si>
  <si>
    <t xml:space="preserve">grilled sausage</t>
  </si>
  <si>
    <t xml:space="preserve">German</t>
  </si>
  <si>
    <t xml:space="preserve">Germany's grilled pork sausage</t>
  </si>
  <si>
    <t xml:space="preserve">bread roll; mustard; pork sausage</t>
  </si>
  <si>
    <t xml:space="preserve">https://commons.wikimedia.org/w/index.php?search=Bratwurst+food&amp;title=Special:MediaSearch&amp;type=image</t>
  </si>
  <si>
    <t xml:space="preserve">D0668</t>
  </si>
  <si>
    <t xml:space="preserve">Currywurst</t>
  </si>
  <si>
    <t xml:space="preserve">curry powder</t>
  </si>
  <si>
    <t xml:space="preserve">sliced sausage</t>
  </si>
  <si>
    <t xml:space="preserve">sausage with curry ketchup</t>
  </si>
  <si>
    <t xml:space="preserve">Berlin</t>
  </si>
  <si>
    <t xml:space="preserve">Berlin's sliced sausage with curry ketchup</t>
  </si>
  <si>
    <t xml:space="preserve">fries; ketchup; curry powder; sliced sausage</t>
  </si>
  <si>
    <t xml:space="preserve">https://commons.wikimedia.org/w/index.php?search=Currywurst+food&amp;title=Special:MediaSearch&amp;type=image</t>
  </si>
  <si>
    <t xml:space="preserve">https://thumb.wikimedia.org/wikipedia/commons/thumb/4/4d/20220430_currywurst.jpg/1280px-20220430_currywurst.jpg</t>
  </si>
  <si>
    <t xml:space="preserve">Ziko van Dijk</t>
  </si>
  <si>
    <t xml:space="preserve">D0669</t>
  </si>
  <si>
    <t xml:space="preserve">Sauerbraten</t>
  </si>
  <si>
    <t xml:space="preserve">red wine vinegar</t>
  </si>
  <si>
    <t xml:space="preserve">gingerbread</t>
  </si>
  <si>
    <t xml:space="preserve">red cabbage</t>
  </si>
  <si>
    <t xml:space="preserve">pot roast</t>
  </si>
  <si>
    <t xml:space="preserve">Germany's marinated pot roast</t>
  </si>
  <si>
    <t xml:space="preserve">red wine vinegar; gingerbread; red cabbage; marinated beef</t>
  </si>
  <si>
    <t xml:space="preserve">https://commons.wikimedia.org/w/index.php?search=Sauerbraten+food&amp;title=Special:MediaSearch&amp;type=image</t>
  </si>
  <si>
    <t xml:space="preserve">https://thumb.wikimedia.org/wikipedia/commons/thumb/2/2a/Heldrunger_Sauerbraten_2.JPG/1280px-Heldrunger_Sauerbraten_2.JPG</t>
  </si>
  <si>
    <t xml:space="preserve">Dr. Bernd Gross</t>
  </si>
  <si>
    <t xml:space="preserve">D0670</t>
  </si>
  <si>
    <t xml:space="preserve">Schweinshaxe</t>
  </si>
  <si>
    <t xml:space="preserve">sauerkraut</t>
  </si>
  <si>
    <t xml:space="preserve">crackling</t>
  </si>
  <si>
    <t xml:space="preserve">crispy knuckle</t>
  </si>
  <si>
    <t xml:space="preserve">Bavaria</t>
  </si>
  <si>
    <t xml:space="preserve">Bavaria's roast pork knuckle</t>
  </si>
  <si>
    <t xml:space="preserve">sauerkraut; dumpling; crackling; pork knuckle</t>
  </si>
  <si>
    <t xml:space="preserve">https://commons.wikimedia.org/w/index.php?search=Schweinshaxe+food&amp;title=Special:MediaSearch&amp;type=image</t>
  </si>
  <si>
    <t xml:space="preserve">D0671</t>
  </si>
  <si>
    <t xml:space="preserve">Pretzel</t>
  </si>
  <si>
    <t xml:space="preserve">Brezel</t>
  </si>
  <si>
    <t xml:space="preserve">coarse salt</t>
  </si>
  <si>
    <t xml:space="preserve">lye bath</t>
  </si>
  <si>
    <t xml:space="preserve">twisted knot</t>
  </si>
  <si>
    <t xml:space="preserve">twisted bread</t>
  </si>
  <si>
    <t xml:space="preserve">Germany's twisted, salted bread knot</t>
  </si>
  <si>
    <t xml:space="preserve">https://commons.wikimedia.org/w/index.php?search=Pretzel+food&amp;title=Special:MediaSearch&amp;type=image</t>
  </si>
  <si>
    <t xml:space="preserve">https://thumb.wikimedia.org/wikipedia/commons/thumb/3/30/BrezelnSalz02_%28cropped%29.JPG/1280px-BrezelnSalz02_%28cropped%29.JPG</t>
  </si>
  <si>
    <t xml:space="preserve">Sundar1</t>
  </si>
  <si>
    <t xml:space="preserve">D0672</t>
  </si>
  <si>
    <t xml:space="preserve">Spätzle</t>
  </si>
  <si>
    <t xml:space="preserve">soft egg noodles</t>
  </si>
  <si>
    <t xml:space="preserve">Swabian</t>
  </si>
  <si>
    <t xml:space="preserve">Germany's soft egg noodles</t>
  </si>
  <si>
    <t xml:space="preserve">butter; egg; cheese; soft egg noodles</t>
  </si>
  <si>
    <t xml:space="preserve">https://commons.wikimedia.org/w/index.php?search=Sp%C3%A4tzle+food&amp;title=Special:MediaSearch&amp;type=image</t>
  </si>
  <si>
    <t xml:space="preserve">https://thumb.wikimedia.org/wikipedia/commons/thumb/2/28/Sp%C3%A4tzle-02.jpg/1280px-Sp%C3%A4tzle-02.jpg</t>
  </si>
  <si>
    <t xml:space="preserve">Kobako</t>
  </si>
  <si>
    <t xml:space="preserve">D0674</t>
  </si>
  <si>
    <t xml:space="preserve">Black Forest Cake</t>
  </si>
  <si>
    <t xml:space="preserve">Schwarzwälder Kirschtorte</t>
  </si>
  <si>
    <t xml:space="preserve">cherries</t>
  </si>
  <si>
    <t xml:space="preserve">chocolate sponge</t>
  </si>
  <si>
    <t xml:space="preserve">cherry chocolate cake</t>
  </si>
  <si>
    <t xml:space="preserve">Germany's chocolate-cherry cream cake</t>
  </si>
  <si>
    <t xml:space="preserve">cream; kirsch; cherries; chocolate sponge</t>
  </si>
  <si>
    <t xml:space="preserve">https://commons.wikimedia.org/w/index.php?search=Black+Forest+Cake+food&amp;title=Special:MediaSearch&amp;type=image</t>
  </si>
  <si>
    <t xml:space="preserve">https://thumb.wikimedia.org/wikipedia/commons/thumb/6/66/Black_Forest_gateau.jpg/1280px-Black_Forest_gateau.jpg</t>
  </si>
  <si>
    <t xml:space="preserve">Mikelo</t>
  </si>
  <si>
    <t xml:space="preserve">D0675</t>
  </si>
  <si>
    <t xml:space="preserve">Sauerkraut</t>
  </si>
  <si>
    <t xml:space="preserve">caraway</t>
  </si>
  <si>
    <t xml:space="preserve">juniper</t>
  </si>
  <si>
    <t xml:space="preserve">shredded cabbage</t>
  </si>
  <si>
    <t xml:space="preserve">Germany's fermented shredded cabbage</t>
  </si>
  <si>
    <t xml:space="preserve">caraway; juniper; shredded cabbage</t>
  </si>
  <si>
    <t xml:space="preserve">https://commons.wikimedia.org/w/index.php?search=Sauerkraut+food&amp;title=Special:MediaSearch&amp;type=image</t>
  </si>
  <si>
    <t xml:space="preserve">D0680</t>
  </si>
  <si>
    <t xml:space="preserve">Belgian Waffles</t>
  </si>
  <si>
    <t xml:space="preserve">Belgium</t>
  </si>
  <si>
    <t xml:space="preserve">strawberries</t>
  </si>
  <si>
    <t xml:space="preserve">deep grid</t>
  </si>
  <si>
    <t xml:space="preserve">Belgium's thick, deep-grid batter treats</t>
  </si>
  <si>
    <t xml:space="preserve">butter; cream; strawberries</t>
  </si>
  <si>
    <t xml:space="preserve">https://commons.wikimedia.org/w/index.php?search=Belgian+Waffles+food&amp;title=Special:MediaSearch&amp;type=image</t>
  </si>
  <si>
    <t xml:space="preserve">D0682</t>
  </si>
  <si>
    <t xml:space="preserve">Stroopwafel</t>
  </si>
  <si>
    <t xml:space="preserve">Netherlands</t>
  </si>
  <si>
    <t xml:space="preserve">thin waffles</t>
  </si>
  <si>
    <t xml:space="preserve">caramel syrup</t>
  </si>
  <si>
    <t xml:space="preserve">caramel waffle cookie</t>
  </si>
  <si>
    <t xml:space="preserve">Dutch</t>
  </si>
  <si>
    <t xml:space="preserve">The Netherlands' thin waffles sandwiching caramel syrup</t>
  </si>
  <si>
    <t xml:space="preserve">cinnamon; butter; thin waffles; caramel syrup</t>
  </si>
  <si>
    <t xml:space="preserve">https://commons.wikimedia.org/w/index.php?search=Stroopwafel+food&amp;title=Special:MediaSearch&amp;type=image</t>
  </si>
  <si>
    <t xml:space="preserve">https://thumb.wikimedia.org/wikipedia/commons/thumb/9/9a/Stroopwafels_01.jpg/1280px-Stroopwafels_01.jpg</t>
  </si>
  <si>
    <t xml:space="preserve">D0686</t>
  </si>
  <si>
    <t xml:space="preserve">Swedish Meatballs</t>
  </si>
  <si>
    <t xml:space="preserve">Köttbullar</t>
  </si>
  <si>
    <t xml:space="preserve">Sweden</t>
  </si>
  <si>
    <t xml:space="preserve">allspice</t>
  </si>
  <si>
    <t xml:space="preserve">cream sauce</t>
  </si>
  <si>
    <t xml:space="preserve">lingonberry jam</t>
  </si>
  <si>
    <t xml:space="preserve">meatballs</t>
  </si>
  <si>
    <t xml:space="preserve">Sweden's meat rounds with lingonberry and cream sauce</t>
  </si>
  <si>
    <t xml:space="preserve">allspice; cream sauce; mashed potato; lingonberry jam; meatballs</t>
  </si>
  <si>
    <t xml:space="preserve">https://commons.wikimedia.org/w/index.php?search=Swedish+Meatballs+food&amp;title=Special:MediaSearch&amp;type=image</t>
  </si>
  <si>
    <t xml:space="preserve">D0687</t>
  </si>
  <si>
    <t xml:space="preserve">Gravlax</t>
  </si>
  <si>
    <t xml:space="preserve">mustard sauce</t>
  </si>
  <si>
    <t xml:space="preserve">dill</t>
  </si>
  <si>
    <t xml:space="preserve">cured salmon</t>
  </si>
  <si>
    <t xml:space="preserve">Nordic</t>
  </si>
  <si>
    <t xml:space="preserve">salt and sugar cure</t>
  </si>
  <si>
    <t xml:space="preserve">Scandinavia's salt-sugar cured salmon</t>
  </si>
  <si>
    <t xml:space="preserve">mustard sauce; dill; cured salmon</t>
  </si>
  <si>
    <t xml:space="preserve">https://commons.wikimedia.org/w/index.php?search=Gravlax+food&amp;title=Special:MediaSearch&amp;type=image</t>
  </si>
  <si>
    <t xml:space="preserve">https://thumb.wikimedia.org/wikipedia/commons/thumb/4/4e/Laxr%C3%A4tter.jpg/1280px-Laxr%C3%A4tter.jpg</t>
  </si>
  <si>
    <t xml:space="preserve">Esquilo</t>
  </si>
  <si>
    <t xml:space="preserve">D0688</t>
  </si>
  <si>
    <t xml:space="preserve">Smørrebrød</t>
  </si>
  <si>
    <t xml:space="preserve">Denmark</t>
  </si>
  <si>
    <t xml:space="preserve">pickled herring</t>
  </si>
  <si>
    <t xml:space="preserve">open-faced</t>
  </si>
  <si>
    <t xml:space="preserve">rye bread</t>
  </si>
  <si>
    <t xml:space="preserve">open sandwiches</t>
  </si>
  <si>
    <t xml:space="preserve">Danish</t>
  </si>
  <si>
    <t xml:space="preserve">Denmark's open-faced sandwiches on rye</t>
  </si>
  <si>
    <t xml:space="preserve">egg; pickled herring; rye bread</t>
  </si>
  <si>
    <t xml:space="preserve">https://commons.wikimedia.org/w/index.php?search=Sm%C3%B8rrebr%C3%B8d+food&amp;title=Special:MediaSearch&amp;type=image</t>
  </si>
  <si>
    <t xml:space="preserve">https://thumb.wikimedia.org/wikipedia/commons/thumb/9/9b/Ida_Davidsen_udsnit_af_glasmontren.JPG/1280px-Ida_Davidsen_udsnit_af_glasmontren.JPG</t>
  </si>
  <si>
    <t xml:space="preserve">User:Nillerdk</t>
  </si>
  <si>
    <t xml:space="preserve">D0689</t>
  </si>
  <si>
    <t xml:space="preserve">Cinnamon Bun</t>
  </si>
  <si>
    <t xml:space="preserve">Kanelbulle</t>
  </si>
  <si>
    <t xml:space="preserve">pearl sugar</t>
  </si>
  <si>
    <t xml:space="preserve">swirled bun</t>
  </si>
  <si>
    <t xml:space="preserve">Swedish fika</t>
  </si>
  <si>
    <t xml:space="preserve">Sweden's spiced swirled bun for fika</t>
  </si>
  <si>
    <t xml:space="preserve">cardamom; pearl sugar; yeast dough; cinnamon</t>
  </si>
  <si>
    <t xml:space="preserve">swirled bun; cinnamon</t>
  </si>
  <si>
    <t xml:space="preserve">https://commons.wikimedia.org/w/index.php?search=Cinnamon+Bun+food&amp;title=Special:MediaSearch&amp;type=image</t>
  </si>
  <si>
    <t xml:space="preserve">https://thumb.wikimedia.org/wikipedia/commons/thumb/a/ad/Cinnamon_roll_in_Stockholm.jpg/1280px-Cinnamon_roll_in_Stockholm.jpg</t>
  </si>
  <si>
    <t xml:space="preserve">Kritzolina</t>
  </si>
  <si>
    <t xml:space="preserve">D0690</t>
  </si>
  <si>
    <t xml:space="preserve">Danish Pastry</t>
  </si>
  <si>
    <t xml:space="preserve">laminated dough</t>
  </si>
  <si>
    <t xml:space="preserve">flaky pastry</t>
  </si>
  <si>
    <t xml:space="preserve">Denmark's flaky pastry with custard or fruit</t>
  </si>
  <si>
    <t xml:space="preserve">butter; custard; fruit; laminated dough</t>
  </si>
  <si>
    <t xml:space="preserve">https://commons.wikimedia.org/w/index.php?search=Danish+Pastry+food&amp;title=Special:MediaSearch&amp;type=image</t>
  </si>
  <si>
    <t xml:space="preserve">D0695</t>
  </si>
  <si>
    <t xml:space="preserve">Goulash</t>
  </si>
  <si>
    <t xml:space="preserve">Gulyás</t>
  </si>
  <si>
    <t xml:space="preserve">Hungary</t>
  </si>
  <si>
    <t xml:space="preserve">paprika stew</t>
  </si>
  <si>
    <t xml:space="preserve">Hungarian</t>
  </si>
  <si>
    <t xml:space="preserve">Hungary's paprika beef stew</t>
  </si>
  <si>
    <t xml:space="preserve">caraway; capsicum; paprika; beef</t>
  </si>
  <si>
    <t xml:space="preserve">https://commons.wikimedia.org/w/index.php?search=Goulash+food&amp;title=Special:MediaSearch&amp;type=image</t>
  </si>
  <si>
    <t xml:space="preserve">D0696</t>
  </si>
  <si>
    <t xml:space="preserve">Chicken Paprikash</t>
  </si>
  <si>
    <t xml:space="preserve">sour cream</t>
  </si>
  <si>
    <t xml:space="preserve">nokedli</t>
  </si>
  <si>
    <t xml:space="preserve">paprika chicken</t>
  </si>
  <si>
    <t xml:space="preserve">Hungary's chicken in paprika sour cream sauce</t>
  </si>
  <si>
    <t xml:space="preserve">sour cream; paprika; nokedli; chicken</t>
  </si>
  <si>
    <t xml:space="preserve">paprika chicken; chicken</t>
  </si>
  <si>
    <t xml:space="preserve">https://commons.wikimedia.org/w/index.php?search=Chicken+Paprikash+food&amp;title=Special:MediaSearch&amp;type=image</t>
  </si>
  <si>
    <t xml:space="preserve">D0697</t>
  </si>
  <si>
    <t xml:space="preserve">Lángos</t>
  </si>
  <si>
    <t xml:space="preserve">grated cheese</t>
  </si>
  <si>
    <t xml:space="preserve">fried flatbread</t>
  </si>
  <si>
    <t xml:space="preserve">Hungarian street food</t>
  </si>
  <si>
    <t xml:space="preserve">Hungary's fried flatbread topped with sour cream and cheese</t>
  </si>
  <si>
    <t xml:space="preserve">yeast dough; sour cream; grated cheese</t>
  </si>
  <si>
    <t xml:space="preserve">https://commons.wikimedia.org/w/index.php?search=L%C3%A1ngos+food&amp;title=Special:MediaSearch&amp;type=image</t>
  </si>
  <si>
    <t xml:space="preserve">https://thumb.wikimedia.org/wikipedia/commons/thumb/f/f3/Langos_Eger_Hungary.jpg/1280px-Langos_Eger_Hungary.jpg</t>
  </si>
  <si>
    <t xml:space="preserve">sikeri</t>
  </si>
  <si>
    <t xml:space="preserve">D0700</t>
  </si>
  <si>
    <t xml:space="preserve">Pierogi</t>
  </si>
  <si>
    <t xml:space="preserve">Poland</t>
  </si>
  <si>
    <t xml:space="preserve">Polish</t>
  </si>
  <si>
    <t xml:space="preserve">Poland's filled dumplings</t>
  </si>
  <si>
    <t xml:space="preserve">butter; potato; sour cream; cheese; dumpling</t>
  </si>
  <si>
    <t xml:space="preserve">https://commons.wikimedia.org/w/index.php?search=Pierogi+food&amp;title=Special:MediaSearch&amp;type=image</t>
  </si>
  <si>
    <t xml:space="preserve">https://thumb.wikimedia.org/wikipedia/commons/thumb/0/0f/Pierogi_z_mas%C5%82em_-_2023.03.31.jpg/1280px-Pierogi_z_mas%C5%82em_-_2023.03.31.jpg</t>
  </si>
  <si>
    <t xml:space="preserve">Aw58</t>
  </si>
  <si>
    <t xml:space="preserve">D0701</t>
  </si>
  <si>
    <t xml:space="preserve">Bigos</t>
  </si>
  <si>
    <t xml:space="preserve">prunes</t>
  </si>
  <si>
    <t xml:space="preserve">hunter's stew</t>
  </si>
  <si>
    <t xml:space="preserve">Poland's sauerkraut and meat stew</t>
  </si>
  <si>
    <t xml:space="preserve">prunes; sausage; pork; sauerkraut</t>
  </si>
  <si>
    <t xml:space="preserve">https://commons.wikimedia.org/w/index.php?search=Bigos+food&amp;title=Special:MediaSearch&amp;type=image</t>
  </si>
  <si>
    <t xml:space="preserve">https://thumb.wikimedia.org/wikipedia/commons/thumb/f/f2/Bigos_%281%29.jpg/1280px-Bigos_%281%29.jpg</t>
  </si>
  <si>
    <t xml:space="preserve">D0704</t>
  </si>
  <si>
    <t xml:space="preserve">Borscht</t>
  </si>
  <si>
    <t xml:space="preserve">Ukraine</t>
  </si>
  <si>
    <t xml:space="preserve">Eastern Europe</t>
  </si>
  <si>
    <t xml:space="preserve">red soup</t>
  </si>
  <si>
    <t xml:space="preserve">Ukrainian</t>
  </si>
  <si>
    <t xml:space="preserve">Ukraine's beetroot soup</t>
  </si>
  <si>
    <t xml:space="preserve">cabbage; sour cream; dill; beetroot</t>
  </si>
  <si>
    <t xml:space="preserve">Ukraine (UNESCO 2022) and Russia, Poland, others</t>
  </si>
  <si>
    <t xml:space="preserve">https://commons.wikimedia.org/w/index.php?search=Borscht+food&amp;title=Special:MediaSearch&amp;type=image</t>
  </si>
  <si>
    <t xml:space="preserve">https://thumb.wikimedia.org/wikipedia/commons/thumb/a/a7/Borscht_served.jpg/1280px-Borscht_served.jpg</t>
  </si>
  <si>
    <t xml:space="preserve">liz west from Boxborough, MA</t>
  </si>
  <si>
    <t xml:space="preserve">D0705</t>
  </si>
  <si>
    <t xml:space="preserve">Chicken Kyiv</t>
  </si>
  <si>
    <t xml:space="preserve">garlic butter</t>
  </si>
  <si>
    <t xml:space="preserve">butter-filled cutlet</t>
  </si>
  <si>
    <t xml:space="preserve">chicken breast</t>
  </si>
  <si>
    <t xml:space="preserve">Ukraine's breaded chicken filled with garlic butter</t>
  </si>
  <si>
    <t xml:space="preserve">parsley; breadcrumbs; garlic butter; chicken breast</t>
  </si>
  <si>
    <t xml:space="preserve">Ukraine and Russia both claim it</t>
  </si>
  <si>
    <t xml:space="preserve">https://commons.wikimedia.org/w/index.php?search=Chicken+Kyiv+food&amp;title=Special:MediaSearch&amp;type=image</t>
  </si>
  <si>
    <t xml:space="preserve">D0708</t>
  </si>
  <si>
    <t xml:space="preserve">Beef Stroganoff</t>
  </si>
  <si>
    <t xml:space="preserve">Russia</t>
  </si>
  <si>
    <t xml:space="preserve">creamy beef</t>
  </si>
  <si>
    <t xml:space="preserve">Russian</t>
  </si>
  <si>
    <t xml:space="preserve">beef strips</t>
  </si>
  <si>
    <t xml:space="preserve">Russia's beef in mushroom sour cream sauce</t>
  </si>
  <si>
    <t xml:space="preserve">mustard; mushroom; sour cream; beef strips</t>
  </si>
  <si>
    <t xml:space="preserve">creamy beef; beef strips</t>
  </si>
  <si>
    <t xml:space="preserve">https://commons.wikimedia.org/w/index.php?search=Beef+Stroganoff+food&amp;title=Special:MediaSearch&amp;type=image</t>
  </si>
  <si>
    <t xml:space="preserve">https://thumb.wikimedia.org/wikipedia/commons/thumb/9/95/Moscow_%288351271825%29.jpg/1280px-Moscow_%288351271825%29.jpg</t>
  </si>
  <si>
    <t xml:space="preserve">jimmyweee</t>
  </si>
  <si>
    <t xml:space="preserve">D0709</t>
  </si>
  <si>
    <t xml:space="preserve">Pelmeni</t>
  </si>
  <si>
    <t xml:space="preserve">minced pork and beef</t>
  </si>
  <si>
    <t xml:space="preserve">Russia's small meat dumplings</t>
  </si>
  <si>
    <t xml:space="preserve">sour cream; minced pork and beef; dumpling</t>
  </si>
  <si>
    <t xml:space="preserve">https://commons.wikimedia.org/w/index.php?search=Pelmeni+food&amp;title=Special:MediaSearch&amp;type=image</t>
  </si>
  <si>
    <t xml:space="preserve">https://thumb.wikimedia.org/wikipedia/commons/thumb/d/df/Pelmeni_Russian.jpg/1280px-Pelmeni_Russian.jpg</t>
  </si>
  <si>
    <t xml:space="preserve">Eugene Kim @ Flickr</t>
  </si>
  <si>
    <t xml:space="preserve">D0710</t>
  </si>
  <si>
    <t xml:space="preserve">Blini</t>
  </si>
  <si>
    <t xml:space="preserve">caviar</t>
  </si>
  <si>
    <t xml:space="preserve">small pancakes</t>
  </si>
  <si>
    <t xml:space="preserve">Russia's small pancakes with sour cream and caviar</t>
  </si>
  <si>
    <t xml:space="preserve">butter; sour cream; caviar; thin pancakes</t>
  </si>
  <si>
    <t xml:space="preserve">https://commons.wikimedia.org/w/index.php?search=Blini+food&amp;title=Special:MediaSearch&amp;type=image</t>
  </si>
  <si>
    <t xml:space="preserve">https://thumb.wikimedia.org/wikipedia/commons/thumb/e/ea/50_%D0%B1%D0%BB%D1%96%D0%BD%D0%BA%D0%BE%D1%9E_%D0%BD%D0%B0_%D1%82%D0%B0%D0%BB%D0%B5%D1%80%D1%86%D1%8B_240_%D0%BC%D0%BC.jpg/1280px-50_%D0%B1%D0%BB%D1%96%D0%BD%D0%BA%D0%BE%D1%9E_%D0%BD%D0%B0_%D1%82%D0%B0%D0%BB%D0%B5%D1%80%D1%86%D1%8B_240_%D0%BC%D0%BC.jpg</t>
  </si>
  <si>
    <t xml:space="preserve">Maksim L.</t>
  </si>
  <si>
    <t xml:space="preserve">D0711</t>
  </si>
  <si>
    <t xml:space="preserve">Olivier Salad</t>
  </si>
  <si>
    <t xml:space="preserve">Russian New Year</t>
  </si>
  <si>
    <t xml:space="preserve">Russia's mayonnaise potato salad</t>
  </si>
  <si>
    <t xml:space="preserve">peas; pickles; boiled egg; mayonnaise</t>
  </si>
  <si>
    <t xml:space="preserve">https://commons.wikimedia.org/w/index.php?search=Olivier+Salad+food&amp;title=Special:MediaSearch&amp;type=image</t>
  </si>
  <si>
    <t xml:space="preserve">D0717</t>
  </si>
  <si>
    <t xml:space="preserve">Ćevapi</t>
  </si>
  <si>
    <t xml:space="preserve">Bosnia and Herzegovina</t>
  </si>
  <si>
    <t xml:space="preserve">Southeast Europe</t>
  </si>
  <si>
    <t xml:space="preserve">kajmak</t>
  </si>
  <si>
    <t xml:space="preserve">somun bread</t>
  </si>
  <si>
    <t xml:space="preserve">grilled minced meat fingers</t>
  </si>
  <si>
    <t xml:space="preserve">grilled sausages</t>
  </si>
  <si>
    <t xml:space="preserve">Balkan</t>
  </si>
  <si>
    <t xml:space="preserve">The Balkans' grilled minced meat fingers in flatbread</t>
  </si>
  <si>
    <t xml:space="preserve">kajmak; somun bread; grilled minced meat fingers</t>
  </si>
  <si>
    <t xml:space="preserve">Shared across the Balkans</t>
  </si>
  <si>
    <t xml:space="preserve">https://commons.wikimedia.org/w/index.php?search=%C4%86evapi+food&amp;title=Special:MediaSearch&amp;type=image</t>
  </si>
  <si>
    <t xml:space="preserve">D0718</t>
  </si>
  <si>
    <t xml:space="preserve">Burek</t>
  </si>
  <si>
    <t xml:space="preserve">filo pastry</t>
  </si>
  <si>
    <t xml:space="preserve">coiled</t>
  </si>
  <si>
    <t xml:space="preserve">coiled pastry</t>
  </si>
  <si>
    <t xml:space="preserve">The Balkans' coiled filo pie filled with meat</t>
  </si>
  <si>
    <t xml:space="preserve">butter; filo pastry; minced beef</t>
  </si>
  <si>
    <t xml:space="preserve">Shared across the Balkans and Turkey</t>
  </si>
  <si>
    <t xml:space="preserve">https://commons.wikimedia.org/w/index.php?search=Burek+food&amp;title=Special:MediaSearch&amp;type=image</t>
  </si>
  <si>
    <t xml:space="preserve">D0721</t>
  </si>
  <si>
    <t xml:space="preserve">Banitsa</t>
  </si>
  <si>
    <t xml:space="preserve">Bulgaria</t>
  </si>
  <si>
    <t xml:space="preserve">filo</t>
  </si>
  <si>
    <t xml:space="preserve">white cheese</t>
  </si>
  <si>
    <t xml:space="preserve">Bulgarian breakfast</t>
  </si>
  <si>
    <t xml:space="preserve">Bulgaria's cheese-and-egg filo pastry</t>
  </si>
  <si>
    <t xml:space="preserve">yogurt; egg; filo; white cheese</t>
  </si>
  <si>
    <t xml:space="preserve">https://commons.wikimedia.org/w/index.php?search=Banitsa+food&amp;title=Special:MediaSearch&amp;type=image</t>
  </si>
  <si>
    <t xml:space="preserve">https://thumb.wikimedia.org/wikipedia/commons/thumb/5/5d/%D0%92%D0%BA%D1%83%D1%81%D0%BD%D0%B0_%D0%B4%D0%BE%D0%BC%D0%B0%D1%88%D0%BD%D0%B0_%D0%B1%D0%B0%D0%BD%D0%B8%D1%86%D0%B0.JPG/1280px-%D0%92%D0%BA%D1%83%D1%81%D0%BD%D0%B0_%D0%B4%D0%BE%D0%BC%D0%B0%D1%88%D0%BD%D0%B0_%D0%B1%D0%B0%D0%BD%D0%B8%D1%86%D0%B0.JPG</t>
  </si>
  <si>
    <t xml:space="preserve">Sheku80</t>
  </si>
  <si>
    <t xml:space="preserve">D0723</t>
  </si>
  <si>
    <t xml:space="preserve">Khachapuri</t>
  </si>
  <si>
    <t xml:space="preserve">Georgia</t>
  </si>
  <si>
    <t xml:space="preserve">Western Asia</t>
  </si>
  <si>
    <t xml:space="preserve">sulguni</t>
  </si>
  <si>
    <t xml:space="preserve">boat-shaped</t>
  </si>
  <si>
    <t xml:space="preserve">cheese bread</t>
  </si>
  <si>
    <t xml:space="preserve">Georgian</t>
  </si>
  <si>
    <t xml:space="preserve">Georgia's boat-shaped cheese bread with egg</t>
  </si>
  <si>
    <t xml:space="preserve">yeast dough; sulguni; egg yolk</t>
  </si>
  <si>
    <t xml:space="preserve">https://commons.wikimedia.org/w/index.php?search=Khachapuri+food&amp;title=Special:MediaSearch&amp;type=image</t>
  </si>
  <si>
    <t xml:space="preserve">https://thumb.wikimedia.org/wikipedia/commons/thumb/0/08/Old_Tbilisi%2C_Georgian_khachapuri%2C_Georgia.jpg/1280px-Old_Tbilisi%2C_Georgian_khachapuri%2C_Georgia.jpg</t>
  </si>
  <si>
    <t xml:space="preserve">Vyacheslav Argenberg</t>
  </si>
  <si>
    <t xml:space="preserve">D0724</t>
  </si>
  <si>
    <t xml:space="preserve">Khinkali</t>
  </si>
  <si>
    <t xml:space="preserve">twisted top</t>
  </si>
  <si>
    <t xml:space="preserve">peppery broth inside</t>
  </si>
  <si>
    <t xml:space="preserve">eaten by hand</t>
  </si>
  <si>
    <t xml:space="preserve">Georgia's twisted soup-filled dumplings</t>
  </si>
  <si>
    <t xml:space="preserve">https://commons.wikimedia.org/w/index.php?search=Khinkali+food&amp;title=Special:MediaSearch&amp;type=image</t>
  </si>
  <si>
    <t xml:space="preserve">https://thumb.wikimedia.org/wikipedia/commons/thumb/d/df/Khinkali%2C_Restaurant_Aragvi.jpg/1280px-Khinkali%2C_Restaurant_Aragvi.jpg</t>
  </si>
  <si>
    <t xml:space="preserve">Sandra C from Canada</t>
  </si>
  <si>
    <t xml:space="preserve">D0725</t>
  </si>
  <si>
    <t xml:space="preserve">Moussaka</t>
  </si>
  <si>
    <t xml:space="preserve">Greece</t>
  </si>
  <si>
    <t xml:space="preserve">layered bake</t>
  </si>
  <si>
    <t xml:space="preserve">Greek</t>
  </si>
  <si>
    <t xml:space="preserve">Greece's layered aubergine and lamb bake</t>
  </si>
  <si>
    <t xml:space="preserve">potato; béchamel; minced lamb; aubergine</t>
  </si>
  <si>
    <t xml:space="preserve">Also Balkan and Levantine versions</t>
  </si>
  <si>
    <t xml:space="preserve">https://commons.wikimedia.org/w/index.php?search=Moussaka+food&amp;title=Special:MediaSearch&amp;type=image</t>
  </si>
  <si>
    <t xml:space="preserve">D0726</t>
  </si>
  <si>
    <t xml:space="preserve">Greek Salad</t>
  </si>
  <si>
    <t xml:space="preserve">Horiatiki</t>
  </si>
  <si>
    <t xml:space="preserve">oregano</t>
  </si>
  <si>
    <t xml:space="preserve">feta</t>
  </si>
  <si>
    <t xml:space="preserve">village salad</t>
  </si>
  <si>
    <t xml:space="preserve">Greece's salad of tomato, cucumber, olives and feta</t>
  </si>
  <si>
    <t xml:space="preserve">tomato; oregano; cucumber; olives; feta</t>
  </si>
  <si>
    <t xml:space="preserve">https://commons.wikimedia.org/w/index.php?search=Greek+Salad+food&amp;title=Special:MediaSearch&amp;type=image</t>
  </si>
  <si>
    <t xml:space="preserve">https://thumb.wikimedia.org/wikipedia/commons/thumb/f/f2/Greece_Food_Horiatiki.JPG/1280px-Greece_Food_Horiatiki.JPG</t>
  </si>
  <si>
    <t xml:space="preserve">User:Jpatokal</t>
  </si>
  <si>
    <t xml:space="preserve">D0727</t>
  </si>
  <si>
    <t xml:space="preserve">Souvlaki</t>
  </si>
  <si>
    <t xml:space="preserve">tzatziki</t>
  </si>
  <si>
    <t xml:space="preserve">pita</t>
  </si>
  <si>
    <t xml:space="preserve">skewered pork</t>
  </si>
  <si>
    <t xml:space="preserve">skewers in pita</t>
  </si>
  <si>
    <t xml:space="preserve">Greece's grilled pork skewers</t>
  </si>
  <si>
    <t xml:space="preserve">oregano; tzatziki; pita; skewered pork</t>
  </si>
  <si>
    <t xml:space="preserve">https://commons.wikimedia.org/w/index.php?search=Souvlaki+food&amp;title=Special:MediaSearch&amp;type=image</t>
  </si>
  <si>
    <t xml:space="preserve">https://thumb.wikimedia.org/wikipedia/commons/thumb/c/cd/%CE%95%CE%BB%CE%BB%CE%B7%CE%BD%CE%B9%CE%BA%CF%8C_%CE%A3%CE%BF%CF%85%CE%B2%CE%BB%CE%AC%CE%BA%CE%B9_-_panoramio.jpg/1280px-%CE%95%CE%BB%CE%BB%CE%B7%CE%BD%CE%B9%CE%BA%CF%8C_%CE%A3%CE%BF%CF%85%CE%B2%CE%BB%CE%AC%CE%BA%CE%B9_-_panoramio.jpg</t>
  </si>
  <si>
    <t xml:space="preserve">EntaXoyas</t>
  </si>
  <si>
    <t xml:space="preserve">D0728</t>
  </si>
  <si>
    <t xml:space="preserve">Gyros</t>
  </si>
  <si>
    <t xml:space="preserve">rotisserie meat</t>
  </si>
  <si>
    <t xml:space="preserve">Greece's rotisserie meat wrapped in pita</t>
  </si>
  <si>
    <t xml:space="preserve">tomato; fries; tzatziki; pita; rotisserie meat</t>
  </si>
  <si>
    <t xml:space="preserve">Related to Turkish döner</t>
  </si>
  <si>
    <t xml:space="preserve">https://commons.wikimedia.org/w/index.php?search=Gyros+food&amp;title=Special:MediaSearch&amp;type=image</t>
  </si>
  <si>
    <t xml:space="preserve">https://thumb.wikimedia.org/wikipedia/commons/thumb/c/c7/Pita_giros.JPG/1280px-Pita_giros.JPG</t>
  </si>
  <si>
    <t xml:space="preserve">Antonio Fajardo i López</t>
  </si>
  <si>
    <t xml:space="preserve">D0729</t>
  </si>
  <si>
    <t xml:space="preserve">Spanakopita</t>
  </si>
  <si>
    <t xml:space="preserve">spinach pie</t>
  </si>
  <si>
    <t xml:space="preserve">Greece's spinach and feta filo pie</t>
  </si>
  <si>
    <t xml:space="preserve">dill; filo; feta; spinach</t>
  </si>
  <si>
    <t xml:space="preserve">https://commons.wikimedia.org/w/index.php?search=Spanakopita+food&amp;title=Special:MediaSearch&amp;type=image</t>
  </si>
  <si>
    <t xml:space="preserve">D0730</t>
  </si>
  <si>
    <t xml:space="preserve">Tzatziki</t>
  </si>
  <si>
    <t xml:space="preserve">greek yogurt</t>
  </si>
  <si>
    <t xml:space="preserve">yogurt dip</t>
  </si>
  <si>
    <t xml:space="preserve">Greek dip</t>
  </si>
  <si>
    <t xml:space="preserve">Greece's yogurt, cucumber and garlic dip</t>
  </si>
  <si>
    <t xml:space="preserve">cucumber; greek yogurt; garlic; olive oil</t>
  </si>
  <si>
    <t xml:space="preserve">https://commons.wikimedia.org/w/index.php?search=Tzatziki+food&amp;title=Special:MediaSearch&amp;type=image</t>
  </si>
  <si>
    <t xml:space="preserve">D0731</t>
  </si>
  <si>
    <t xml:space="preserve">Dolmades</t>
  </si>
  <si>
    <t xml:space="preserve">vine leaves</t>
  </si>
  <si>
    <t xml:space="preserve">stuffed leaves</t>
  </si>
  <si>
    <t xml:space="preserve">Greece's stuffed vine leaves</t>
  </si>
  <si>
    <t xml:space="preserve">rice; dill; mint; vine leaves</t>
  </si>
  <si>
    <t xml:space="preserve">Shared across Greece, Turkey, the Levant and the Caucasus</t>
  </si>
  <si>
    <t xml:space="preserve">https://commons.wikimedia.org/w/index.php?search=Dolmades+food&amp;title=Special:MediaSearch&amp;type=image</t>
  </si>
  <si>
    <t xml:space="preserve">https://thumb.wikimedia.org/wikipedia/commons/thumb/c/c8/Speca_te_mbushura_me_mish.JPG/1280px-Speca_te_mbushura_me_mish.JPG</t>
  </si>
  <si>
    <t xml:space="preserve">Violetamyftari</t>
  </si>
  <si>
    <t xml:space="preserve">D0736</t>
  </si>
  <si>
    <t xml:space="preserve">Baklava</t>
  </si>
  <si>
    <t xml:space="preserve">Turkey</t>
  </si>
  <si>
    <t xml:space="preserve">syrup</t>
  </si>
  <si>
    <t xml:space="preserve">filo layers</t>
  </si>
  <si>
    <t xml:space="preserve">layered nut pastry</t>
  </si>
  <si>
    <t xml:space="preserve">Turkish</t>
  </si>
  <si>
    <t xml:space="preserve">Layers of filo, nuts and syrup</t>
  </si>
  <si>
    <t xml:space="preserve">butter; syrup; filo layers; pistachio</t>
  </si>
  <si>
    <t xml:space="preserve">Claimed by Turkey, Greece and much of the former Ottoman region</t>
  </si>
  <si>
    <t xml:space="preserve">https://commons.wikimedia.org/w/index.php?search=Baklava+food&amp;title=Special:MediaSearch&amp;type=image</t>
  </si>
  <si>
    <t xml:space="preserve">D0737</t>
  </si>
  <si>
    <t xml:space="preserve">Döner Kebab</t>
  </si>
  <si>
    <t xml:space="preserve">yogurt sauce</t>
  </si>
  <si>
    <t xml:space="preserve">Turkey's rotisserie meat in bread</t>
  </si>
  <si>
    <t xml:space="preserve">tomato; yogurt sauce; flatbread; rotisserie meat</t>
  </si>
  <si>
    <t xml:space="preserve">Turkish, but the modern sandwich form is from Berlin</t>
  </si>
  <si>
    <t xml:space="preserve">https://commons.wikimedia.org/w/index.php?search=D%C3%B6ner+Kebab+food&amp;title=Special:MediaSearch&amp;type=image</t>
  </si>
  <si>
    <t xml:space="preserve">D0738</t>
  </si>
  <si>
    <t xml:space="preserve">Iskender Kebab</t>
  </si>
  <si>
    <t xml:space="preserve">pide bread</t>
  </si>
  <si>
    <t xml:space="preserve">tomato sauce</t>
  </si>
  <si>
    <t xml:space="preserve">browned butter</t>
  </si>
  <si>
    <t xml:space="preserve">döner slices</t>
  </si>
  <si>
    <t xml:space="preserve">Bursa</t>
  </si>
  <si>
    <t xml:space="preserve">döner over bread</t>
  </si>
  <si>
    <t xml:space="preserve">Bursa's döner over bread with tomato sauce and butter</t>
  </si>
  <si>
    <t xml:space="preserve">pide bread; tomato sauce; browned butter; döner slices</t>
  </si>
  <si>
    <t xml:space="preserve">https://commons.wikimedia.org/w/index.php?search=Iskender+Kebab+food&amp;title=Special:MediaSearch&amp;type=image</t>
  </si>
  <si>
    <t xml:space="preserve">https://thumb.wikimedia.org/wikipedia/commons/thumb/3/3e/%C4%B0skender_Kebap.jpg/1280px-%C4%B0skender_Kebap.jpg</t>
  </si>
  <si>
    <t xml:space="preserve">Garrett Ziegler</t>
  </si>
  <si>
    <t xml:space="preserve">D0739</t>
  </si>
  <si>
    <t xml:space="preserve">Adana Kebab</t>
  </si>
  <si>
    <t xml:space="preserve">sumac onion</t>
  </si>
  <si>
    <t xml:space="preserve">lavash</t>
  </si>
  <si>
    <t xml:space="preserve">red pepper flakes</t>
  </si>
  <si>
    <t xml:space="preserve">wide skewer</t>
  </si>
  <si>
    <t xml:space="preserve">Turkey's spicy minced lamb skewer</t>
  </si>
  <si>
    <t xml:space="preserve">sumac onion; lavash; red pepper flakes; minced lamb</t>
  </si>
  <si>
    <t xml:space="preserve">https://commons.wikimedia.org/w/index.php?search=Adana+Kebab+food&amp;title=Special:MediaSearch&amp;type=image</t>
  </si>
  <si>
    <t xml:space="preserve">D0740</t>
  </si>
  <si>
    <t xml:space="preserve">Lahmacun</t>
  </si>
  <si>
    <t xml:space="preserve">thin flatbread</t>
  </si>
  <si>
    <t xml:space="preserve">thin meat flatbread</t>
  </si>
  <si>
    <t xml:space="preserve">Turkey's thin flatbread topped with spiced minced meat</t>
  </si>
  <si>
    <t xml:space="preserve">tomato; parsley; thin flatbread; minced lamb</t>
  </si>
  <si>
    <t xml:space="preserve">https://commons.wikimedia.org/w/index.php?search=Lahmacun+food&amp;title=Special:MediaSearch&amp;type=image</t>
  </si>
  <si>
    <t xml:space="preserve">https://thumb.wikimedia.org/wikipedia/commons/thumb/c/c7/Lahmacun.jpg/1280px-Lahmacun.jpg</t>
  </si>
  <si>
    <t xml:space="preserve">No machine-readable author provided. Rainer Zenz assumed (based on copyright claims).</t>
  </si>
  <si>
    <t xml:space="preserve">D0745</t>
  </si>
  <si>
    <t xml:space="preserve">Turkish Delight</t>
  </si>
  <si>
    <t xml:space="preserve">Lokum</t>
  </si>
  <si>
    <t xml:space="preserve">cornstarch</t>
  </si>
  <si>
    <t xml:space="preserve">chewy cubes dusted with sugar</t>
  </si>
  <si>
    <t xml:space="preserve">rose and lemon flavours</t>
  </si>
  <si>
    <t xml:space="preserve">boxed gift</t>
  </si>
  <si>
    <t xml:space="preserve">Chewy rose-scented cubes dusted with sugar, from Istanbul</t>
  </si>
  <si>
    <t xml:space="preserve">cornstarch; pistachio; rose water</t>
  </si>
  <si>
    <t xml:space="preserve">https://commons.wikimedia.org/w/index.php?search=Turkish+Delight+food&amp;title=Special:MediaSearch&amp;type=image</t>
  </si>
  <si>
    <t xml:space="preserve">D0750</t>
  </si>
  <si>
    <t xml:space="preserve">Hamburger</t>
  </si>
  <si>
    <t xml:space="preserve">United States</t>
  </si>
  <si>
    <t xml:space="preserve">North America</t>
  </si>
  <si>
    <t xml:space="preserve">beef patty</t>
  </si>
  <si>
    <t xml:space="preserve">burger</t>
  </si>
  <si>
    <t xml:space="preserve">American</t>
  </si>
  <si>
    <t xml:space="preserve">America's beef patty in a bun</t>
  </si>
  <si>
    <t xml:space="preserve">lettuce; cheese; bun; beef patty</t>
  </si>
  <si>
    <t xml:space="preserve">German roots</t>
  </si>
  <si>
    <t xml:space="preserve">https://commons.wikimedia.org/w/index.php?search=Hamburger+food&amp;title=Special:MediaSearch&amp;type=image</t>
  </si>
  <si>
    <t xml:space="preserve">https://thumb.wikimedia.org/wikipedia/commons/thumb/0/0b/RedDot_Burger.jpg/1280px-RedDot_Burger.jpg</t>
  </si>
  <si>
    <t xml:space="preserve">Hongreddotbrewhouse</t>
  </si>
  <si>
    <t xml:space="preserve">D0751</t>
  </si>
  <si>
    <t xml:space="preserve">Hot Dog</t>
  </si>
  <si>
    <t xml:space="preserve">frankfurter</t>
  </si>
  <si>
    <t xml:space="preserve">sausage in a bun</t>
  </si>
  <si>
    <t xml:space="preserve">America's frankfurter in a bun</t>
  </si>
  <si>
    <t xml:space="preserve">mustard; ketchup; bun; frankfurter</t>
  </si>
  <si>
    <t xml:space="preserve">https://commons.wikimedia.org/w/index.php?search=Hot+Dog+food&amp;title=Special:MediaSearch&amp;type=image</t>
  </si>
  <si>
    <t xml:space="preserve">https://thumb.wikimedia.org/wikipedia/commons/thumb/b/b1/Hot_dog_with_mustard.png/1280px-Hot_dog_with_mustard.png</t>
  </si>
  <si>
    <t xml:space="preserve">Public domain</t>
  </si>
  <si>
    <t xml:space="preserve">Czar, original photographed by Renee Comet</t>
  </si>
  <si>
    <t xml:space="preserve">D0752</t>
  </si>
  <si>
    <t xml:space="preserve">Buffalo Wings</t>
  </si>
  <si>
    <t xml:space="preserve">blue cheese dip</t>
  </si>
  <si>
    <t xml:space="preserve">hot sauce</t>
  </si>
  <si>
    <t xml:space="preserve">chicken wings</t>
  </si>
  <si>
    <t xml:space="preserve">Upstate New York's spicy fried chicken pieces</t>
  </si>
  <si>
    <t xml:space="preserve">butter; celery; blue cheese dip; hot sauce; chicken wings</t>
  </si>
  <si>
    <t xml:space="preserve">https://commons.wikimedia.org/w/index.php?search=Buffalo+Wings+food&amp;title=Special:MediaSearch&amp;type=image</t>
  </si>
  <si>
    <t xml:space="preserve">D0753</t>
  </si>
  <si>
    <t xml:space="preserve">Mac and Cheese</t>
  </si>
  <si>
    <t xml:space="preserve">cheddar</t>
  </si>
  <si>
    <t xml:space="preserve">macaroni</t>
  </si>
  <si>
    <t xml:space="preserve">cheesy pasta bake</t>
  </si>
  <si>
    <t xml:space="preserve">America's elbow pasta in cheddar sauce</t>
  </si>
  <si>
    <t xml:space="preserve">milk; breadcrumbs; cheddar; macaroni</t>
  </si>
  <si>
    <t xml:space="preserve">European roots</t>
  </si>
  <si>
    <t xml:space="preserve">https://commons.wikimedia.org/w/index.php?search=Mac+and+Cheese+food&amp;title=Special:MediaSearch&amp;type=image</t>
  </si>
  <si>
    <t xml:space="preserve">https://thumb.wikimedia.org/wikipedia/commons/thumb/4/44/Original_Mac_n_Cheese_.jpg/1280px-Original_Mac_n_Cheese_.jpg</t>
  </si>
  <si>
    <t xml:space="preserve">Texasfoodgawker</t>
  </si>
  <si>
    <t xml:space="preserve">D0754</t>
  </si>
  <si>
    <t xml:space="preserve">BBQ Ribs</t>
  </si>
  <si>
    <t xml:space="preserve">smoke</t>
  </si>
  <si>
    <t xml:space="preserve">barbecue sauce</t>
  </si>
  <si>
    <t xml:space="preserve">American barbecue</t>
  </si>
  <si>
    <t xml:space="preserve">America's smoked, sauced pork rack</t>
  </si>
  <si>
    <t xml:space="preserve">paprika; barbecue sauce; pork ribs</t>
  </si>
  <si>
    <t xml:space="preserve">https://commons.wikimedia.org/w/index.php?search=BBQ+Ribs+food&amp;title=Special:MediaSearch&amp;type=image</t>
  </si>
  <si>
    <t xml:space="preserve">D0755</t>
  </si>
  <si>
    <t xml:space="preserve">Pulled Pork</t>
  </si>
  <si>
    <t xml:space="preserve">coleslaw</t>
  </si>
  <si>
    <t xml:space="preserve">slow-smoked</t>
  </si>
  <si>
    <t xml:space="preserve">shredded smoked pork</t>
  </si>
  <si>
    <t xml:space="preserve">pork shoulder</t>
  </si>
  <si>
    <t xml:space="preserve">America's slow-smoked shredded pork</t>
  </si>
  <si>
    <t xml:space="preserve">coleslaw; barbecue sauce; pork shoulder</t>
  </si>
  <si>
    <t xml:space="preserve">shredded smoked pork; pork shoulder</t>
  </si>
  <si>
    <t xml:space="preserve">https://commons.wikimedia.org/w/index.php?search=Pulled+Pork+food&amp;title=Special:MediaSearch&amp;type=image</t>
  </si>
  <si>
    <t xml:space="preserve">D0756</t>
  </si>
  <si>
    <t xml:space="preserve">Clam Chowder</t>
  </si>
  <si>
    <t xml:space="preserve">bread bowl</t>
  </si>
  <si>
    <t xml:space="preserve">creamy shellfish soup</t>
  </si>
  <si>
    <t xml:space="preserve">New England</t>
  </si>
  <si>
    <t xml:space="preserve">New England's creamy shellfish soup</t>
  </si>
  <si>
    <t xml:space="preserve">cream; bacon; clams</t>
  </si>
  <si>
    <t xml:space="preserve">https://commons.wikimedia.org/w/index.php?search=Clam+Chowder+food&amp;title=Special:MediaSearch&amp;type=image</t>
  </si>
  <si>
    <t xml:space="preserve">D0757</t>
  </si>
  <si>
    <t xml:space="preserve">Philly Cheesesteak</t>
  </si>
  <si>
    <t xml:space="preserve">hoagie roll</t>
  </si>
  <si>
    <t xml:space="preserve">provolone</t>
  </si>
  <si>
    <t xml:space="preserve">thin-sliced steak</t>
  </si>
  <si>
    <t xml:space="preserve">steak sandwich</t>
  </si>
  <si>
    <t xml:space="preserve">Philadelphia</t>
  </si>
  <si>
    <t xml:space="preserve">Philadelphia's sliced steak and cheese sandwich</t>
  </si>
  <si>
    <t xml:space="preserve">capsicum; hoagie roll; provolone; thin-sliced steak</t>
  </si>
  <si>
    <t xml:space="preserve">https://commons.wikimedia.org/w/index.php?search=Philly+Cheesesteak+food&amp;title=Special:MediaSearch&amp;type=image</t>
  </si>
  <si>
    <t xml:space="preserve">D0758</t>
  </si>
  <si>
    <t xml:space="preserve">Apple Pie</t>
  </si>
  <si>
    <t xml:space="preserve">lattice crust</t>
  </si>
  <si>
    <t xml:space="preserve">fruit pie</t>
  </si>
  <si>
    <t xml:space="preserve">America's classic fruit pie with lattice top</t>
  </si>
  <si>
    <t xml:space="preserve">butter; cinnamon; apple</t>
  </si>
  <si>
    <t xml:space="preserve">fruit pie; apple</t>
  </si>
  <si>
    <t xml:space="preserve">English roots</t>
  </si>
  <si>
    <t xml:space="preserve">https://commons.wikimedia.org/w/index.php?search=Apple+Pie+food&amp;title=Special:MediaSearch&amp;type=image</t>
  </si>
  <si>
    <t xml:space="preserve">https://thumb.wikimedia.org/wikipedia/commons/thumb/2/2f/Apple_pie_14.jpg/1280px-Apple_pie_14.jpg</t>
  </si>
  <si>
    <t xml:space="preserve">Shisma</t>
  </si>
  <si>
    <t xml:space="preserve">D0759</t>
  </si>
  <si>
    <t xml:space="preserve">Pancakes</t>
  </si>
  <si>
    <t xml:space="preserve">maple syrup</t>
  </si>
  <si>
    <t xml:space="preserve">stack</t>
  </si>
  <si>
    <t xml:space="preserve">stack for breakfast</t>
  </si>
  <si>
    <t xml:space="preserve">America's fluffy breakfast stack</t>
  </si>
  <si>
    <t xml:space="preserve">butter; egg; maple syrup</t>
  </si>
  <si>
    <t xml:space="preserve">Global, the stack style is American</t>
  </si>
  <si>
    <t xml:space="preserve">https://commons.wikimedia.org/w/index.php?search=Pancakes+food&amp;title=Special:MediaSearch&amp;type=image</t>
  </si>
  <si>
    <t xml:space="preserve">https://thumb.wikimedia.org/wikipedia/commons/thumb/4/40/Foodiesfeed.com_pouring-honey-on-pancakes-with-walnuts.jpg/1280px-Foodiesfeed.com_pouring-honey-on-pancakes-with-walnuts.jpg</t>
  </si>
  <si>
    <t xml:space="preserve">Mae Mu</t>
  </si>
  <si>
    <t xml:space="preserve">D0760</t>
  </si>
  <si>
    <t xml:space="preserve">Fried Chicken</t>
  </si>
  <si>
    <t xml:space="preserve">buttermilk</t>
  </si>
  <si>
    <t xml:space="preserve">flour coating</t>
  </si>
  <si>
    <t xml:space="preserve">crispy fried chicken</t>
  </si>
  <si>
    <t xml:space="preserve">American South</t>
  </si>
  <si>
    <t xml:space="preserve">deep fried chicken</t>
  </si>
  <si>
    <t xml:space="preserve">America's crisp fried chicken</t>
  </si>
  <si>
    <t xml:space="preserve">paprika; buttermilk; flour coating; deep fried chicken</t>
  </si>
  <si>
    <t xml:space="preserve">crispy fried chicken; deep fried chicken</t>
  </si>
  <si>
    <t xml:space="preserve">Scottish and West African roots</t>
  </si>
  <si>
    <t xml:space="preserve">https://commons.wikimedia.org/w/index.php?search=Fried+Chicken+food&amp;title=Special:MediaSearch&amp;type=image</t>
  </si>
  <si>
    <t xml:space="preserve">https://thumb.wikimedia.org/wikipedia/commons/thumb/2/2c/Fried-Chicken-Set.jpg/1280px-Fried-Chicken-Set.jpg</t>
  </si>
  <si>
    <t xml:space="preserve">Evan-Amos</t>
  </si>
  <si>
    <t xml:space="preserve">D0761</t>
  </si>
  <si>
    <t xml:space="preserve">Cheesecake (New York)</t>
  </si>
  <si>
    <t xml:space="preserve">graham cracker crust</t>
  </si>
  <si>
    <t xml:space="preserve">dense</t>
  </si>
  <si>
    <t xml:space="preserve">Manhattan's dense, baked cream-cheese dessert</t>
  </si>
  <si>
    <t xml:space="preserve">egg; graham cracker crust; cream cheese</t>
  </si>
  <si>
    <t xml:space="preserve">https://commons.wikimedia.org/w/index.php?search=Cheesecake+%28New+York%29+food&amp;title=Special:MediaSearch&amp;type=image</t>
  </si>
  <si>
    <t xml:space="preserve">D0762</t>
  </si>
  <si>
    <t xml:space="preserve">Brownies</t>
  </si>
  <si>
    <t xml:space="preserve">chocolate</t>
  </si>
  <si>
    <t xml:space="preserve">fudgy squares</t>
  </si>
  <si>
    <t xml:space="preserve">America's fudgy chocolate squares</t>
  </si>
  <si>
    <t xml:space="preserve">butter; egg; cocoa; chocolate</t>
  </si>
  <si>
    <t xml:space="preserve">https://commons.wikimedia.org/w/index.php?search=Brownies+food&amp;title=Special:MediaSearch&amp;type=image</t>
  </si>
  <si>
    <t xml:space="preserve">D0763</t>
  </si>
  <si>
    <t xml:space="preserve">Chocolate Chip Cookies</t>
  </si>
  <si>
    <t xml:space="preserve">cookies</t>
  </si>
  <si>
    <t xml:space="preserve">America's classic sweet baked treat with chips</t>
  </si>
  <si>
    <t xml:space="preserve">butter; vanilla; chocolate chips</t>
  </si>
  <si>
    <t xml:space="preserve">cookies; chocolate chips</t>
  </si>
  <si>
    <t xml:space="preserve">https://commons.wikimedia.org/w/index.php?search=Chocolate+Chip+Cookies+food&amp;title=Special:MediaSearch&amp;type=image</t>
  </si>
  <si>
    <t xml:space="preserve">D0764</t>
  </si>
  <si>
    <t xml:space="preserve">Gumbo</t>
  </si>
  <si>
    <t xml:space="preserve">roux</t>
  </si>
  <si>
    <t xml:space="preserve">andouille</t>
  </si>
  <si>
    <t xml:space="preserve">stew over rice</t>
  </si>
  <si>
    <t xml:space="preserve">Louisiana</t>
  </si>
  <si>
    <t xml:space="preserve">Louisiana's thick seafood and sausage stew</t>
  </si>
  <si>
    <t xml:space="preserve">celery; roux; andouille; shrimp</t>
  </si>
  <si>
    <t xml:space="preserve">https://commons.wikimedia.org/w/index.php?search=Gumbo+food&amp;title=Special:MediaSearch&amp;type=image</t>
  </si>
  <si>
    <t xml:space="preserve">https://thumb.wikimedia.org/wikipedia/commons/thumb/5/5a/Gumbo.JPG/1280px-Gumbo.JPG</t>
  </si>
  <si>
    <t xml:space="preserve">Amadscientist</t>
  </si>
  <si>
    <t xml:space="preserve">D0765</t>
  </si>
  <si>
    <t xml:space="preserve">Jambalaya</t>
  </si>
  <si>
    <t xml:space="preserve">spicy rice</t>
  </si>
  <si>
    <t xml:space="preserve">Louisiana's spicy rice with sausage and shrimp</t>
  </si>
  <si>
    <t xml:space="preserve">celery; capsicum; andouille; shrimp</t>
  </si>
  <si>
    <t xml:space="preserve">https://commons.wikimedia.org/w/index.php?search=Jambalaya+food&amp;title=Special:MediaSearch&amp;type=image</t>
  </si>
  <si>
    <t xml:space="preserve">D0766</t>
  </si>
  <si>
    <t xml:space="preserve">Lobster Roll</t>
  </si>
  <si>
    <t xml:space="preserve">split-top bun</t>
  </si>
  <si>
    <t xml:space="preserve">seafood sandwich</t>
  </si>
  <si>
    <t xml:space="preserve">Maine</t>
  </si>
  <si>
    <t xml:space="preserve">lobster</t>
  </si>
  <si>
    <t xml:space="preserve">Maine's shellfish in a buttered bun</t>
  </si>
  <si>
    <t xml:space="preserve">celery; mayonnaise; split-top bun; lobster</t>
  </si>
  <si>
    <t xml:space="preserve">https://commons.wikimedia.org/w/index.php?search=Lobster+Roll+food&amp;title=Special:MediaSearch&amp;type=image</t>
  </si>
  <si>
    <t xml:space="preserve">D0768</t>
  </si>
  <si>
    <t xml:space="preserve">Caesar Salad</t>
  </si>
  <si>
    <t xml:space="preserve">Mexico</t>
  </si>
  <si>
    <t xml:space="preserve">romaine</t>
  </si>
  <si>
    <t xml:space="preserve">romaine salad</t>
  </si>
  <si>
    <t xml:space="preserve">Tijuana</t>
  </si>
  <si>
    <t xml:space="preserve">A romaine salad with creamy anchovy dressing and croutons</t>
  </si>
  <si>
    <t xml:space="preserve">anchovies; croutons; parmesan; romaine</t>
  </si>
  <si>
    <t xml:space="preserve">Created in Tijuana, Mexico by an Italian-American restaurateur; widely seen as American</t>
  </si>
  <si>
    <t xml:space="preserve">https://commons.wikimedia.org/w/index.php?search=Caesar+Salad+food&amp;title=Special:MediaSearch&amp;type=image</t>
  </si>
  <si>
    <t xml:space="preserve">https://thumb.wikimedia.org/wikipedia/commons/thumb/2/23/Caesar_salad_%282%29.jpg/1280px-Caesar_salad_%282%29.jpg</t>
  </si>
  <si>
    <t xml:space="preserve">Geoff Peters from Vancouver, BC, Canada</t>
  </si>
  <si>
    <t xml:space="preserve">D0771</t>
  </si>
  <si>
    <t xml:space="preserve">Key Lime Pie</t>
  </si>
  <si>
    <t xml:space="preserve">whipped cream</t>
  </si>
  <si>
    <t xml:space="preserve">tart citrus pie</t>
  </si>
  <si>
    <t xml:space="preserve">Florida</t>
  </si>
  <si>
    <t xml:space="preserve">key lime</t>
  </si>
  <si>
    <t xml:space="preserve">Florida's tart citrus pie</t>
  </si>
  <si>
    <t xml:space="preserve">graham cracker crust; condensed milk; whipped cream; key lime</t>
  </si>
  <si>
    <t xml:space="preserve">tart citrus pie; key lime</t>
  </si>
  <si>
    <t xml:space="preserve">https://commons.wikimedia.org/w/index.php?search=Key+Lime+Pie+food&amp;title=Special:MediaSearch&amp;type=image</t>
  </si>
  <si>
    <t xml:space="preserve">D0773</t>
  </si>
  <si>
    <t xml:space="preserve">Corn Dog</t>
  </si>
  <si>
    <t xml:space="preserve">stick</t>
  </si>
  <si>
    <t xml:space="preserve">battered sausage on a stick</t>
  </si>
  <si>
    <t xml:space="preserve">American fair</t>
  </si>
  <si>
    <t xml:space="preserve">A frankfurter on a stick in cornmeal batter</t>
  </si>
  <si>
    <t xml:space="preserve">mustard; frankfurter</t>
  </si>
  <si>
    <t xml:space="preserve">https://commons.wikimedia.org/w/index.php?search=Corn+Dog+food&amp;title=Special:MediaSearch&amp;type=image</t>
  </si>
  <si>
    <t xml:space="preserve">D0774</t>
  </si>
  <si>
    <t xml:space="preserve">Chicken and Waffles</t>
  </si>
  <si>
    <t xml:space="preserve">sweet-savoury combo</t>
  </si>
  <si>
    <t xml:space="preserve">American soul food</t>
  </si>
  <si>
    <t xml:space="preserve">waffles</t>
  </si>
  <si>
    <t xml:space="preserve">America's fried chicken on crisp grid cakes</t>
  </si>
  <si>
    <t xml:space="preserve">hot sauce; maple syrup; fried chicken; waffles</t>
  </si>
  <si>
    <t xml:space="preserve">fried chicken; waffles</t>
  </si>
  <si>
    <t xml:space="preserve">https://commons.wikimedia.org/w/index.php?search=Chicken+and+Waffles+food&amp;title=Special:MediaSearch&amp;type=image</t>
  </si>
  <si>
    <t xml:space="preserve">D0775</t>
  </si>
  <si>
    <t xml:space="preserve">Deep Dish Pizza</t>
  </si>
  <si>
    <t xml:space="preserve">tall crust</t>
  </si>
  <si>
    <t xml:space="preserve">Chicago</t>
  </si>
  <si>
    <t xml:space="preserve">Chicago's tall, thick pie with sauce on top</t>
  </si>
  <si>
    <t xml:space="preserve">sausage; tomato sauce; mozzarella</t>
  </si>
  <si>
    <t xml:space="preserve">https://commons.wikimedia.org/w/index.php?search=Deep+Dish+Pizza+food&amp;title=Special:MediaSearch&amp;type=image</t>
  </si>
  <si>
    <t xml:space="preserve">https://thumb.wikimedia.org/wikipedia/commons/thumb/4/4f/Chicago-Style_Stuffed_Pizza.jpg/1280px-Chicago-Style_Stuffed_Pizza.jpg</t>
  </si>
  <si>
    <t xml:space="preserve">Олександр Дячук</t>
  </si>
  <si>
    <t xml:space="preserve">D0776</t>
  </si>
  <si>
    <t xml:space="preserve">Poutine</t>
  </si>
  <si>
    <t xml:space="preserve">Canada</t>
  </si>
  <si>
    <t xml:space="preserve">squeaky cheese curds</t>
  </si>
  <si>
    <t xml:space="preserve">brown gravy</t>
  </si>
  <si>
    <t xml:space="preserve">fries with gravy</t>
  </si>
  <si>
    <t xml:space="preserve">Québec</t>
  </si>
  <si>
    <t xml:space="preserve">Québec's fries with cheese curds and gravy</t>
  </si>
  <si>
    <t xml:space="preserve">fries; squeaky cheese curds; brown gravy</t>
  </si>
  <si>
    <t xml:space="preserve">https://commons.wikimedia.org/w/index.php?search=Poutine+food&amp;title=Special:MediaSearch&amp;type=image</t>
  </si>
  <si>
    <t xml:space="preserve">D0781</t>
  </si>
  <si>
    <t xml:space="preserve">Tacos al Pastor</t>
  </si>
  <si>
    <t xml:space="preserve">achiote</t>
  </si>
  <si>
    <t xml:space="preserve">corn tortilla</t>
  </si>
  <si>
    <t xml:space="preserve">spit-roasted pork</t>
  </si>
  <si>
    <t xml:space="preserve">Mexico City</t>
  </si>
  <si>
    <t xml:space="preserve">Mexico City's spit-roasted pork in corn tortillas</t>
  </si>
  <si>
    <t xml:space="preserve">achiote; pineapple; corn tortilla; spit-roasted pork</t>
  </si>
  <si>
    <t xml:space="preserve">https://commons.wikimedia.org/w/index.php?search=Tacos+al+Pastor+food&amp;title=Special:MediaSearch&amp;type=image</t>
  </si>
  <si>
    <t xml:space="preserve">D0782</t>
  </si>
  <si>
    <t xml:space="preserve">Guacamole</t>
  </si>
  <si>
    <t xml:space="preserve">avocado</t>
  </si>
  <si>
    <t xml:space="preserve">green dip</t>
  </si>
  <si>
    <t xml:space="preserve">Mexican</t>
  </si>
  <si>
    <t xml:space="preserve">Mexico's avocado dip</t>
  </si>
  <si>
    <t xml:space="preserve">lime; tomato; avocado</t>
  </si>
  <si>
    <t xml:space="preserve">https://commons.wikimedia.org/w/index.php?search=Guacamole+food&amp;title=Special:MediaSearch&amp;type=image</t>
  </si>
  <si>
    <t xml:space="preserve">https://thumb.wikimedia.org/wikipedia/commons/thumb/6/64/Guacamole_IMGP1271.jpg/1280px-Guacamole_IMGP1271.jpg</t>
  </si>
  <si>
    <t xml:space="preserve">Nikodem Nijaki</t>
  </si>
  <si>
    <t xml:space="preserve">D0783</t>
  </si>
  <si>
    <t xml:space="preserve">Enchiladas</t>
  </si>
  <si>
    <t xml:space="preserve">crema</t>
  </si>
  <si>
    <t xml:space="preserve">rolled tortillas</t>
  </si>
  <si>
    <t xml:space="preserve">Mexico's rolled tortillas in chilli sauce</t>
  </si>
  <si>
    <t xml:space="preserve">cheese; crema; chilli sauce; rolled tortillas; chicken</t>
  </si>
  <si>
    <t xml:space="preserve">https://commons.wikimedia.org/w/index.php?search=Enchiladas+food&amp;title=Special:MediaSearch&amp;type=image</t>
  </si>
  <si>
    <t xml:space="preserve">D0784</t>
  </si>
  <si>
    <t xml:space="preserve">Mole Poblano</t>
  </si>
  <si>
    <t xml:space="preserve">turkey</t>
  </si>
  <si>
    <t xml:space="preserve">dark rich sauce</t>
  </si>
  <si>
    <t xml:space="preserve">Puebla</t>
  </si>
  <si>
    <t xml:space="preserve">Puebla's dark sauce of chillies and chocolate over turkey</t>
  </si>
  <si>
    <t xml:space="preserve">dried chilli; almond; chocolate; turkey</t>
  </si>
  <si>
    <t xml:space="preserve">https://commons.wikimedia.org/w/index.php?search=Mole+Poblano+food&amp;title=Special:MediaSearch&amp;type=image</t>
  </si>
  <si>
    <t xml:space="preserve">D0786</t>
  </si>
  <si>
    <t xml:space="preserve">Tamales</t>
  </si>
  <si>
    <t xml:space="preserve">red chilli sauce</t>
  </si>
  <si>
    <t xml:space="preserve">lard</t>
  </si>
  <si>
    <t xml:space="preserve">masa</t>
  </si>
  <si>
    <t xml:space="preserve">corn husk</t>
  </si>
  <si>
    <t xml:space="preserve">steamed parcels</t>
  </si>
  <si>
    <t xml:space="preserve">Mexico's steamed corn-dough parcels in husks</t>
  </si>
  <si>
    <t xml:space="preserve">red chilli sauce; lard; masa</t>
  </si>
  <si>
    <t xml:space="preserve">https://commons.wikimedia.org/w/index.php?search=Tamales+food&amp;title=Special:MediaSearch&amp;type=image</t>
  </si>
  <si>
    <t xml:space="preserve">D0787</t>
  </si>
  <si>
    <t xml:space="preserve">Quesadilla</t>
  </si>
  <si>
    <t xml:space="preserve">salsa</t>
  </si>
  <si>
    <t xml:space="preserve">flour tortilla</t>
  </si>
  <si>
    <t xml:space="preserve">folded</t>
  </si>
  <si>
    <t xml:space="preserve">folded cheesy tortilla</t>
  </si>
  <si>
    <t xml:space="preserve">Mexico's folded tortilla with melted cheese</t>
  </si>
  <si>
    <t xml:space="preserve">salsa; flour tortilla</t>
  </si>
  <si>
    <t xml:space="preserve">https://commons.wikimedia.org/w/index.php?search=Quesadilla+food&amp;title=Special:MediaSearch&amp;type=image</t>
  </si>
  <si>
    <t xml:space="preserve">D0788</t>
  </si>
  <si>
    <t xml:space="preserve">Burrito</t>
  </si>
  <si>
    <t xml:space="preserve">large flour tortilla</t>
  </si>
  <si>
    <t xml:space="preserve">big wrapped tortilla</t>
  </si>
  <si>
    <t xml:space="preserve">Tex-Mex</t>
  </si>
  <si>
    <t xml:space="preserve">A big flour tortilla wrapped around rice, beans and meat</t>
  </si>
  <si>
    <t xml:space="preserve">salsa; sour cream; beef; large flour tortilla</t>
  </si>
  <si>
    <t xml:space="preserve">https://commons.wikimedia.org/w/index.php?search=Burrito+food&amp;title=Special:MediaSearch&amp;type=image</t>
  </si>
  <si>
    <t xml:space="preserve">D0789</t>
  </si>
  <si>
    <t xml:space="preserve">Pozole</t>
  </si>
  <si>
    <t xml:space="preserve">hominy</t>
  </si>
  <si>
    <t xml:space="preserve">hominy stew</t>
  </si>
  <si>
    <t xml:space="preserve">Mexico's hominy and pork stew</t>
  </si>
  <si>
    <t xml:space="preserve">oregano; radish; pork; hominy</t>
  </si>
  <si>
    <t xml:space="preserve">https://commons.wikimedia.org/w/index.php?search=Pozole+food&amp;title=Special:MediaSearch&amp;type=image</t>
  </si>
  <si>
    <t xml:space="preserve">https://thumb.wikimedia.org/wikipedia/commons/thumb/9/90/Green_pozole%2C_dressed_%2829161841908%29_%28cropped%29.jpg/1280px-Green_pozole%2C_dressed_%2829161841908%29_%28cropped%29.jpg</t>
  </si>
  <si>
    <t xml:space="preserve">T.Tseng</t>
  </si>
  <si>
    <t xml:space="preserve">D0790</t>
  </si>
  <si>
    <t xml:space="preserve">Chilaquiles</t>
  </si>
  <si>
    <t xml:space="preserve">fried tortilla chips</t>
  </si>
  <si>
    <t xml:space="preserve">tortilla chips in salsa</t>
  </si>
  <si>
    <t xml:space="preserve">Mexican breakfast</t>
  </si>
  <si>
    <t xml:space="preserve">Mexico's fried tortilla chips simmered in salsa</t>
  </si>
  <si>
    <t xml:space="preserve">crema; fried egg; salsa; fried tortilla chips</t>
  </si>
  <si>
    <t xml:space="preserve">https://commons.wikimedia.org/w/index.php?search=Chilaquiles+food&amp;title=Special:MediaSearch&amp;type=image</t>
  </si>
  <si>
    <t xml:space="preserve">https://thumb.wikimedia.org/wikipedia/commons/thumb/f/f7/Chilaquiles_at_the_Grand_Cantina%2C_Windsor%2C_Ontario%2C_2025-09-01_04.jpg/1280px-Chilaquiles_at_the_Grand_Cantina%2C_Windsor%2C_Ontario%2C_2025-09-01_04.jpg</t>
  </si>
  <si>
    <t xml:space="preserve">Chris Woodrich</t>
  </si>
  <si>
    <t xml:space="preserve">D0791</t>
  </si>
  <si>
    <t xml:space="preserve">Cochinita Pibil</t>
  </si>
  <si>
    <t xml:space="preserve">pickled red onion</t>
  </si>
  <si>
    <t xml:space="preserve">sour orange</t>
  </si>
  <si>
    <t xml:space="preserve">slow-roasted pork</t>
  </si>
  <si>
    <t xml:space="preserve">Yucatán</t>
  </si>
  <si>
    <t xml:space="preserve">Yucatán's achiote-marinated slow-roasted pork</t>
  </si>
  <si>
    <t xml:space="preserve">pickled red onion; sour orange; achiote; slow-roasted pork</t>
  </si>
  <si>
    <t xml:space="preserve">https://commons.wikimedia.org/w/index.php?search=Cochinita+Pibil+food&amp;title=Special:MediaSearch&amp;type=image</t>
  </si>
  <si>
    <t xml:space="preserve">D0792</t>
  </si>
  <si>
    <t xml:space="preserve">Elote</t>
  </si>
  <si>
    <t xml:space="preserve">cotija</t>
  </si>
  <si>
    <t xml:space="preserve">grilled corn</t>
  </si>
  <si>
    <t xml:space="preserve">corn on the cob</t>
  </si>
  <si>
    <t xml:space="preserve">Mexican street food</t>
  </si>
  <si>
    <t xml:space="preserve">Mexico's grilled corn with mayo, cheese and chilli</t>
  </si>
  <si>
    <t xml:space="preserve">lime; mayonnaise; cotija; grilled corn</t>
  </si>
  <si>
    <t xml:space="preserve">https://commons.wikimedia.org/w/index.php?search=Elote+food&amp;title=Special:MediaSearch&amp;type=image</t>
  </si>
  <si>
    <t xml:space="preserve">D0793</t>
  </si>
  <si>
    <t xml:space="preserve">Birria</t>
  </si>
  <si>
    <t xml:space="preserve">guajillo chilli</t>
  </si>
  <si>
    <t xml:space="preserve">consommé</t>
  </si>
  <si>
    <t xml:space="preserve">goat</t>
  </si>
  <si>
    <t xml:space="preserve">stew for tacos with dipping broth</t>
  </si>
  <si>
    <t xml:space="preserve">Jalisco</t>
  </si>
  <si>
    <t xml:space="preserve">Jalisco's spiced goat stew, often in tacos with broth</t>
  </si>
  <si>
    <t xml:space="preserve">cinnamon; guajillo chilli; consommé; goat</t>
  </si>
  <si>
    <t xml:space="preserve">https://commons.wikimedia.org/w/index.php?search=Birria+food&amp;title=Special:MediaSearch&amp;type=image</t>
  </si>
  <si>
    <t xml:space="preserve">https://thumb.wikimedia.org/wikipedia/commons/thumb/3/30/Plato_de_birria.jpg/1280px-Plato_de_birria.jpg</t>
  </si>
  <si>
    <t xml:space="preserve">Equipo 9mkt</t>
  </si>
  <si>
    <t xml:space="preserve">D0794</t>
  </si>
  <si>
    <t xml:space="preserve">Carnitas</t>
  </si>
  <si>
    <t xml:space="preserve">orange</t>
  </si>
  <si>
    <t xml:space="preserve">crispy shredded pork</t>
  </si>
  <si>
    <t xml:space="preserve">Michoacán</t>
  </si>
  <si>
    <t xml:space="preserve">Mexico's pork slow-cooked in lard until crisp</t>
  </si>
  <si>
    <t xml:space="preserve">orange; lard; pork</t>
  </si>
  <si>
    <t xml:space="preserve">https://commons.wikimedia.org/w/index.php?search=Carnitas+food&amp;title=Special:MediaSearch&amp;type=image</t>
  </si>
  <si>
    <t xml:space="preserve">https://thumb.wikimedia.org/wikipedia/commons/thumb/9/9e/Carnitas.jpg/1280px-Carnitas.jpg</t>
  </si>
  <si>
    <t xml:space="preserve">Mike McCune</t>
  </si>
  <si>
    <t xml:space="preserve">D0795</t>
  </si>
  <si>
    <t xml:space="preserve">Huevos Rancheros</t>
  </si>
  <si>
    <t xml:space="preserve">refried beans</t>
  </si>
  <si>
    <t xml:space="preserve">tomato salsa</t>
  </si>
  <si>
    <t xml:space="preserve">ranch-style eggs</t>
  </si>
  <si>
    <t xml:space="preserve">Mexico's fried eggs on tortillas with salsa</t>
  </si>
  <si>
    <t xml:space="preserve">refried beans; tomato salsa; corn tortilla; fried egg</t>
  </si>
  <si>
    <t xml:space="preserve">https://commons.wikimedia.org/w/index.php?search=Huevos+Rancheros+food&amp;title=Special:MediaSearch&amp;type=image</t>
  </si>
  <si>
    <t xml:space="preserve">D0796</t>
  </si>
  <si>
    <t xml:space="preserve">Tres Leches Cake</t>
  </si>
  <si>
    <t xml:space="preserve">evaporated milk</t>
  </si>
  <si>
    <t xml:space="preserve">three milks</t>
  </si>
  <si>
    <t xml:space="preserve">milk-soaked cake</t>
  </si>
  <si>
    <t xml:space="preserve">Latin American</t>
  </si>
  <si>
    <t xml:space="preserve">A sponge cake soaked in three kinds of milk</t>
  </si>
  <si>
    <t xml:space="preserve">whipped cream; sponge; evaporated milk</t>
  </si>
  <si>
    <t xml:space="preserve">Shared across Latin America</t>
  </si>
  <si>
    <t xml:space="preserve">https://commons.wikimedia.org/w/index.php?search=Tres+Leches+Cake+food&amp;title=Special:MediaSearch&amp;type=image</t>
  </si>
  <si>
    <t xml:space="preserve">https://thumb.wikimedia.org/wikipedia/commons/thumb/c/ca/Pastel_de_Tres_Leches.jpg/1280px-Pastel_de_Tres_Leches.jpg</t>
  </si>
  <si>
    <t xml:space="preserve">@joefoodie</t>
  </si>
  <si>
    <t xml:space="preserve">D0799</t>
  </si>
  <si>
    <t xml:space="preserve">Jerk Chicken</t>
  </si>
  <si>
    <t xml:space="preserve">Jamaica</t>
  </si>
  <si>
    <t xml:space="preserve">Caribbean</t>
  </si>
  <si>
    <t xml:space="preserve">scotch bonnet</t>
  </si>
  <si>
    <t xml:space="preserve">smoked</t>
  </si>
  <si>
    <t xml:space="preserve">spicy smoky chicken</t>
  </si>
  <si>
    <t xml:space="preserve">Jamaican</t>
  </si>
  <si>
    <t xml:space="preserve">Jamaica's spicy, smoky grilled chicken</t>
  </si>
  <si>
    <t xml:space="preserve">scotch bonnet; allspice; chicken</t>
  </si>
  <si>
    <t xml:space="preserve">spicy smoky chicken; chicken</t>
  </si>
  <si>
    <t xml:space="preserve">https://commons.wikimedia.org/w/index.php?search=Jerk+Chicken+food&amp;title=Special:MediaSearch&amp;type=image</t>
  </si>
  <si>
    <t xml:space="preserve">D0800</t>
  </si>
  <si>
    <t xml:space="preserve">Ackee and Saltfish</t>
  </si>
  <si>
    <t xml:space="preserve">national dish</t>
  </si>
  <si>
    <t xml:space="preserve">Jamaican breakfast</t>
  </si>
  <si>
    <t xml:space="preserve">ackee</t>
  </si>
  <si>
    <t xml:space="preserve">Jamaica's national dish of a buttery fruit and salt cod</t>
  </si>
  <si>
    <t xml:space="preserve">tomato; scotch bonnet; salt cod; ackee</t>
  </si>
  <si>
    <t xml:space="preserve">https://commons.wikimedia.org/w/index.php?search=Ackee+and+Saltfish+food&amp;title=Special:MediaSearch&amp;type=image</t>
  </si>
  <si>
    <t xml:space="preserve">D0802</t>
  </si>
  <si>
    <t xml:space="preserve">Ropa Vieja</t>
  </si>
  <si>
    <t xml:space="preserve">Cuba</t>
  </si>
  <si>
    <t xml:space="preserve">shredded beef</t>
  </si>
  <si>
    <t xml:space="preserve">'old clothes'</t>
  </si>
  <si>
    <t xml:space="preserve">Cuban</t>
  </si>
  <si>
    <t xml:space="preserve">Cuba's shredded beef stew</t>
  </si>
  <si>
    <t xml:space="preserve">tomato; olives; capsicum; shredded beef</t>
  </si>
  <si>
    <t xml:space="preserve">https://commons.wikimedia.org/w/index.php?search=Ropa+Vieja+food&amp;title=Special:MediaSearch&amp;type=image</t>
  </si>
  <si>
    <t xml:space="preserve">https://thumb.wikimedia.org/wikipedia/commons/thumb/4/4d/RealRopaVieja.jpg/1280px-RealRopaVieja.jpg</t>
  </si>
  <si>
    <t xml:space="preserve">TGrey89</t>
  </si>
  <si>
    <t xml:space="preserve">D0803</t>
  </si>
  <si>
    <t xml:space="preserve">Cuban Sandwich</t>
  </si>
  <si>
    <t xml:space="preserve">swiss cheese</t>
  </si>
  <si>
    <t xml:space="preserve">roast pork</t>
  </si>
  <si>
    <t xml:space="preserve">pressed bread</t>
  </si>
  <si>
    <t xml:space="preserve">pressed sandwich</t>
  </si>
  <si>
    <t xml:space="preserve">Miami</t>
  </si>
  <si>
    <t xml:space="preserve">Cuba's pressed sandwich of pork, ham and cheese</t>
  </si>
  <si>
    <t xml:space="preserve">swiss cheese; ham; roast pork; pressed bread</t>
  </si>
  <si>
    <t xml:space="preserve">https://commons.wikimedia.org/w/index.php?search=Cuban+Sandwich+food&amp;title=Special:MediaSearch&amp;type=image</t>
  </si>
  <si>
    <t xml:space="preserve">D0806</t>
  </si>
  <si>
    <t xml:space="preserve">Ceviche</t>
  </si>
  <si>
    <t xml:space="preserve">Peru</t>
  </si>
  <si>
    <t xml:space="preserve">South America</t>
  </si>
  <si>
    <t xml:space="preserve">red onion</t>
  </si>
  <si>
    <t xml:space="preserve">citrus-cured fish</t>
  </si>
  <si>
    <t xml:space="preserve">Peruvian</t>
  </si>
  <si>
    <t xml:space="preserve">Peru's raw fish cured in lime</t>
  </si>
  <si>
    <t xml:space="preserve">lime; red onion; sweet potato; raw fish</t>
  </si>
  <si>
    <t xml:space="preserve">Peru (UNESCO 2023), also Ecuador, Mexico</t>
  </si>
  <si>
    <t xml:space="preserve">https://commons.wikimedia.org/w/index.php?search=Ceviche+food&amp;title=Special:MediaSearch&amp;type=image</t>
  </si>
  <si>
    <t xml:space="preserve">https://thumb.wikimedia.org/wikipedia/commons/thumb/7/78/Cebiche_de_corvina.JPG/1280px-Cebiche_de_corvina.JPG</t>
  </si>
  <si>
    <t xml:space="preserve">Picanteria karol</t>
  </si>
  <si>
    <t xml:space="preserve">D0807</t>
  </si>
  <si>
    <t xml:space="preserve">Lomo Saltado</t>
  </si>
  <si>
    <t xml:space="preserve">stir-fry with fries</t>
  </si>
  <si>
    <t xml:space="preserve">Chinese-Peruvian</t>
  </si>
  <si>
    <t xml:space="preserve">Peru's beef stir-fry with fries and rice</t>
  </si>
  <si>
    <t xml:space="preserve">tomato; rice; fries; beef strips</t>
  </si>
  <si>
    <t xml:space="preserve">https://commons.wikimedia.org/w/index.php?search=Lomo+Saltado+food&amp;title=Special:MediaSearch&amp;type=image</t>
  </si>
  <si>
    <t xml:space="preserve">https://thumb.wikimedia.org/wikipedia/commons/thumb/8/80/Lomo_Saltado_-_Lima%2C_Peru_Miraflores_%28Tiendecita_Blanca%29.jpg/1280px-Lomo_Saltado_-_Lima%2C_Peru_Miraflores_%28Tiendecita_Blanca%29.jpg</t>
  </si>
  <si>
    <t xml:space="preserve">Chasqui (Luis Tamayo)</t>
  </si>
  <si>
    <t xml:space="preserve">D0811</t>
  </si>
  <si>
    <t xml:space="preserve">Pollo a la Brasa</t>
  </si>
  <si>
    <t xml:space="preserve">rotisserie chicken</t>
  </si>
  <si>
    <t xml:space="preserve">charcoal-roasted</t>
  </si>
  <si>
    <t xml:space="preserve">green chilli sauce</t>
  </si>
  <si>
    <t xml:space="preserve">Peru's spiced rotisserie chicken</t>
  </si>
  <si>
    <t xml:space="preserve">soy sauce; fries; rotisserie chicken</t>
  </si>
  <si>
    <t xml:space="preserve">https://commons.wikimedia.org/w/index.php?search=Pollo+a+la+Brasa+food&amp;title=Special:MediaSearch&amp;type=image</t>
  </si>
  <si>
    <t xml:space="preserve">https://thumb.wikimedia.org/wikipedia/commons/thumb/1/1e/Un_cuarto_de_Pollo_a_la_Brasa.JPG/1280px-Un_cuarto_de_Pollo_a_la_Brasa.JPG</t>
  </si>
  <si>
    <t xml:space="preserve">Dtarazona</t>
  </si>
  <si>
    <t xml:space="preserve">D0812</t>
  </si>
  <si>
    <t xml:space="preserve">Feijoada</t>
  </si>
  <si>
    <t xml:space="preserve">Brazil</t>
  </si>
  <si>
    <t xml:space="preserve">farofa</t>
  </si>
  <si>
    <t xml:space="preserve">black beans</t>
  </si>
  <si>
    <t xml:space="preserve">black bean stew</t>
  </si>
  <si>
    <t xml:space="preserve">Brazilian</t>
  </si>
  <si>
    <t xml:space="preserve">Brazil's black bean and pork stew</t>
  </si>
  <si>
    <t xml:space="preserve">farofa; pork; sausage; black beans</t>
  </si>
  <si>
    <t xml:space="preserve">https://commons.wikimedia.org/w/index.php?search=Feijoada+food&amp;title=Special:MediaSearch&amp;type=image</t>
  </si>
  <si>
    <t xml:space="preserve">D0813</t>
  </si>
  <si>
    <t xml:space="preserve">Pão de Queijo</t>
  </si>
  <si>
    <t xml:space="preserve">cassava flour</t>
  </si>
  <si>
    <t xml:space="preserve">cheese balls</t>
  </si>
  <si>
    <t xml:space="preserve">chewy cheese bread</t>
  </si>
  <si>
    <t xml:space="preserve">Brazil's chewy cheese bread balls</t>
  </si>
  <si>
    <t xml:space="preserve">egg; parmesan; cassava flour; cheese balls</t>
  </si>
  <si>
    <t xml:space="preserve">https://commons.wikimedia.org/w/index.php?search=P%C3%A3o+de+Queijo+food&amp;title=Special:MediaSearch&amp;type=image</t>
  </si>
  <si>
    <t xml:space="preserve">https://thumb.wikimedia.org/wikipedia/commons/thumb/2/20/Cheesebread.jpg/1280px-Cheesebread.jpg</t>
  </si>
  <si>
    <t xml:space="preserve">Murilo manzini</t>
  </si>
  <si>
    <t xml:space="preserve">D0814</t>
  </si>
  <si>
    <t xml:space="preserve">Moqueca</t>
  </si>
  <si>
    <t xml:space="preserve">dendê oil</t>
  </si>
  <si>
    <t xml:space="preserve">Bahia</t>
  </si>
  <si>
    <t xml:space="preserve">Brazil's coconut fish stew</t>
  </si>
  <si>
    <t xml:space="preserve">capsicum; coconut milk; dendê oil; fish</t>
  </si>
  <si>
    <t xml:space="preserve">https://commons.wikimedia.org/w/index.php?search=Moqueca+food&amp;title=Special:MediaSearch&amp;type=image</t>
  </si>
  <si>
    <t xml:space="preserve">https://thumb.wikimedia.org/wikipedia/commons/thumb/6/6b/Moqueca.jpg/1280px-Moqueca.jpg</t>
  </si>
  <si>
    <t xml:space="preserve">BR</t>
  </si>
  <si>
    <t xml:space="preserve">D0815</t>
  </si>
  <si>
    <t xml:space="preserve">Picanha</t>
  </si>
  <si>
    <t xml:space="preserve">churrasco</t>
  </si>
  <si>
    <t xml:space="preserve">rump cap beef</t>
  </si>
  <si>
    <t xml:space="preserve">grilled beef cap</t>
  </si>
  <si>
    <t xml:space="preserve">Brazilian steakhouse</t>
  </si>
  <si>
    <t xml:space="preserve">Brazil's prized grilled rump cap</t>
  </si>
  <si>
    <t xml:space="preserve">farofa; churrasco; rump cap beef</t>
  </si>
  <si>
    <t xml:space="preserve">https://commons.wikimedia.org/w/index.php?search=Picanha+food&amp;title=Special:MediaSearch&amp;type=image</t>
  </si>
  <si>
    <t xml:space="preserve">D0816</t>
  </si>
  <si>
    <t xml:space="preserve">Brigadeiro</t>
  </si>
  <si>
    <t xml:space="preserve">chocolate sprinkles</t>
  </si>
  <si>
    <t xml:space="preserve">chocolate truffle balls</t>
  </si>
  <si>
    <t xml:space="preserve">Brazilian party sweet</t>
  </si>
  <si>
    <t xml:space="preserve">Brazil's chocolate fudge balls</t>
  </si>
  <si>
    <t xml:space="preserve">butter; chocolate sprinkles; cocoa; condensed milk</t>
  </si>
  <si>
    <t xml:space="preserve">https://commons.wikimedia.org/w/index.php?search=Brigadeiro+food&amp;title=Special:MediaSearch&amp;type=image</t>
  </si>
  <si>
    <t xml:space="preserve">D0817</t>
  </si>
  <si>
    <t xml:space="preserve">Coxinha</t>
  </si>
  <si>
    <t xml:space="preserve">dough</t>
  </si>
  <si>
    <t xml:space="preserve">shredded chicken</t>
  </si>
  <si>
    <t xml:space="preserve">chicken croquette</t>
  </si>
  <si>
    <t xml:space="preserve">Brazil's teardrop-shaped chicken croquette</t>
  </si>
  <si>
    <t xml:space="preserve">dough; breadcrumbs; shredded chicken</t>
  </si>
  <si>
    <t xml:space="preserve">https://commons.wikimedia.org/w/index.php?search=Coxinha+food&amp;title=Special:MediaSearch&amp;type=image</t>
  </si>
  <si>
    <t xml:space="preserve">https://thumb.wikimedia.org/wikipedia/commons/thumb/d/d6/%282014-11-22%29_La_Donosti_-_Agudos_-_Coxinha_de_Leitoa_Romerito_Pontes_%2815870107515%29.jpg/1280px-%282014-11-22%29_La_Donosti_-_Agudos_-_Coxinha_de_Leitoa_Romerito_Pontes_%2815870107515%29.jpg</t>
  </si>
  <si>
    <t xml:space="preserve">Romerito Pontes from São Carlos</t>
  </si>
  <si>
    <t xml:space="preserve">D0818</t>
  </si>
  <si>
    <t xml:space="preserve">Açaí Bowl</t>
  </si>
  <si>
    <t xml:space="preserve">granola</t>
  </si>
  <si>
    <t xml:space="preserve">frozen</t>
  </si>
  <si>
    <t xml:space="preserve">açaí berries</t>
  </si>
  <si>
    <t xml:space="preserve">A thick purple berry smoothie topped with granola</t>
  </si>
  <si>
    <t xml:space="preserve">honey; banana; granola; açaí berries</t>
  </si>
  <si>
    <t xml:space="preserve">https://commons.wikimedia.org/w/index.php?search=A%C3%A7a%C3%AD+Bowl+food&amp;title=Special:MediaSearch&amp;type=image</t>
  </si>
  <si>
    <t xml:space="preserve">https://thumb.wikimedia.org/wikipedia/commons/thumb/6/6d/A%C3%A7a%C3%AD_do_Par%C3%A1.jpg/1280px-A%C3%A7a%C3%AD_do_Par%C3%A1.jpg</t>
  </si>
  <si>
    <t xml:space="preserve">Túllio F</t>
  </si>
  <si>
    <t xml:space="preserve">D0820</t>
  </si>
  <si>
    <t xml:space="preserve">Asado</t>
  </si>
  <si>
    <t xml:space="preserve">Argentina</t>
  </si>
  <si>
    <t xml:space="preserve">chimichurri</t>
  </si>
  <si>
    <t xml:space="preserve">chorizo</t>
  </si>
  <si>
    <t xml:space="preserve">grill</t>
  </si>
  <si>
    <t xml:space="preserve">beef ribs</t>
  </si>
  <si>
    <t xml:space="preserve">barbecue</t>
  </si>
  <si>
    <t xml:space="preserve">Argentine</t>
  </si>
  <si>
    <t xml:space="preserve">Argentina's barbecue of grilled meats</t>
  </si>
  <si>
    <t xml:space="preserve">chimichurri; chorizo; beef ribs</t>
  </si>
  <si>
    <t xml:space="preserve">Argentina, Uruguay, Chile, Paraguay</t>
  </si>
  <si>
    <t xml:space="preserve">https://commons.wikimedia.org/w/index.php?search=Asado+food&amp;title=Special:MediaSearch&amp;type=image</t>
  </si>
  <si>
    <t xml:space="preserve">D0821</t>
  </si>
  <si>
    <t xml:space="preserve">Empanadas</t>
  </si>
  <si>
    <t xml:space="preserve">baked or fried pastry</t>
  </si>
  <si>
    <t xml:space="preserve">Argentina's filled pastry turnovers</t>
  </si>
  <si>
    <t xml:space="preserve">olives; boiled egg; pastry; minced beef</t>
  </si>
  <si>
    <t xml:space="preserve">Shared across Latin America, Spain and Portugal</t>
  </si>
  <si>
    <t xml:space="preserve">https://commons.wikimedia.org/w/index.php?search=Empanadas+food&amp;title=Special:MediaSearch&amp;type=image</t>
  </si>
  <si>
    <t xml:space="preserve">https://thumb.wikimedia.org/wikipedia/commons/thumb/7/78/Tapa_de_empanadillitas.JPG/1280px-Tapa_de_empanadillitas.JPG</t>
  </si>
  <si>
    <t xml:space="preserve">D0822</t>
  </si>
  <si>
    <t xml:space="preserve">Chimichurri</t>
  </si>
  <si>
    <t xml:space="preserve">Argentina's parsley and oregano sauce for grilled meat</t>
  </si>
  <si>
    <t xml:space="preserve">vinegar; chilli flakes; oregano; parsley</t>
  </si>
  <si>
    <t xml:space="preserve">Argentina and Uruguay</t>
  </si>
  <si>
    <t xml:space="preserve">https://commons.wikimedia.org/w/index.php?search=Chimichurri+food&amp;title=Special:MediaSearch&amp;type=image</t>
  </si>
  <si>
    <t xml:space="preserve">D0823</t>
  </si>
  <si>
    <t xml:space="preserve">Milanesa</t>
  </si>
  <si>
    <t xml:space="preserve">beef cutlet</t>
  </si>
  <si>
    <t xml:space="preserve">Argentina's breaded beef cutlet</t>
  </si>
  <si>
    <t xml:space="preserve">lemon; egg; breadcrumbs; beef cutlet</t>
  </si>
  <si>
    <t xml:space="preserve">https://commons.wikimedia.org/w/index.php?search=Milanesa+food&amp;title=Special:MediaSearch&amp;type=image</t>
  </si>
  <si>
    <t xml:space="preserve">D0824</t>
  </si>
  <si>
    <t xml:space="preserve">Alfajores</t>
  </si>
  <si>
    <t xml:space="preserve">shortbread</t>
  </si>
  <si>
    <t xml:space="preserve">dulce de leche</t>
  </si>
  <si>
    <t xml:space="preserve">sandwich cookies</t>
  </si>
  <si>
    <t xml:space="preserve">Argentina's cookies sandwiching dulce de leche</t>
  </si>
  <si>
    <t xml:space="preserve">cornstarch; coconut; shortbread; dulce de leche</t>
  </si>
  <si>
    <t xml:space="preserve">Shared across South America and Spain</t>
  </si>
  <si>
    <t xml:space="preserve">https://commons.wikimedia.org/w/index.php?search=Alfajores+food&amp;title=Special:MediaSearch&amp;type=image</t>
  </si>
  <si>
    <t xml:space="preserve">https://thumb.wikimedia.org/wikipedia/commons/thumb/0/0c/AlfajoresP1115215_02.jpg/1280px-AlfajoresP1115215_02.jpg</t>
  </si>
  <si>
    <t xml:space="preserve">Alex Lozupone</t>
  </si>
  <si>
    <t xml:space="preserve">D0826</t>
  </si>
  <si>
    <t xml:space="preserve">Arepas</t>
  </si>
  <si>
    <t xml:space="preserve">Venezuela</t>
  </si>
  <si>
    <t xml:space="preserve">corn flour patties</t>
  </si>
  <si>
    <t xml:space="preserve">corn cakes</t>
  </si>
  <si>
    <t xml:space="preserve">Venezuelan</t>
  </si>
  <si>
    <t xml:space="preserve">Venezuela's corn patties split and stuffed</t>
  </si>
  <si>
    <t xml:space="preserve">butter; cheese; corn flour patties</t>
  </si>
  <si>
    <t xml:space="preserve">Venezuela and Colombia</t>
  </si>
  <si>
    <t xml:space="preserve">https://commons.wikimedia.org/w/index.php?search=Arepas+food&amp;title=Special:MediaSearch&amp;type=image</t>
  </si>
  <si>
    <t xml:space="preserve">D0828</t>
  </si>
  <si>
    <t xml:space="preserve">Bandeja Paisa</t>
  </si>
  <si>
    <t xml:space="preserve">Colombia</t>
  </si>
  <si>
    <t xml:space="preserve">chicharrón</t>
  </si>
  <si>
    <t xml:space="preserve">loaded platter</t>
  </si>
  <si>
    <t xml:space="preserve">Colombian</t>
  </si>
  <si>
    <t xml:space="preserve">Colombia's huge platter of beans, meats, egg and avocado</t>
  </si>
  <si>
    <t xml:space="preserve">fried egg; chorizo; chicharrón; red beans</t>
  </si>
  <si>
    <t xml:space="preserve">https://commons.wikimedia.org/w/index.php?search=Bandeja+Paisa+food&amp;title=Special:MediaSearch&amp;type=image</t>
  </si>
  <si>
    <t xml:space="preserve">https://thumb.wikimedia.org/wikipedia/commons/thumb/3/30/Bandeja_paisa%2C_plato_Colombiano.jpg/1280px-Bandeja_paisa%2C_plato_Colombiano.jpg</t>
  </si>
  <si>
    <t xml:space="preserve">Wilfredor</t>
  </si>
  <si>
    <t xml:space="preserve">D0833</t>
  </si>
  <si>
    <t xml:space="preserve">Hummus</t>
  </si>
  <si>
    <t xml:space="preserve">Lebanon</t>
  </si>
  <si>
    <t xml:space="preserve">tahini</t>
  </si>
  <si>
    <t xml:space="preserve">chickpea dip</t>
  </si>
  <si>
    <t xml:space="preserve">Middle Eastern</t>
  </si>
  <si>
    <t xml:space="preserve">The Middle East's chickpea and tahini dip</t>
  </si>
  <si>
    <t xml:space="preserve">lemon; tahini; chickpeas</t>
  </si>
  <si>
    <t xml:space="preserve">Shared across the Levant (Lebanon, Syria, Palestine, Israel, Jordan)</t>
  </si>
  <si>
    <t xml:space="preserve">https://commons.wikimedia.org/w/index.php?search=Hummus+food&amp;title=Special:MediaSearch&amp;type=image</t>
  </si>
  <si>
    <t xml:space="preserve">https://thumb.wikimedia.org/wikipedia/commons/thumb/b/bf/Lebanese_style_hummus.jpg/1280px-Lebanese_style_hummus.jpg</t>
  </si>
  <si>
    <t xml:space="preserve">Beyrouthhh at English Wikipedia</t>
  </si>
  <si>
    <t xml:space="preserve">D0834</t>
  </si>
  <si>
    <t xml:space="preserve">Falafel</t>
  </si>
  <si>
    <t xml:space="preserve">Egypt</t>
  </si>
  <si>
    <t xml:space="preserve">Northern Africa</t>
  </si>
  <si>
    <t xml:space="preserve">chickpea balls</t>
  </si>
  <si>
    <t xml:space="preserve">fried balls</t>
  </si>
  <si>
    <t xml:space="preserve">Middle Eastern street food</t>
  </si>
  <si>
    <t xml:space="preserve">Fried chickpea or fava bean balls</t>
  </si>
  <si>
    <t xml:space="preserve">parsley; tahini; chickpea balls</t>
  </si>
  <si>
    <t xml:space="preserve">Egypt and the Levant both claim it</t>
  </si>
  <si>
    <t xml:space="preserve">https://commons.wikimedia.org/w/index.php?search=Falafel+food&amp;title=Special:MediaSearch&amp;type=image</t>
  </si>
  <si>
    <t xml:space="preserve">https://thumb.wikimedia.org/wikipedia/commons/thumb/5/57/Falafels_2.jpg/1280px-Falafels_2.jpg</t>
  </si>
  <si>
    <t xml:space="preserve">D0835</t>
  </si>
  <si>
    <t xml:space="preserve">Shawarma</t>
  </si>
  <si>
    <t xml:space="preserve">garlic sauce</t>
  </si>
  <si>
    <t xml:space="preserve">spit-roasted chicken</t>
  </si>
  <si>
    <t xml:space="preserve">spit-roasted meat wrap</t>
  </si>
  <si>
    <t xml:space="preserve">Levantine</t>
  </si>
  <si>
    <t xml:space="preserve">The Levant's spit-roasted meat wrap with garlic sauce</t>
  </si>
  <si>
    <t xml:space="preserve">garlic sauce; tahini; pita; spit-roasted chicken</t>
  </si>
  <si>
    <t xml:space="preserve">Shared across the Levant and Turkey</t>
  </si>
  <si>
    <t xml:space="preserve">https://commons.wikimedia.org/w/index.php?search=Shawarma+food&amp;title=Special:MediaSearch&amp;type=image</t>
  </si>
  <si>
    <t xml:space="preserve">https://thumb.wikimedia.org/wikipedia/commons/thumb/0/00/Shawarma_2.jpg/1280px-Shawarma_2.jpg</t>
  </si>
  <si>
    <t xml:space="preserve">Vis M</t>
  </si>
  <si>
    <t xml:space="preserve">D0836</t>
  </si>
  <si>
    <t xml:space="preserve">Tabbouleh</t>
  </si>
  <si>
    <t xml:space="preserve">bulgur</t>
  </si>
  <si>
    <t xml:space="preserve">herb salad</t>
  </si>
  <si>
    <t xml:space="preserve">Lebanese</t>
  </si>
  <si>
    <t xml:space="preserve">Lebanon's parsley and bulgur salad</t>
  </si>
  <si>
    <t xml:space="preserve">tomato; mint; bulgur; parsley</t>
  </si>
  <si>
    <t xml:space="preserve">Shared across Lebanon and Syria</t>
  </si>
  <si>
    <t xml:space="preserve">https://commons.wikimedia.org/w/index.php?search=Tabbouleh+food&amp;title=Special:MediaSearch&amp;type=image</t>
  </si>
  <si>
    <t xml:space="preserve">https://thumb.wikimedia.org/wikipedia/commons/thumb/a/ac/Tabouleh_1.JPG/1280px-Tabouleh_1.JPG</t>
  </si>
  <si>
    <t xml:space="preserve">D0837</t>
  </si>
  <si>
    <t xml:space="preserve">Fattoush</t>
  </si>
  <si>
    <t xml:space="preserve">sumac</t>
  </si>
  <si>
    <t xml:space="preserve">fried pita</t>
  </si>
  <si>
    <t xml:space="preserve">bread salad</t>
  </si>
  <si>
    <t xml:space="preserve">Lebanon's salad with crisp pita and sumac</t>
  </si>
  <si>
    <t xml:space="preserve">cucumber; radish; sumac; fried pita</t>
  </si>
  <si>
    <t xml:space="preserve">https://commons.wikimedia.org/w/index.php?search=Fattoush+food&amp;title=Special:MediaSearch&amp;type=image</t>
  </si>
  <si>
    <t xml:space="preserve">D0838</t>
  </si>
  <si>
    <t xml:space="preserve">Baba Ganoush</t>
  </si>
  <si>
    <t xml:space="preserve">smoky aubergine</t>
  </si>
  <si>
    <t xml:space="preserve">smoky dip</t>
  </si>
  <si>
    <t xml:space="preserve">The Levant's smoky aubergine dip</t>
  </si>
  <si>
    <t xml:space="preserve">lemon; tahini; smoky aubergine</t>
  </si>
  <si>
    <t xml:space="preserve">Shared across the Levant</t>
  </si>
  <si>
    <t xml:space="preserve">https://commons.wikimedia.org/w/index.php?search=Baba+Ganoush+food&amp;title=Special:MediaSearch&amp;type=image</t>
  </si>
  <si>
    <t xml:space="preserve">D0839</t>
  </si>
  <si>
    <t xml:space="preserve">Kibbeh</t>
  </si>
  <si>
    <t xml:space="preserve">bulgur shell</t>
  </si>
  <si>
    <t xml:space="preserve">fried torpedoes</t>
  </si>
  <si>
    <t xml:space="preserve">The Levant's fried bulgur shells stuffed with meat</t>
  </si>
  <si>
    <t xml:space="preserve">allspice; pine nuts; bulgur shell; minced lamb</t>
  </si>
  <si>
    <t xml:space="preserve">https://commons.wikimedia.org/w/index.php?search=Kibbeh+food&amp;title=Special:MediaSearch&amp;type=image</t>
  </si>
  <si>
    <t xml:space="preserve">D0840</t>
  </si>
  <si>
    <t xml:space="preserve">Manakish</t>
  </si>
  <si>
    <t xml:space="preserve">za'atar</t>
  </si>
  <si>
    <t xml:space="preserve">Lebanese breakfast</t>
  </si>
  <si>
    <t xml:space="preserve">Lebanon's flatbread with za'atar</t>
  </si>
  <si>
    <t xml:space="preserve">sesame; sumac; flatbread; za'atar</t>
  </si>
  <si>
    <t xml:space="preserve">https://commons.wikimedia.org/w/index.php?search=Manakish+food&amp;title=Special:MediaSearch&amp;type=image</t>
  </si>
  <si>
    <t xml:space="preserve">https://thumb.wikimedia.org/wikipedia/commons/thumb/0/09/Zaatar_Mankousheh.jpg/1280px-Zaatar_Mankousheh.jpg</t>
  </si>
  <si>
    <t xml:space="preserve">Elie.ghob</t>
  </si>
  <si>
    <t xml:space="preserve">D0841</t>
  </si>
  <si>
    <t xml:space="preserve">Shakshuka</t>
  </si>
  <si>
    <t xml:space="preserve">Israel</t>
  </si>
  <si>
    <t xml:space="preserve">poached eggs</t>
  </si>
  <si>
    <t xml:space="preserve">eggs in sauce</t>
  </si>
  <si>
    <t xml:space="preserve">North African and Middle Eastern</t>
  </si>
  <si>
    <t xml:space="preserve">Eggs poached in spiced tomato and pepper sauce</t>
  </si>
  <si>
    <t xml:space="preserve">tomato; paprika; capsicum; poached eggs</t>
  </si>
  <si>
    <t xml:space="preserve">Maghreb origin; popular in Israel</t>
  </si>
  <si>
    <t xml:space="preserve">https://commons.wikimedia.org/w/index.php?search=Shakshuka+food&amp;title=Special:MediaSearch&amp;type=image</t>
  </si>
  <si>
    <t xml:space="preserve">https://thumb.wikimedia.org/wikipedia/commons/thumb/1/18/Shakshuka_by_Calliopejen1.jpg/1280px-Shakshuka_by_Calliopejen1.jpg</t>
  </si>
  <si>
    <t xml:space="preserve">Calliopejen1</t>
  </si>
  <si>
    <t xml:space="preserve">D0843</t>
  </si>
  <si>
    <t xml:space="preserve">Mansaf</t>
  </si>
  <si>
    <t xml:space="preserve">Jordan</t>
  </si>
  <si>
    <t xml:space="preserve">jameed</t>
  </si>
  <si>
    <t xml:space="preserve">Jordanian</t>
  </si>
  <si>
    <t xml:space="preserve">Jordan's lamb in fermented yogurt sauce over rice</t>
  </si>
  <si>
    <t xml:space="preserve">almond; pine nuts; jameed; lamb</t>
  </si>
  <si>
    <t xml:space="preserve">https://commons.wikimedia.org/w/index.php?search=Mansaf+food&amp;title=Special:MediaSearch&amp;type=image</t>
  </si>
  <si>
    <t xml:space="preserve">D0844</t>
  </si>
  <si>
    <t xml:space="preserve">Maqluba</t>
  </si>
  <si>
    <t xml:space="preserve">Palestine</t>
  </si>
  <si>
    <t xml:space="preserve">flipped pot</t>
  </si>
  <si>
    <t xml:space="preserve">Palestinian</t>
  </si>
  <si>
    <t xml:space="preserve">Palestine's layered rice dish flipped upside down</t>
  </si>
  <si>
    <t xml:space="preserve">cauliflower; aubergine; chicken</t>
  </si>
  <si>
    <t xml:space="preserve">https://commons.wikimedia.org/w/index.php?search=Maqluba+food&amp;title=Special:MediaSearch&amp;type=image</t>
  </si>
  <si>
    <t xml:space="preserve">https://thumb.wikimedia.org/wikipedia/commons/thumb/2/2d/Makluba.JPG/1280px-Makluba.JPG</t>
  </si>
  <si>
    <t xml:space="preserve">Arafataslan</t>
  </si>
  <si>
    <t xml:space="preserve">D0846</t>
  </si>
  <si>
    <t xml:space="preserve">Knafeh</t>
  </si>
  <si>
    <t xml:space="preserve">stretchy cheese</t>
  </si>
  <si>
    <t xml:space="preserve">cheese pastry in syrup</t>
  </si>
  <si>
    <t xml:space="preserve">Nablus</t>
  </si>
  <si>
    <t xml:space="preserve">The Levant's cheese pastry soaked in syrup</t>
  </si>
  <si>
    <t xml:space="preserve">pistachio; semolina; stretchy cheese</t>
  </si>
  <si>
    <t xml:space="preserve">https://commons.wikimedia.org/w/index.php?search=Knafeh+food&amp;title=Special:MediaSearch&amp;type=image</t>
  </si>
  <si>
    <t xml:space="preserve">D0847</t>
  </si>
  <si>
    <t xml:space="preserve">Kabsa</t>
  </si>
  <si>
    <t xml:space="preserve">Saudi Arabia</t>
  </si>
  <si>
    <t xml:space="preserve">loomi</t>
  </si>
  <si>
    <t xml:space="preserve">baharat</t>
  </si>
  <si>
    <t xml:space="preserve">spiced rice</t>
  </si>
  <si>
    <t xml:space="preserve">Saudi</t>
  </si>
  <si>
    <t xml:space="preserve">Saudi Arabia's spiced rice with chicken</t>
  </si>
  <si>
    <t xml:space="preserve">rice; loomi; baharat; chicken</t>
  </si>
  <si>
    <t xml:space="preserve">Shared across the Gulf</t>
  </si>
  <si>
    <t xml:space="preserve">https://commons.wikimedia.org/w/index.php?search=Kabsa+food&amp;title=Special:MediaSearch&amp;type=image</t>
  </si>
  <si>
    <t xml:space="preserve">D0851</t>
  </si>
  <si>
    <t xml:space="preserve">Mandi</t>
  </si>
  <si>
    <t xml:space="preserve">Yemen</t>
  </si>
  <si>
    <t xml:space="preserve">hawaij</t>
  </si>
  <si>
    <t xml:space="preserve">underground oven</t>
  </si>
  <si>
    <t xml:space="preserve">smoked meat and rice</t>
  </si>
  <si>
    <t xml:space="preserve">Yemeni</t>
  </si>
  <si>
    <t xml:space="preserve">Yemen's slow-cooked meat over fragrant rice</t>
  </si>
  <si>
    <t xml:space="preserve">hawaij; lamb</t>
  </si>
  <si>
    <t xml:space="preserve">Yemen origin, popular across the Gulf</t>
  </si>
  <si>
    <t xml:space="preserve">https://commons.wikimedia.org/w/index.php?search=Mandi+food&amp;title=Special:MediaSearch&amp;type=image</t>
  </si>
  <si>
    <t xml:space="preserve">D0855</t>
  </si>
  <si>
    <t xml:space="preserve">Ghormeh Sabzi</t>
  </si>
  <si>
    <t xml:space="preserve">Iran</t>
  </si>
  <si>
    <t xml:space="preserve">herb stew</t>
  </si>
  <si>
    <t xml:space="preserve">Persian</t>
  </si>
  <si>
    <t xml:space="preserve">Iran's herb stew with beans and lamb</t>
  </si>
  <si>
    <t xml:space="preserve">loomi; lamb; fenugreek; herbs</t>
  </si>
  <si>
    <t xml:space="preserve">https://commons.wikimedia.org/w/index.php?search=Ghormeh+Sabzi+food&amp;title=Special:MediaSearch&amp;type=image</t>
  </si>
  <si>
    <t xml:space="preserve">D0856</t>
  </si>
  <si>
    <t xml:space="preserve">Fesenjan</t>
  </si>
  <si>
    <t xml:space="preserve">pomegranate molasses</t>
  </si>
  <si>
    <t xml:space="preserve">ground walnuts</t>
  </si>
  <si>
    <t xml:space="preserve">walnut-pomegranate stew</t>
  </si>
  <si>
    <t xml:space="preserve">Iran's sweet-sour walnut and pomegranate stew</t>
  </si>
  <si>
    <t xml:space="preserve">cinnamon; chicken; pomegranate molasses; ground walnuts</t>
  </si>
  <si>
    <t xml:space="preserve">https://commons.wikimedia.org/w/index.php?search=Fesenjan+food&amp;title=Special:MediaSearch&amp;type=image</t>
  </si>
  <si>
    <t xml:space="preserve">https://thumb.wikimedia.org/wikipedia/commons/thumb/1/1d/Khoresht-e_fesenjan.jpg/1280px-Khoresht-e_fesenjan.jpg</t>
  </si>
  <si>
    <t xml:space="preserve">stringparts</t>
  </si>
  <si>
    <t xml:space="preserve">D0861</t>
  </si>
  <si>
    <t xml:space="preserve">Koshari</t>
  </si>
  <si>
    <t xml:space="preserve">carb-heavy street dish</t>
  </si>
  <si>
    <t xml:space="preserve">Egyptian</t>
  </si>
  <si>
    <t xml:space="preserve">Egypt's rice, lentils and pasta with tomato sauce</t>
  </si>
  <si>
    <t xml:space="preserve">chickpeas; tomato sauce; lentils; macaroni</t>
  </si>
  <si>
    <t xml:space="preserve">https://commons.wikimedia.org/w/index.php?search=Koshari+food&amp;title=Special:MediaSearch&amp;type=image</t>
  </si>
  <si>
    <t xml:space="preserve">https://thumb.wikimedia.org/wikipedia/commons/thumb/e/e9/Egyptian_food_Koshary.jpg/1280px-Egyptian_food_Koshary.jpg</t>
  </si>
  <si>
    <t xml:space="preserve">Dina Said</t>
  </si>
  <si>
    <t xml:space="preserve">D0862</t>
  </si>
  <si>
    <t xml:space="preserve">Ful Medames</t>
  </si>
  <si>
    <t xml:space="preserve">fava beans</t>
  </si>
  <si>
    <t xml:space="preserve">fava bean breakfast</t>
  </si>
  <si>
    <t xml:space="preserve">cumin</t>
  </si>
  <si>
    <t xml:space="preserve">stewed slowly</t>
  </si>
  <si>
    <t xml:space="preserve">Egypt's stewed fava beans</t>
  </si>
  <si>
    <t xml:space="preserve">fava beans; cumin; olive oil</t>
  </si>
  <si>
    <t xml:space="preserve">https://commons.wikimedia.org/w/index.php?search=Ful+Medames+food&amp;title=Special:MediaSearch&amp;type=image</t>
  </si>
  <si>
    <t xml:space="preserve">D0865</t>
  </si>
  <si>
    <t xml:space="preserve">Tagine</t>
  </si>
  <si>
    <t xml:space="preserve">Morocco</t>
  </si>
  <si>
    <t xml:space="preserve">preserved lemon</t>
  </si>
  <si>
    <t xml:space="preserve">conical pot</t>
  </si>
  <si>
    <t xml:space="preserve">Moroccan</t>
  </si>
  <si>
    <t xml:space="preserve">Morocco's slow-cooked stew in a conical clay pot</t>
  </si>
  <si>
    <t xml:space="preserve">cinnamon; olives; preserved lemon; lamb</t>
  </si>
  <si>
    <t xml:space="preserve">Shared across North Africa</t>
  </si>
  <si>
    <t xml:space="preserve">https://commons.wikimedia.org/w/index.php?search=Tagine+food&amp;title=Special:MediaSearch&amp;type=image</t>
  </si>
  <si>
    <t xml:space="preserve">D0866</t>
  </si>
  <si>
    <t xml:space="preserve">Couscous</t>
  </si>
  <si>
    <t xml:space="preserve">turnip</t>
  </si>
  <si>
    <t xml:space="preserve">steamed semolina</t>
  </si>
  <si>
    <t xml:space="preserve">steamed grains</t>
  </si>
  <si>
    <t xml:space="preserve">North African</t>
  </si>
  <si>
    <t xml:space="preserve">North Africa's steamed semolina grains with stew</t>
  </si>
  <si>
    <t xml:space="preserve">chickpeas; turnip; lamb; steamed semolina</t>
  </si>
  <si>
    <t xml:space="preserve">Shared across the Maghreb (UNESCO 2020, joint listing)</t>
  </si>
  <si>
    <t xml:space="preserve">https://commons.wikimedia.org/w/index.php?search=Couscous+food&amp;title=Special:MediaSearch&amp;type=image</t>
  </si>
  <si>
    <t xml:space="preserve">D0867</t>
  </si>
  <si>
    <t xml:space="preserve">Harira</t>
  </si>
  <si>
    <t xml:space="preserve">soup</t>
  </si>
  <si>
    <t xml:space="preserve">Morocco's lentil and chickpea soup for Ramadan</t>
  </si>
  <si>
    <t xml:space="preserve">lentils; chickpeas; lamb</t>
  </si>
  <si>
    <t xml:space="preserve">https://commons.wikimedia.org/w/index.php?search=Harira+food&amp;title=Special:MediaSearch&amp;type=image</t>
  </si>
  <si>
    <t xml:space="preserve">D0868</t>
  </si>
  <si>
    <t xml:space="preserve">Pastilla</t>
  </si>
  <si>
    <t xml:space="preserve">warqa pastry</t>
  </si>
  <si>
    <t xml:space="preserve">pigeon</t>
  </si>
  <si>
    <t xml:space="preserve">sweet-savoury pie</t>
  </si>
  <si>
    <t xml:space="preserve">Morocco's sweet-savoury pigeon pie</t>
  </si>
  <si>
    <t xml:space="preserve">cinnamon; almond; warqa pastry; pigeon</t>
  </si>
  <si>
    <t xml:space="preserve">https://commons.wikimedia.org/w/index.php?search=Pastilla+food&amp;title=Special:MediaSearch&amp;type=image</t>
  </si>
  <si>
    <t xml:space="preserve">D0871</t>
  </si>
  <si>
    <t xml:space="preserve">Injera with Doro Wat</t>
  </si>
  <si>
    <t xml:space="preserve">Ethiopia</t>
  </si>
  <si>
    <t xml:space="preserve">Eastern Africa</t>
  </si>
  <si>
    <t xml:space="preserve">berbere</t>
  </si>
  <si>
    <t xml:space="preserve">sourdough flatbread</t>
  </si>
  <si>
    <t xml:space="preserve">spongy flatbread with stew</t>
  </si>
  <si>
    <t xml:space="preserve">Ethiopian</t>
  </si>
  <si>
    <t xml:space="preserve">Ethiopia's spicy chicken stew on sour flatbread</t>
  </si>
  <si>
    <t xml:space="preserve">boiled egg; berbere; chicken; sourdough flatbread</t>
  </si>
  <si>
    <t xml:space="preserve">Ethiopia and Eritrea</t>
  </si>
  <si>
    <t xml:space="preserve">https://commons.wikimedia.org/w/index.php?search=Injera+with+Doro+Wat+food&amp;title=Special:MediaSearch&amp;type=image</t>
  </si>
  <si>
    <t xml:space="preserve">D0874</t>
  </si>
  <si>
    <t xml:space="preserve">Jollof Rice</t>
  </si>
  <si>
    <t xml:space="preserve">Nigeria</t>
  </si>
  <si>
    <t xml:space="preserve">Western Africa</t>
  </si>
  <si>
    <t xml:space="preserve">red pepper</t>
  </si>
  <si>
    <t xml:space="preserve">West African</t>
  </si>
  <si>
    <t xml:space="preserve">West Africa's tomato-and-pepper rice</t>
  </si>
  <si>
    <t xml:space="preserve">thyme; scotch bonnet; red pepper; rice</t>
  </si>
  <si>
    <t xml:space="preserve">red rice; rice</t>
  </si>
  <si>
    <t xml:space="preserve">Origin in Senegal (Wolof); Nigeria and Ghana dispute the best version</t>
  </si>
  <si>
    <t xml:space="preserve">https://commons.wikimedia.org/w/index.php?search=Jollof+Rice+food&amp;title=Special:MediaSearch&amp;type=image</t>
  </si>
  <si>
    <t xml:space="preserve">https://thumb.wikimedia.org/wikipedia/commons/thumb/0/0a/Jollof_Rice_with_Stew.jpg/1280px-Jollof_Rice_with_Stew.jpg</t>
  </si>
  <si>
    <t xml:space="preserve">Noahalorwu</t>
  </si>
  <si>
    <t xml:space="preserve">D0876</t>
  </si>
  <si>
    <t xml:space="preserve">Egusi Soup</t>
  </si>
  <si>
    <t xml:space="preserve">stockfish</t>
  </si>
  <si>
    <t xml:space="preserve">leafy greens</t>
  </si>
  <si>
    <t xml:space="preserve">ground melon seeds</t>
  </si>
  <si>
    <t xml:space="preserve">melon seed soup</t>
  </si>
  <si>
    <t xml:space="preserve">Nigerian</t>
  </si>
  <si>
    <t xml:space="preserve">Nigeria's melon-seed soup with greens</t>
  </si>
  <si>
    <t xml:space="preserve">stockfish; leafy greens; beef; ground melon seeds</t>
  </si>
  <si>
    <t xml:space="preserve">https://commons.wikimedia.org/w/index.php?search=Egusi+Soup+food&amp;title=Special:MediaSearch&amp;type=image</t>
  </si>
  <si>
    <t xml:space="preserve">D0880</t>
  </si>
  <si>
    <t xml:space="preserve">Fufu</t>
  </si>
  <si>
    <t xml:space="preserve">Ghana</t>
  </si>
  <si>
    <t xml:space="preserve">plantain</t>
  </si>
  <si>
    <t xml:space="preserve">cassava</t>
  </si>
  <si>
    <t xml:space="preserve">pounded dough</t>
  </si>
  <si>
    <t xml:space="preserve">West Africa's pounded starchy dough eaten with soup</t>
  </si>
  <si>
    <t xml:space="preserve">soup; plantain; cassava</t>
  </si>
  <si>
    <t xml:space="preserve">Shared across West and Central Africa</t>
  </si>
  <si>
    <t xml:space="preserve">https://commons.wikimedia.org/w/index.php?search=Fufu+food&amp;title=Special:MediaSearch&amp;type=image</t>
  </si>
  <si>
    <t xml:space="preserve">D0883</t>
  </si>
  <si>
    <t xml:space="preserve">Thieboudienne</t>
  </si>
  <si>
    <t xml:space="preserve">Senegal</t>
  </si>
  <si>
    <t xml:space="preserve">fish and rice</t>
  </si>
  <si>
    <t xml:space="preserve">Senegalese national dish</t>
  </si>
  <si>
    <t xml:space="preserve">Senegal's fish and rice in tomato sauce</t>
  </si>
  <si>
    <t xml:space="preserve">cabbage; cassava; broken rice; fish</t>
  </si>
  <si>
    <t xml:space="preserve">https://commons.wikimedia.org/w/index.php?search=Thieboudienne+food&amp;title=Special:MediaSearch&amp;type=image</t>
  </si>
  <si>
    <t xml:space="preserve">https://thumb.wikimedia.org/wikipedia/commons/thumb/5/51/Thieboudienne.JPG/1280px-Thieboudienne.JPG</t>
  </si>
  <si>
    <t xml:space="preserve">KVDP</t>
  </si>
  <si>
    <t xml:space="preserve">D0886</t>
  </si>
  <si>
    <t xml:space="preserve">Bobotie</t>
  </si>
  <si>
    <t xml:space="preserve">South Africa</t>
  </si>
  <si>
    <t xml:space="preserve">Southern Africa</t>
  </si>
  <si>
    <t xml:space="preserve">egg custard top</t>
  </si>
  <si>
    <t xml:space="preserve">baked mince with custard</t>
  </si>
  <si>
    <t xml:space="preserve">South African</t>
  </si>
  <si>
    <t xml:space="preserve">South Africa's curried mince with egg custard top</t>
  </si>
  <si>
    <t xml:space="preserve">raisins; curry powder; egg custard top; minced beef</t>
  </si>
  <si>
    <t xml:space="preserve">https://commons.wikimedia.org/w/index.php?search=Bobotie+food&amp;title=Special:MediaSearch&amp;type=image</t>
  </si>
  <si>
    <t xml:space="preserve">https://thumb.wikimedia.org/wikipedia/commons/thumb/f/f1/Bobotie%2C_South_African_dish.jpg/1280px-Bobotie%2C_South_African_dish.jpg</t>
  </si>
  <si>
    <t xml:space="preserve">Olga Ernst</t>
  </si>
  <si>
    <t xml:space="preserve">D0887</t>
  </si>
  <si>
    <t xml:space="preserve">Bunny Chow</t>
  </si>
  <si>
    <t xml:space="preserve">hollowed</t>
  </si>
  <si>
    <t xml:space="preserve">mutton curry</t>
  </si>
  <si>
    <t xml:space="preserve">white bread loaf</t>
  </si>
  <si>
    <t xml:space="preserve">curry in bread</t>
  </si>
  <si>
    <t xml:space="preserve">Durban</t>
  </si>
  <si>
    <t xml:space="preserve">Durban's curry served in a hollowed loaf</t>
  </si>
  <si>
    <t xml:space="preserve">curry leaves; mutton curry; white bread loaf</t>
  </si>
  <si>
    <t xml:space="preserve">https://commons.wikimedia.org/w/index.php?search=Bunny+Chow+food&amp;title=Special:MediaSearch&amp;type=image</t>
  </si>
  <si>
    <t xml:space="preserve">D0888</t>
  </si>
  <si>
    <t xml:space="preserve">Biltong</t>
  </si>
  <si>
    <t xml:space="preserve">air-dried</t>
  </si>
  <si>
    <t xml:space="preserve">dried meat</t>
  </si>
  <si>
    <t xml:space="preserve">South Africa's air-dried meat</t>
  </si>
  <si>
    <t xml:space="preserve">vinegar; coriander seed; beef</t>
  </si>
  <si>
    <t xml:space="preserve">https://commons.wikimedia.org/w/index.php?search=Biltong+food&amp;title=Special:MediaSearch&amp;type=image</t>
  </si>
  <si>
    <t xml:space="preserve">https://thumb.wikimedia.org/wikipedia/commons/thumb/9/9f/Sliced_Biltong.jpg/1280px-Sliced_Biltong.jpg</t>
  </si>
  <si>
    <t xml:space="preserve">Delia du Plessis</t>
  </si>
  <si>
    <t xml:space="preserve">D0893</t>
  </si>
  <si>
    <t xml:space="preserve">Nyama Choma</t>
  </si>
  <si>
    <t xml:space="preserve">Kenya</t>
  </si>
  <si>
    <t xml:space="preserve">kachumbari</t>
  </si>
  <si>
    <t xml:space="preserve">ugali</t>
  </si>
  <si>
    <t xml:space="preserve">open-fire</t>
  </si>
  <si>
    <t xml:space="preserve">goat meat</t>
  </si>
  <si>
    <t xml:space="preserve">grilled meat</t>
  </si>
  <si>
    <t xml:space="preserve">Kenyan</t>
  </si>
  <si>
    <t xml:space="preserve">Kenya's grilled meat</t>
  </si>
  <si>
    <t xml:space="preserve">kachumbari; ugali; goat meat</t>
  </si>
  <si>
    <t xml:space="preserve">https://commons.wikimedia.org/w/index.php?search=Nyama+Choma+food&amp;title=Special:MediaSearch&amp;type=image</t>
  </si>
  <si>
    <t xml:space="preserve">D0899</t>
  </si>
  <si>
    <t xml:space="preserve">Meat Pie</t>
  </si>
  <si>
    <t xml:space="preserve">Australia</t>
  </si>
  <si>
    <t xml:space="preserve">Australia and New Zealand</t>
  </si>
  <si>
    <t xml:space="preserve">pie</t>
  </si>
  <si>
    <t xml:space="preserve">Australian</t>
  </si>
  <si>
    <t xml:space="preserve">Australia's hand-held minced beef pie</t>
  </si>
  <si>
    <t xml:space="preserve">gravy; tomato sauce; pastry; minced beef</t>
  </si>
  <si>
    <t xml:space="preserve">https://commons.wikimedia.org/w/index.php?search=Meat+Pie+food&amp;title=Special:MediaSearch&amp;type=image</t>
  </si>
  <si>
    <t xml:space="preserve">https://thumb.wikimedia.org/wikipedia/commons/thumb/b/b0/MeatPie.JPG/1280px-MeatPie.JPG</t>
  </si>
  <si>
    <t xml:space="preserve">Jonathunder</t>
  </si>
  <si>
    <t xml:space="preserve">D0900</t>
  </si>
  <si>
    <t xml:space="preserve">Pavlova</t>
  </si>
  <si>
    <t xml:space="preserve">New Zealand</t>
  </si>
  <si>
    <t xml:space="preserve">kiwifruit</t>
  </si>
  <si>
    <t xml:space="preserve">meringue</t>
  </si>
  <si>
    <t xml:space="preserve">A meringue cake topped with cream and fruit</t>
  </si>
  <si>
    <t xml:space="preserve">vanilla; cream; kiwifruit; meringue</t>
  </si>
  <si>
    <t xml:space="preserve">Australia and New Zealand both claim it</t>
  </si>
  <si>
    <t xml:space="preserve">https://commons.wikimedia.org/w/index.php?search=Pavlova+food&amp;title=Special:MediaSearch&amp;type=image</t>
  </si>
  <si>
    <t xml:space="preserve">D0901</t>
  </si>
  <si>
    <t xml:space="preserve">Lamington</t>
  </si>
  <si>
    <t xml:space="preserve">chocolate coating</t>
  </si>
  <si>
    <t xml:space="preserve">coconut cake squares</t>
  </si>
  <si>
    <t xml:space="preserve">Australia's chocolate-coconut sponge squares</t>
  </si>
  <si>
    <t xml:space="preserve">butter; chocolate coating; sponge; desiccated coconut</t>
  </si>
  <si>
    <t xml:space="preserve">https://commons.wikimedia.org/w/index.php?search=Lamington+food&amp;title=Special:MediaSearch&amp;type=image</t>
  </si>
  <si>
    <t xml:space="preserve">D0902</t>
  </si>
  <si>
    <t xml:space="preserve">Vegemite Toast</t>
  </si>
  <si>
    <t xml:space="preserve">yeast extract</t>
  </si>
  <si>
    <t xml:space="preserve">toast with a dark spread</t>
  </si>
  <si>
    <t xml:space="preserve">Australian toast with a salty yeast spread</t>
  </si>
  <si>
    <t xml:space="preserve">butter; yeast extract; toast</t>
  </si>
  <si>
    <t xml:space="preserve">toast with a dark spread; toast</t>
  </si>
  <si>
    <t xml:space="preserve">https://commons.wikimedia.org/w/index.php?search=Vegemite+Toast+food&amp;title=Special:MediaSearch&amp;type=image</t>
  </si>
  <si>
    <t xml:space="preserve">D0909</t>
  </si>
  <si>
    <t xml:space="preserve">Poke</t>
  </si>
  <si>
    <t xml:space="preserve">seaweed</t>
  </si>
  <si>
    <t xml:space="preserve">raw tuna</t>
  </si>
  <si>
    <t xml:space="preserve">raw fish bowl</t>
  </si>
  <si>
    <t xml:space="preserve">Hawaiian</t>
  </si>
  <si>
    <t xml:space="preserve">Hawaii</t>
  </si>
  <si>
    <t xml:space="preserve">Hawaii's raw fish rice bowl</t>
  </si>
  <si>
    <t xml:space="preserve">sesame; seaweed; raw tuna</t>
  </si>
  <si>
    <t xml:space="preserve">https://commons.wikimedia.org/w/index.php?search=Poke+food&amp;title=Special:MediaSearch&amp;type=image</t>
  </si>
  <si>
    <t xml:space="preserve">Drink</t>
  </si>
  <si>
    <t xml:space="preserve">Alcoholic</t>
  </si>
  <si>
    <t xml:space="preserve">Glass / serve</t>
  </si>
  <si>
    <t xml:space="preserve">B0001</t>
  </si>
  <si>
    <t xml:space="preserve">Mojito</t>
  </si>
  <si>
    <t xml:space="preserve">Highball</t>
  </si>
  <si>
    <t xml:space="preserve">soda water</t>
  </si>
  <si>
    <t xml:space="preserve">white rum</t>
  </si>
  <si>
    <t xml:space="preserve">Cuban highball</t>
  </si>
  <si>
    <t xml:space="preserve">minty</t>
  </si>
  <si>
    <t xml:space="preserve">Cuba's minty rum highball</t>
  </si>
  <si>
    <t xml:space="preserve">soda water; lime; white rum; mint</t>
  </si>
  <si>
    <t xml:space="preserve">https://commons.wikimedia.org/w/index.php?search=Mojito+drink&amp;title=Special:MediaSearch&amp;type=image</t>
  </si>
  <si>
    <t xml:space="preserve">https://thumb.wikimedia.org/wikipedia/commons/thumb/5/54/15-09-26-RalfR-WLC-0072.jpg/1280px-15-09-26-RalfR-WLC-0072.jpg</t>
  </si>
  <si>
    <t xml:space="preserve">Ralf Roletschek</t>
  </si>
  <si>
    <t xml:space="preserve">B0002</t>
  </si>
  <si>
    <t xml:space="preserve">Margarita</t>
  </si>
  <si>
    <t xml:space="preserve">Coupe or margarita glass</t>
  </si>
  <si>
    <t xml:space="preserve">salt rim</t>
  </si>
  <si>
    <t xml:space="preserve">triple sec</t>
  </si>
  <si>
    <t xml:space="preserve">tequila</t>
  </si>
  <si>
    <t xml:space="preserve">salted rim</t>
  </si>
  <si>
    <t xml:space="preserve">Mexico's tequila-lime cocktail with a salted rim</t>
  </si>
  <si>
    <t xml:space="preserve">lime; triple sec; tequila</t>
  </si>
  <si>
    <t xml:space="preserve">https://commons.wikimedia.org/w/index.php?search=Margarita+drink&amp;title=Special:MediaSearch&amp;type=image</t>
  </si>
  <si>
    <t xml:space="preserve">B0003</t>
  </si>
  <si>
    <t xml:space="preserve">Piña Colada</t>
  </si>
  <si>
    <t xml:space="preserve">Puerto Rico</t>
  </si>
  <si>
    <t xml:space="preserve">Hurricane</t>
  </si>
  <si>
    <t xml:space="preserve">cream of coconut</t>
  </si>
  <si>
    <t xml:space="preserve">blended</t>
  </si>
  <si>
    <t xml:space="preserve">pineapple juice</t>
  </si>
  <si>
    <t xml:space="preserve">creamy tropical</t>
  </si>
  <si>
    <t xml:space="preserve">Puerto Rico's creamy coconut-pineapple rum cocktail</t>
  </si>
  <si>
    <t xml:space="preserve">cream of coconut; white rum; pineapple juice</t>
  </si>
  <si>
    <t xml:space="preserve">https://commons.wikimedia.org/w/index.php?search=Pi%C3%B1a+Colada+drink&amp;title=Special:MediaSearch&amp;type=image</t>
  </si>
  <si>
    <t xml:space="preserve">B0004</t>
  </si>
  <si>
    <t xml:space="preserve">Old Fashioned</t>
  </si>
  <si>
    <t xml:space="preserve">Rocks glass</t>
  </si>
  <si>
    <t xml:space="preserve">angostura bitters</t>
  </si>
  <si>
    <t xml:space="preserve">bourbon</t>
  </si>
  <si>
    <t xml:space="preserve">stirred whiskey</t>
  </si>
  <si>
    <t xml:space="preserve">sugar and bitters</t>
  </si>
  <si>
    <t xml:space="preserve">A stirred whiskey drink with sugar and bitters</t>
  </si>
  <si>
    <t xml:space="preserve">orange peel; angostura bitters; bourbon</t>
  </si>
  <si>
    <t xml:space="preserve">https://commons.wikimedia.org/w/index.php?search=Old+Fashioned+drink&amp;title=Special:MediaSearch&amp;type=image</t>
  </si>
  <si>
    <t xml:space="preserve">B0005</t>
  </si>
  <si>
    <t xml:space="preserve">Martini</t>
  </si>
  <si>
    <t xml:space="preserve">Martini glass</t>
  </si>
  <si>
    <t xml:space="preserve">stirred</t>
  </si>
  <si>
    <t xml:space="preserve">dry vermouth</t>
  </si>
  <si>
    <t xml:space="preserve">gin</t>
  </si>
  <si>
    <t xml:space="preserve">cocktail glass</t>
  </si>
  <si>
    <t xml:space="preserve">James Bond</t>
  </si>
  <si>
    <t xml:space="preserve">A stirred gin and vermouth cocktail</t>
  </si>
  <si>
    <t xml:space="preserve">olives; dry vermouth; gin</t>
  </si>
  <si>
    <t xml:space="preserve">https://commons.wikimedia.org/w/index.php?search=Martini+drink&amp;title=Special:MediaSearch&amp;type=image</t>
  </si>
  <si>
    <t xml:space="preserve">B0006</t>
  </si>
  <si>
    <t xml:space="preserve">Negroni</t>
  </si>
  <si>
    <t xml:space="preserve">sweet vermouth</t>
  </si>
  <si>
    <t xml:space="preserve">campari</t>
  </si>
  <si>
    <t xml:space="preserve">bitter red</t>
  </si>
  <si>
    <t xml:space="preserve">equal parts</t>
  </si>
  <si>
    <t xml:space="preserve">Italy's bitter red cocktail in equal parts</t>
  </si>
  <si>
    <t xml:space="preserve">orange peel; sweet vermouth; gin; campari</t>
  </si>
  <si>
    <t xml:space="preserve">https://commons.wikimedia.org/w/index.php?search=Negroni+drink&amp;title=Special:MediaSearch&amp;type=image</t>
  </si>
  <si>
    <t xml:space="preserve">B0007</t>
  </si>
  <si>
    <t xml:space="preserve">Cosmopolitan</t>
  </si>
  <si>
    <t xml:space="preserve">citrus vodka</t>
  </si>
  <si>
    <t xml:space="preserve">cranberry juice</t>
  </si>
  <si>
    <t xml:space="preserve">pink cocktail</t>
  </si>
  <si>
    <t xml:space="preserve">Sex and the City</t>
  </si>
  <si>
    <t xml:space="preserve">A pink vodka-cranberry cocktail</t>
  </si>
  <si>
    <t xml:space="preserve">lime; triple sec; citrus vodka; cranberry juice</t>
  </si>
  <si>
    <t xml:space="preserve">https://commons.wikimedia.org/w/index.php?search=Cosmopolitan+drink&amp;title=Special:MediaSearch&amp;type=image</t>
  </si>
  <si>
    <t xml:space="preserve">B0008</t>
  </si>
  <si>
    <t xml:space="preserve">Daiquiri</t>
  </si>
  <si>
    <t xml:space="preserve">Coupe</t>
  </si>
  <si>
    <t xml:space="preserve">shaken</t>
  </si>
  <si>
    <t xml:space="preserve">Cuban rum sour</t>
  </si>
  <si>
    <t xml:space="preserve">sugar</t>
  </si>
  <si>
    <t xml:space="preserve">coupe glass</t>
  </si>
  <si>
    <t xml:space="preserve">Cuba's rum, lime and sugar cocktail</t>
  </si>
  <si>
    <t xml:space="preserve">lime; white rum; sugar</t>
  </si>
  <si>
    <t xml:space="preserve">https://commons.wikimedia.org/w/index.php?search=Daiquiri+drink&amp;title=Special:MediaSearch&amp;type=image</t>
  </si>
  <si>
    <t xml:space="preserve">https://thumb.wikimedia.org/wikipedia/commons/thumb/f/fd/Classic_Daiquiri_in_Cocktail_Glass.jpg/1280px-Classic_Daiquiri_in_Cocktail_Glass.jpg</t>
  </si>
  <si>
    <t xml:space="preserve">Will Shenton</t>
  </si>
  <si>
    <t xml:space="preserve">B0009</t>
  </si>
  <si>
    <t xml:space="preserve">Manhattan</t>
  </si>
  <si>
    <t xml:space="preserve">cherry</t>
  </si>
  <si>
    <t xml:space="preserve">rye whiskey</t>
  </si>
  <si>
    <t xml:space="preserve">New York</t>
  </si>
  <si>
    <t xml:space="preserve">A stirred whiskey and sweet vermouth cocktail</t>
  </si>
  <si>
    <t xml:space="preserve">cherry; angostura bitters; sweet vermouth; rye whiskey</t>
  </si>
  <si>
    <t xml:space="preserve">https://commons.wikimedia.org/w/index.php?search=Manhattan+drink&amp;title=Special:MediaSearch&amp;type=image</t>
  </si>
  <si>
    <t xml:space="preserve">https://thumb.wikimedia.org/wikipedia/commons/thumb/7/7a/View_of_Empire_State_Building_from_Rockefeller_Center_New_York_City_dllu_%28cropped%29.jpg/1280px-View_of_Empire_State_Building_from_Rockefeller_Center_New_York_City_dllu_%28cropped%29.jpg</t>
  </si>
  <si>
    <t xml:space="preserve">Dllu</t>
  </si>
  <si>
    <t xml:space="preserve">B0010</t>
  </si>
  <si>
    <t xml:space="preserve">Bloody Mary</t>
  </si>
  <si>
    <t xml:space="preserve">Worcestershire sauce</t>
  </si>
  <si>
    <t xml:space="preserve">tabasco</t>
  </si>
  <si>
    <t xml:space="preserve">vodka</t>
  </si>
  <si>
    <t xml:space="preserve">tomato juice</t>
  </si>
  <si>
    <t xml:space="preserve">savoury brunch cocktail</t>
  </si>
  <si>
    <t xml:space="preserve">A savoury vodka and tomato cocktail</t>
  </si>
  <si>
    <t xml:space="preserve">celery; Worcestershire sauce; tabasco; vodka; tomato juice</t>
  </si>
  <si>
    <t xml:space="preserve">Paris (Harry's New York Bar) and New York claims</t>
  </si>
  <si>
    <t xml:space="preserve">https://commons.wikimedia.org/w/index.php?search=Bloody+Mary+drink&amp;title=Special:MediaSearch&amp;type=image</t>
  </si>
  <si>
    <t xml:space="preserve">B0011</t>
  </si>
  <si>
    <t xml:space="preserve">Moscow Mule</t>
  </si>
  <si>
    <t xml:space="preserve">Copper mug</t>
  </si>
  <si>
    <t xml:space="preserve">ginger beer</t>
  </si>
  <si>
    <t xml:space="preserve">copper mug</t>
  </si>
  <si>
    <t xml:space="preserve">mint sprig</t>
  </si>
  <si>
    <t xml:space="preserve">highball</t>
  </si>
  <si>
    <t xml:space="preserve">A vodka and ginger beer cocktail in a copper mug</t>
  </si>
  <si>
    <t xml:space="preserve">ginger beer; vodka</t>
  </si>
  <si>
    <t xml:space="preserve">https://commons.wikimedia.org/w/index.php?search=Moscow+Mule+drink&amp;title=Special:MediaSearch&amp;type=image</t>
  </si>
  <si>
    <t xml:space="preserve">https://thumb.wikimedia.org/wikipedia/commons/thumb/8/89/Cocktail_Moscow_Mule_im_Kupferbecher_mit_Minze.jpg/1280px-Cocktail_Moscow_Mule_im_Kupferbecher_mit_Minze.jpg</t>
  </si>
  <si>
    <t xml:space="preserve">Gordito1869</t>
  </si>
  <si>
    <t xml:space="preserve">B0012</t>
  </si>
  <si>
    <t xml:space="preserve">Whiskey Sour</t>
  </si>
  <si>
    <t xml:space="preserve">egg white</t>
  </si>
  <si>
    <t xml:space="preserve">whisky</t>
  </si>
  <si>
    <t xml:space="preserve">frothy sour</t>
  </si>
  <si>
    <t xml:space="preserve">angostura</t>
  </si>
  <si>
    <t xml:space="preserve">A frothy cocktail of bourbon, lemon and sugar</t>
  </si>
  <si>
    <t xml:space="preserve">lemon; egg white; whisky</t>
  </si>
  <si>
    <t xml:space="preserve">https://commons.wikimedia.org/w/index.php?search=Whiskey+Sour+drink&amp;title=Special:MediaSearch&amp;type=image</t>
  </si>
  <si>
    <t xml:space="preserve">https://thumb.wikimedia.org/wikipedia/commons/thumb/5/59/Whiskey_Sour.jpg/1280px-Whiskey_Sour.jpg</t>
  </si>
  <si>
    <t xml:space="preserve">Jgilgamesh</t>
  </si>
  <si>
    <t xml:space="preserve">B0013</t>
  </si>
  <si>
    <t xml:space="preserve">Mai Tai</t>
  </si>
  <si>
    <t xml:space="preserve">orgeat</t>
  </si>
  <si>
    <t xml:space="preserve">orange curaçao</t>
  </si>
  <si>
    <t xml:space="preserve">dark rum</t>
  </si>
  <si>
    <t xml:space="preserve">tiki cocktail</t>
  </si>
  <si>
    <t xml:space="preserve">A tiki rum cocktail with almond syrup</t>
  </si>
  <si>
    <t xml:space="preserve">lime; orgeat; orange curaçao; dark rum</t>
  </si>
  <si>
    <t xml:space="preserve">https://commons.wikimedia.org/w/index.php?search=Mai+Tai+drink&amp;title=Special:MediaSearch&amp;type=image</t>
  </si>
  <si>
    <t xml:space="preserve">https://thumb.wikimedia.org/wikipedia/commons/thumb/1/13/Mai_Tai_at_Trader_Vic%27s_Emeryville.jpg/1280px-Mai_Tai_at_Trader_Vic%27s_Emeryville.jpg</t>
  </si>
  <si>
    <t xml:space="preserve">Kevdo</t>
  </si>
  <si>
    <t xml:space="preserve">B0014</t>
  </si>
  <si>
    <t xml:space="preserve">Long Island Iced Tea</t>
  </si>
  <si>
    <t xml:space="preserve">rum</t>
  </si>
  <si>
    <t xml:space="preserve">cola</t>
  </si>
  <si>
    <t xml:space="preserve">tastes like tea</t>
  </si>
  <si>
    <t xml:space="preserve">no tea</t>
  </si>
  <si>
    <t xml:space="preserve">A strong mix of four spirits topped with cola</t>
  </si>
  <si>
    <t xml:space="preserve">rum; tequila; gin; cola</t>
  </si>
  <si>
    <t xml:space="preserve">tastes like tea; no tea</t>
  </si>
  <si>
    <t xml:space="preserve">https://commons.wikimedia.org/w/index.php?search=Long+Island+Iced+Tea+drink&amp;title=Special:MediaSearch&amp;type=image</t>
  </si>
  <si>
    <t xml:space="preserve">B0015</t>
  </si>
  <si>
    <t xml:space="preserve">Aperol Spritz</t>
  </si>
  <si>
    <t xml:space="preserve">Wine glass</t>
  </si>
  <si>
    <t xml:space="preserve">orange slice</t>
  </si>
  <si>
    <t xml:space="preserve">prosecco</t>
  </si>
  <si>
    <t xml:space="preserve">Italian aperitivo</t>
  </si>
  <si>
    <t xml:space="preserve">aperol</t>
  </si>
  <si>
    <t xml:space="preserve">Italy's orange aperitivo with prosecco and soda</t>
  </si>
  <si>
    <t xml:space="preserve">soda water; orange slice; prosecco; aperol</t>
  </si>
  <si>
    <t xml:space="preserve">https://commons.wikimedia.org/w/index.php?search=Aperol+Spritz+drink&amp;title=Special:MediaSearch&amp;type=image</t>
  </si>
  <si>
    <t xml:space="preserve">https://thumb.wikimedia.org/wikipedia/commons/thumb/5/5f/Aperol_Spritz_aboard_Viking_Mariella.jpg/1280px-Aperol_Spritz_aboard_Viking_Mariella.jpg</t>
  </si>
  <si>
    <t xml:space="preserve">JIP</t>
  </si>
  <si>
    <t xml:space="preserve">B0016</t>
  </si>
  <si>
    <t xml:space="preserve">Caipirinha</t>
  </si>
  <si>
    <t xml:space="preserve">muddled lime</t>
  </si>
  <si>
    <t xml:space="preserve">cachaça</t>
  </si>
  <si>
    <t xml:space="preserve">Brazil's national cocktail</t>
  </si>
  <si>
    <t xml:space="preserve">crushed ice</t>
  </si>
  <si>
    <t xml:space="preserve">Brazil's cachaça and lime cocktail</t>
  </si>
  <si>
    <t xml:space="preserve">cachaça; sugar</t>
  </si>
  <si>
    <t xml:space="preserve">https://commons.wikimedia.org/w/index.php?search=Caipirinha+drink&amp;title=Special:MediaSearch&amp;type=image</t>
  </si>
  <si>
    <t xml:space="preserve">https://thumb.wikimedia.org/wikipedia/commons/thumb/0/01/Caipirinha_with_lime.jpg/1280px-Caipirinha_with_lime.jpg</t>
  </si>
  <si>
    <t xml:space="preserve">rawpixel.com</t>
  </si>
  <si>
    <t xml:space="preserve">B0017</t>
  </si>
  <si>
    <t xml:space="preserve">Pisco Sour</t>
  </si>
  <si>
    <t xml:space="preserve">pisco</t>
  </si>
  <si>
    <t xml:space="preserve">Peru's frothy brandy sour</t>
  </si>
  <si>
    <t xml:space="preserve">lime; angostura bitters; egg white; pisco</t>
  </si>
  <si>
    <t xml:space="preserve">frothy sour; pisco</t>
  </si>
  <si>
    <t xml:space="preserve">Peru and Chile both claim it</t>
  </si>
  <si>
    <t xml:space="preserve">https://commons.wikimedia.org/w/index.php?search=Pisco+Sour+drink&amp;title=Special:MediaSearch&amp;type=image</t>
  </si>
  <si>
    <t xml:space="preserve">https://thumb.wikimedia.org/wikipedia/commons/thumb/2/27/Pisco_sour_20100613b.JPG/1280px-Pisco_sour_20100613b.JPG</t>
  </si>
  <si>
    <t xml:space="preserve">B0018</t>
  </si>
  <si>
    <t xml:space="preserve">Espresso Martini</t>
  </si>
  <si>
    <t xml:space="preserve">coffee liqueur</t>
  </si>
  <si>
    <t xml:space="preserve">coffee cocktail</t>
  </si>
  <si>
    <t xml:space="preserve">London</t>
  </si>
  <si>
    <t xml:space="preserve">fresh espresso</t>
  </si>
  <si>
    <t xml:space="preserve">A vodka and coffee cocktail</t>
  </si>
  <si>
    <t xml:space="preserve">coffee liqueur; vodka; fresh espresso</t>
  </si>
  <si>
    <t xml:space="preserve">https://commons.wikimedia.org/w/index.php?search=Espresso+Martini+drink&amp;title=Special:MediaSearch&amp;type=image</t>
  </si>
  <si>
    <t xml:space="preserve">https://thumb.wikimedia.org/wikipedia/commons/thumb/5/55/Bistrot_Bruno_Loubet%2C_Clerkenwell%2C_London_%284574785649%29.jpg/1280px-Bistrot_Bruno_Loubet%2C_Clerkenwell%2C_London_%284574785649%29.jpg</t>
  </si>
  <si>
    <t xml:space="preserve">B0019</t>
  </si>
  <si>
    <t xml:space="preserve">Gin and Tonic</t>
  </si>
  <si>
    <t xml:space="preserve">Highball or copa</t>
  </si>
  <si>
    <t xml:space="preserve">tonic water</t>
  </si>
  <si>
    <t xml:space="preserve">A juniper spirit topped with quinine mixer</t>
  </si>
  <si>
    <t xml:space="preserve">lime; juniper; gin; tonic water</t>
  </si>
  <si>
    <t xml:space="preserve">gin; tonic water</t>
  </si>
  <si>
    <t xml:space="preserve">https://commons.wikimedia.org/w/index.php?search=Gin+and+Tonic+drink&amp;title=Special:MediaSearch&amp;type=image</t>
  </si>
  <si>
    <t xml:space="preserve">B0020</t>
  </si>
  <si>
    <t xml:space="preserve">Tom Collins</t>
  </si>
  <si>
    <t xml:space="preserve">Collins glass</t>
  </si>
  <si>
    <t xml:space="preserve">tall gin fizz</t>
  </si>
  <si>
    <t xml:space="preserve">fizzy</t>
  </si>
  <si>
    <t xml:space="preserve">A tall, fizzy gin and lemon drink</t>
  </si>
  <si>
    <t xml:space="preserve">soda water; lemon; gin</t>
  </si>
  <si>
    <t xml:space="preserve">https://commons.wikimedia.org/w/index.php?search=Tom+Collins+drink&amp;title=Special:MediaSearch&amp;type=image</t>
  </si>
  <si>
    <t xml:space="preserve">B0021</t>
  </si>
  <si>
    <t xml:space="preserve">Sex on the Beach</t>
  </si>
  <si>
    <t xml:space="preserve">orange juice</t>
  </si>
  <si>
    <t xml:space="preserve">peach schnapps</t>
  </si>
  <si>
    <t xml:space="preserve">fruity vodka cocktail</t>
  </si>
  <si>
    <t xml:space="preserve">A fruity vodka cocktail with peach and cranberry</t>
  </si>
  <si>
    <t xml:space="preserve">cranberry juice; orange juice; peach schnapps; vodka</t>
  </si>
  <si>
    <t xml:space="preserve">https://commons.wikimedia.org/w/index.php?search=Sex+on+the+Beach+drink&amp;title=Special:MediaSearch&amp;type=image</t>
  </si>
  <si>
    <t xml:space="preserve">https://thumb.wikimedia.org/wikipedia/commons/thumb/a/a2/Sex_On_The_Beach.jpg/1280px-Sex_On_The_Beach.jpg</t>
  </si>
  <si>
    <t xml:space="preserve">Stuart Webster from Southampton, England</t>
  </si>
  <si>
    <t xml:space="preserve">B0022</t>
  </si>
  <si>
    <t xml:space="preserve">Tequila Sunrise</t>
  </si>
  <si>
    <t xml:space="preserve">grenadine</t>
  </si>
  <si>
    <t xml:space="preserve">sunset colours</t>
  </si>
  <si>
    <t xml:space="preserve">An agave spirit with orange juice and sinking grenadine</t>
  </si>
  <si>
    <t xml:space="preserve">orange juice; grenadine; tequila</t>
  </si>
  <si>
    <t xml:space="preserve">https://commons.wikimedia.org/w/index.php?search=Tequila+Sunrise+drink&amp;title=Special:MediaSearch&amp;type=image</t>
  </si>
  <si>
    <t xml:space="preserve">B0023</t>
  </si>
  <si>
    <t xml:space="preserve">Bellini</t>
  </si>
  <si>
    <t xml:space="preserve">Flute</t>
  </si>
  <si>
    <t xml:space="preserve">chilled</t>
  </si>
  <si>
    <t xml:space="preserve">white peach purée</t>
  </si>
  <si>
    <t xml:space="preserve">peach and bubbles</t>
  </si>
  <si>
    <t xml:space="preserve">Venice</t>
  </si>
  <si>
    <t xml:space="preserve">Venice's peach and prosecco cocktail</t>
  </si>
  <si>
    <t xml:space="preserve">prosecco; white peach purée</t>
  </si>
  <si>
    <t xml:space="preserve">https://commons.wikimedia.org/w/index.php?search=Bellini+drink&amp;title=Special:MediaSearch&amp;type=image</t>
  </si>
  <si>
    <t xml:space="preserve">B0024</t>
  </si>
  <si>
    <t xml:space="preserve">Mimosa</t>
  </si>
  <si>
    <t xml:space="preserve">brunch</t>
  </si>
  <si>
    <t xml:space="preserve">sparkling wine</t>
  </si>
  <si>
    <t xml:space="preserve">brunch drink</t>
  </si>
  <si>
    <t xml:space="preserve">bubbles</t>
  </si>
  <si>
    <t xml:space="preserve">Sparkling wine with orange juice</t>
  </si>
  <si>
    <t xml:space="preserve">sparkling wine; orange juice</t>
  </si>
  <si>
    <t xml:space="preserve">https://commons.wikimedia.org/w/index.php?search=Mimosa+drink&amp;title=Special:MediaSearch&amp;type=image</t>
  </si>
  <si>
    <t xml:space="preserve">https://thumb.wikimedia.org/wikipedia/commons/thumb/5/51/Mimosa_flowers_01.jpg/1280px-Mimosa_flowers_01.jpg</t>
  </si>
  <si>
    <t xml:space="preserve">This work was made by Nafiur Rahman and released under the license(s) stated below. Please feel free to use it for any purpose as long as you credit Nafiur Rahman as author and follow the terms of the chosen license. If you use this work outside of the Wikimedia projects, I would very much like to get a note from you. Thanks!</t>
  </si>
  <si>
    <t xml:space="preserve">B0025</t>
  </si>
  <si>
    <t xml:space="preserve">French 75</t>
  </si>
  <si>
    <t xml:space="preserve">champagne</t>
  </si>
  <si>
    <t xml:space="preserve">gin and bubbles</t>
  </si>
  <si>
    <t xml:space="preserve">flute</t>
  </si>
  <si>
    <t xml:space="preserve">World War I</t>
  </si>
  <si>
    <t xml:space="preserve">A gin, lemon and champagne cocktail</t>
  </si>
  <si>
    <t xml:space="preserve">lemon; gin; champagne</t>
  </si>
  <si>
    <t xml:space="preserve">https://commons.wikimedia.org/w/index.php?search=French+75+drink&amp;title=Special:MediaSearch&amp;type=image</t>
  </si>
  <si>
    <t xml:space="preserve">B0026</t>
  </si>
  <si>
    <t xml:space="preserve">Sidecar</t>
  </si>
  <si>
    <t xml:space="preserve">sugar rim</t>
  </si>
  <si>
    <t xml:space="preserve">cognac</t>
  </si>
  <si>
    <t xml:space="preserve">brandy sour</t>
  </si>
  <si>
    <t xml:space="preserve">A brandy, orange liqueur and lemon cocktail</t>
  </si>
  <si>
    <t xml:space="preserve">lemon; triple sec; cognac</t>
  </si>
  <si>
    <t xml:space="preserve">https://commons.wikimedia.org/w/index.php?search=Sidecar+drink&amp;title=Special:MediaSearch&amp;type=image</t>
  </si>
  <si>
    <t xml:space="preserve">B0027</t>
  </si>
  <si>
    <t xml:space="preserve">Gimlet</t>
  </si>
  <si>
    <t xml:space="preserve">lime cordial</t>
  </si>
  <si>
    <t xml:space="preserve">gin sour</t>
  </si>
  <si>
    <t xml:space="preserve">British navy</t>
  </si>
  <si>
    <t xml:space="preserve">A gin and lime cordial cocktail</t>
  </si>
  <si>
    <t xml:space="preserve">lime cordial; gin</t>
  </si>
  <si>
    <t xml:space="preserve">https://commons.wikimedia.org/w/index.php?search=Gimlet+drink&amp;title=Special:MediaSearch&amp;type=image</t>
  </si>
  <si>
    <t xml:space="preserve">B0028</t>
  </si>
  <si>
    <t xml:space="preserve">Dark 'n' Stormy</t>
  </si>
  <si>
    <t xml:space="preserve">Bermuda</t>
  </si>
  <si>
    <t xml:space="preserve">spicy ginger</t>
  </si>
  <si>
    <t xml:space="preserve">Bermuda's rum and ginger beer highball</t>
  </si>
  <si>
    <t xml:space="preserve">lime; ginger beer; dark rum</t>
  </si>
  <si>
    <t xml:space="preserve">https://commons.wikimedia.org/w/index.php?search=Dark+%27n%27+Stormy+drink&amp;title=Special:MediaSearch&amp;type=image</t>
  </si>
  <si>
    <t xml:space="preserve">B0029</t>
  </si>
  <si>
    <t xml:space="preserve">Paloma</t>
  </si>
  <si>
    <t xml:space="preserve">grapefruit soda</t>
  </si>
  <si>
    <t xml:space="preserve">grapefruit highball</t>
  </si>
  <si>
    <t xml:space="preserve">Mexico's tequila and grapefruit soda highball</t>
  </si>
  <si>
    <t xml:space="preserve">lime; grapefruit soda; tequila</t>
  </si>
  <si>
    <t xml:space="preserve">https://commons.wikimedia.org/w/index.php?search=Paloma+drink&amp;title=Special:MediaSearch&amp;type=image</t>
  </si>
  <si>
    <t xml:space="preserve">B0030</t>
  </si>
  <si>
    <t xml:space="preserve">White Russian</t>
  </si>
  <si>
    <t xml:space="preserve">creamy coffee cocktail</t>
  </si>
  <si>
    <t xml:space="preserve">The Big Lebowski</t>
  </si>
  <si>
    <t xml:space="preserve">A vodka, coffee liqueur and cream cocktail</t>
  </si>
  <si>
    <t xml:space="preserve">cream; coffee liqueur; vodka</t>
  </si>
  <si>
    <t xml:space="preserve">https://commons.wikimedia.org/w/index.php?search=White+Russian+drink&amp;title=Special:MediaSearch&amp;type=image</t>
  </si>
  <si>
    <t xml:space="preserve">B0032</t>
  </si>
  <si>
    <t xml:space="preserve">Irish Coffee</t>
  </si>
  <si>
    <t xml:space="preserve">Irish coffee glass</t>
  </si>
  <si>
    <t xml:space="preserve">cream float</t>
  </si>
  <si>
    <t xml:space="preserve">brown sugar</t>
  </si>
  <si>
    <t xml:space="preserve">hot coffee</t>
  </si>
  <si>
    <t xml:space="preserve">irish whiskey</t>
  </si>
  <si>
    <t xml:space="preserve">Hot coffee with whiskey, topped with cream</t>
  </si>
  <si>
    <t xml:space="preserve">cream float; brown sugar; hot coffee; irish whiskey</t>
  </si>
  <si>
    <t xml:space="preserve">hot coffee; irish whiskey</t>
  </si>
  <si>
    <t xml:space="preserve">https://commons.wikimedia.org/w/index.php?search=Irish+Coffee+drink&amp;title=Special:MediaSearch&amp;type=image</t>
  </si>
  <si>
    <t xml:space="preserve">https://thumb.wikimedia.org/wikipedia/commons/thumb/6/61/Irish_coffee_glass.jpg/1280px-Irish_coffee_glass.jpg</t>
  </si>
  <si>
    <t xml:space="preserve">jules / stone soup</t>
  </si>
  <si>
    <t xml:space="preserve">B0033</t>
  </si>
  <si>
    <t xml:space="preserve">Mint Julep</t>
  </si>
  <si>
    <t xml:space="preserve">Julep cup</t>
  </si>
  <si>
    <t xml:space="preserve">silver cup</t>
  </si>
  <si>
    <t xml:space="preserve">Kentucky Derby</t>
  </si>
  <si>
    <t xml:space="preserve">Kentucky's bourbon drink with a fresh herb</t>
  </si>
  <si>
    <t xml:space="preserve">bourbon; crushed ice; sugar; mint</t>
  </si>
  <si>
    <t xml:space="preserve">https://commons.wikimedia.org/w/index.php?search=Mint+Julep+drink&amp;title=Special:MediaSearch&amp;type=image</t>
  </si>
  <si>
    <t xml:space="preserve">https://thumb.wikimedia.org/wikipedia/commons/thumb/5/55/Mint_Julep_im_Silberbecher.jpg/1280px-Mint_Julep_im_Silberbecher.jpg</t>
  </si>
  <si>
    <t xml:space="preserve">Cocktailmarler</t>
  </si>
  <si>
    <t xml:space="preserve">B0039</t>
  </si>
  <si>
    <t xml:space="preserve">Blue Lagoon</t>
  </si>
  <si>
    <t xml:space="preserve">lemonade</t>
  </si>
  <si>
    <t xml:space="preserve">neon colour</t>
  </si>
  <si>
    <t xml:space="preserve">blue curaçao</t>
  </si>
  <si>
    <t xml:space="preserve">A bright electric-coloured vodka cocktail</t>
  </si>
  <si>
    <t xml:space="preserve">lemonade; vodka; blue curaçao</t>
  </si>
  <si>
    <t xml:space="preserve">https://commons.wikimedia.org/w/index.php?search=Blue+Lagoon+drink&amp;title=Special:MediaSearch&amp;type=image</t>
  </si>
  <si>
    <t xml:space="preserve">B0041</t>
  </si>
  <si>
    <t xml:space="preserve">Singapore Sling</t>
  </si>
  <si>
    <t xml:space="preserve">Hurricane glass</t>
  </si>
  <si>
    <t xml:space="preserve">benedictine</t>
  </si>
  <si>
    <t xml:space="preserve">cherry heering</t>
  </si>
  <si>
    <t xml:space="preserve">pink gin cocktail</t>
  </si>
  <si>
    <t xml:space="preserve">Raffles Hotel</t>
  </si>
  <si>
    <t xml:space="preserve">Singapore's fruity pink gin cocktail</t>
  </si>
  <si>
    <t xml:space="preserve">grenadine; benedictine; cherry heering; gin</t>
  </si>
  <si>
    <t xml:space="preserve">https://commons.wikimedia.org/w/index.php?search=Singapore+Sling+drink&amp;title=Special:MediaSearch&amp;type=image</t>
  </si>
  <si>
    <t xml:space="preserve">https://thumb.wikimedia.org/wikipedia/commons/thumb/2/20/Singapore_Sling_and_peanuts_at_the_Raffles_Hotel_Long_Bar_in_Singapore.jpg/1280px-Singapore_Sling_and_peanuts_at_the_Raffles_Hotel_Long_Bar_in_Singapore.jpg</t>
  </si>
  <si>
    <t xml:space="preserve">Paul2520</t>
  </si>
  <si>
    <t xml:space="preserve">B0050</t>
  </si>
  <si>
    <t xml:space="preserve">Vesper</t>
  </si>
  <si>
    <t xml:space="preserve">lemon twist</t>
  </si>
  <si>
    <t xml:space="preserve">lillet</t>
  </si>
  <si>
    <t xml:space="preserve">Bond's martini</t>
  </si>
  <si>
    <t xml:space="preserve">A martini of gin, vodka and Lillet</t>
  </si>
  <si>
    <t xml:space="preserve">lemon twist; lillet; vodka; gin</t>
  </si>
  <si>
    <t xml:space="preserve">https://commons.wikimedia.org/w/index.php?search=Vesper+drink&amp;title=Special:MediaSearch&amp;type=image</t>
  </si>
  <si>
    <t xml:space="preserve">B0062</t>
  </si>
  <si>
    <t xml:space="preserve">Michelada</t>
  </si>
  <si>
    <t xml:space="preserve">Pint glass</t>
  </si>
  <si>
    <t xml:space="preserve">beer</t>
  </si>
  <si>
    <t xml:space="preserve">spiced beer cocktail</t>
  </si>
  <si>
    <t xml:space="preserve">Mexico's spiced, salted beer with lime</t>
  </si>
  <si>
    <t xml:space="preserve">hot sauce; Worcestershire sauce; tomato juice; beer</t>
  </si>
  <si>
    <t xml:space="preserve">https://commons.wikimedia.org/w/index.php?search=Michelada+drink&amp;title=Special:MediaSearch&amp;type=image</t>
  </si>
  <si>
    <t xml:space="preserve">B0063</t>
  </si>
  <si>
    <t xml:space="preserve">Sangria</t>
  </si>
  <si>
    <t xml:space="preserve">Pitcher</t>
  </si>
  <si>
    <t xml:space="preserve">brandy</t>
  </si>
  <si>
    <t xml:space="preserve">fruity wine punch</t>
  </si>
  <si>
    <t xml:space="preserve">Spain's fruity red wine punch</t>
  </si>
  <si>
    <t xml:space="preserve">orange; apple; brandy; red wine</t>
  </si>
  <si>
    <t xml:space="preserve">https://commons.wikimedia.org/w/index.php?search=Sangria+drink&amp;title=Special:MediaSearch&amp;type=image</t>
  </si>
  <si>
    <t xml:space="preserve">B0067</t>
  </si>
  <si>
    <t xml:space="preserve">Pimm's Cup</t>
  </si>
  <si>
    <t xml:space="preserve">Wimbledon</t>
  </si>
  <si>
    <t xml:space="preserve">pimm's no.1</t>
  </si>
  <si>
    <t xml:space="preserve">Britain's summer fruit punch with lemonade</t>
  </si>
  <si>
    <t xml:space="preserve">strawberries; mint; lemonade; pimm's no.1</t>
  </si>
  <si>
    <t xml:space="preserve">https://commons.wikimedia.org/w/index.php?search=Pimm%27s+Cup+drink&amp;title=Special:MediaSearch&amp;type=image</t>
  </si>
  <si>
    <t xml:space="preserve">B0068</t>
  </si>
  <si>
    <t xml:space="preserve">Hot Toddy</t>
  </si>
  <si>
    <t xml:space="preserve">Mug</t>
  </si>
  <si>
    <t xml:space="preserve">hot whisky drink for colds</t>
  </si>
  <si>
    <t xml:space="preserve">hot water</t>
  </si>
  <si>
    <t xml:space="preserve">A hot whisky drink with honey and lemon</t>
  </si>
  <si>
    <t xml:space="preserve">cloves; lemon; honey; whisky; hot water</t>
  </si>
  <si>
    <t xml:space="preserve">hot whisky drink for colds; hot water</t>
  </si>
  <si>
    <t xml:space="preserve">https://commons.wikimedia.org/w/index.php?search=Hot+Toddy+drink&amp;title=Special:MediaSearch&amp;type=image</t>
  </si>
  <si>
    <t xml:space="preserve">B0069</t>
  </si>
  <si>
    <t xml:space="preserve">Mulled Wine</t>
  </si>
  <si>
    <t xml:space="preserve">Glühwein</t>
  </si>
  <si>
    <t xml:space="preserve">hot spiced wine</t>
  </si>
  <si>
    <t xml:space="preserve">Christmas markets</t>
  </si>
  <si>
    <t xml:space="preserve">hot red wine</t>
  </si>
  <si>
    <t xml:space="preserve">Hot red wine spiced for winter</t>
  </si>
  <si>
    <t xml:space="preserve">cinnamon; orange; star anise; hot red wine</t>
  </si>
  <si>
    <t xml:space="preserve">hot spiced wine; hot red wine</t>
  </si>
  <si>
    <t xml:space="preserve">https://commons.wikimedia.org/w/index.php?search=Mulled+Wine+drink&amp;title=Special:MediaSearch&amp;type=image</t>
  </si>
  <si>
    <t xml:space="preserve">https://thumb.wikimedia.org/wikipedia/commons/thumb/7/77/Gl%C3%BChwein_Weinnachtsmarkt_OS.JPG/1280px-Gl%C3%BChwein_Weinnachtsmarkt_OS.JPG</t>
  </si>
  <si>
    <t xml:space="preserve">Basotxerri</t>
  </si>
  <si>
    <t xml:space="preserve">B0070</t>
  </si>
  <si>
    <t xml:space="preserve">Eggnog</t>
  </si>
  <si>
    <t xml:space="preserve">Punch cup</t>
  </si>
  <si>
    <t xml:space="preserve">A creamy, spiced egg drink for Christmas</t>
  </si>
  <si>
    <t xml:space="preserve">cream; egg; nutmeg; bourbon</t>
  </si>
  <si>
    <t xml:space="preserve">https://commons.wikimedia.org/w/index.php?search=Eggnog+drink&amp;title=Special:MediaSearch&amp;type=image</t>
  </si>
  <si>
    <t xml:space="preserve">B0072</t>
  </si>
  <si>
    <t xml:space="preserve">Pornstar Martini</t>
  </si>
  <si>
    <t xml:space="preserve">passoa</t>
  </si>
  <si>
    <t xml:space="preserve">passion fruit</t>
  </si>
  <si>
    <t xml:space="preserve">prosecco shot</t>
  </si>
  <si>
    <t xml:space="preserve">A passion fruit vodka cocktail with a prosecco shot</t>
  </si>
  <si>
    <t xml:space="preserve">lime; passoa; vodka; passion fruit; prosecco shot</t>
  </si>
  <si>
    <t xml:space="preserve">https://commons.wikimedia.org/w/index.php?search=Pornstar+Martini+drink&amp;title=Special:MediaSearch&amp;type=image</t>
  </si>
  <si>
    <t xml:space="preserve">B0077</t>
  </si>
  <si>
    <t xml:space="preserve">B-52</t>
  </si>
  <si>
    <t xml:space="preserve">Shot glass</t>
  </si>
  <si>
    <t xml:space="preserve">grand marnier</t>
  </si>
  <si>
    <t xml:space="preserve">irish cream</t>
  </si>
  <si>
    <t xml:space="preserve">layered shot</t>
  </si>
  <si>
    <t xml:space="preserve">A three-layer coffee and cream liqueur shot</t>
  </si>
  <si>
    <t xml:space="preserve">grand marnier; irish cream; coffee liqueur</t>
  </si>
  <si>
    <t xml:space="preserve">https://commons.wikimedia.org/w/index.php?search=B-52+drink&amp;title=Special:MediaSearch&amp;type=image</t>
  </si>
  <si>
    <t xml:space="preserve">https://thumb.wikimedia.org/wikipedia/commons/thumb/1/16/B-52_Stratofortress_assigned_to_the_307th_Bomb_Wing_%28cropped%29.jpg/1280px-B-52_Stratofortress_assigned_to_the_307th_Bomb_Wing_%28cropped%29.jpg</t>
  </si>
  <si>
    <t xml:space="preserve">Airman 1st Class Victor J. Caputo</t>
  </si>
  <si>
    <t xml:space="preserve">B0078</t>
  </si>
  <si>
    <t xml:space="preserve">Jägerbomb</t>
  </si>
  <si>
    <t xml:space="preserve">Shot in glass</t>
  </si>
  <si>
    <t xml:space="preserve">dropped</t>
  </si>
  <si>
    <t xml:space="preserve">energy drink</t>
  </si>
  <si>
    <t xml:space="preserve">jägermeister</t>
  </si>
  <si>
    <t xml:space="preserve">party shot</t>
  </si>
  <si>
    <t xml:space="preserve">A herbal liqueur shot dropped into energy drink</t>
  </si>
  <si>
    <t xml:space="preserve">energy drink; jägermeister</t>
  </si>
  <si>
    <t xml:space="preserve">https://commons.wikimedia.org/w/index.php?search=J%C3%A4gerbomb+drink&amp;title=Special:MediaSearch&amp;type=image</t>
  </si>
  <si>
    <t xml:space="preserve">B0080</t>
  </si>
  <si>
    <t xml:space="preserve">Sake</t>
  </si>
  <si>
    <t xml:space="preserve">Ochoko cup</t>
  </si>
  <si>
    <t xml:space="preserve">koji</t>
  </si>
  <si>
    <t xml:space="preserve">polished</t>
  </si>
  <si>
    <t xml:space="preserve">rice wine</t>
  </si>
  <si>
    <t xml:space="preserve">Japan's brewed rice wine</t>
  </si>
  <si>
    <t xml:space="preserve">rice; koji; polished</t>
  </si>
  <si>
    <t xml:space="preserve">https://commons.wikimedia.org/w/index.php?search=Sake+drink&amp;title=Special:MediaSearch&amp;type=image</t>
  </si>
  <si>
    <t xml:space="preserve">https://thumb.wikimedia.org/wikipedia/commons/thumb/1/13/Overflowing_sake_glass_in_masu.jpg/1280px-Overflowing_sake_glass_in_masu.jpg</t>
  </si>
  <si>
    <t xml:space="preserve">Intforce</t>
  </si>
  <si>
    <t xml:space="preserve">B0081</t>
  </si>
  <si>
    <t xml:space="preserve">Soju</t>
  </si>
  <si>
    <t xml:space="preserve">ethanol</t>
  </si>
  <si>
    <t xml:space="preserve">green bottle</t>
  </si>
  <si>
    <t xml:space="preserve">clear spirit</t>
  </si>
  <si>
    <t xml:space="preserve">Korea's clear spirit drunk with food</t>
  </si>
  <si>
    <t xml:space="preserve">rice; ethanol; sweet potato</t>
  </si>
  <si>
    <t xml:space="preserve">https://commons.wikimedia.org/w/index.php?search=Soju+drink&amp;title=Special:MediaSearch&amp;type=image</t>
  </si>
  <si>
    <t xml:space="preserve">B0082</t>
  </si>
  <si>
    <t xml:space="preserve">Baijiu</t>
  </si>
  <si>
    <t xml:space="preserve">Small cup</t>
  </si>
  <si>
    <t xml:space="preserve">sorghum</t>
  </si>
  <si>
    <t xml:space="preserve">very strong</t>
  </si>
  <si>
    <t xml:space="preserve">strongest spirit</t>
  </si>
  <si>
    <t xml:space="preserve">Chinese</t>
  </si>
  <si>
    <t xml:space="preserve">Moutai</t>
  </si>
  <si>
    <t xml:space="preserve">China's strong sorghum spirit</t>
  </si>
  <si>
    <t xml:space="preserve">https://commons.wikimedia.org/w/index.php?search=Baijiu+drink&amp;title=Special:MediaSearch&amp;type=image</t>
  </si>
  <si>
    <t xml:space="preserve">B0083</t>
  </si>
  <si>
    <t xml:space="preserve">Makgeolli</t>
  </si>
  <si>
    <t xml:space="preserve">Bowl</t>
  </si>
  <si>
    <t xml:space="preserve">nuruk</t>
  </si>
  <si>
    <t xml:space="preserve">cloudy</t>
  </si>
  <si>
    <t xml:space="preserve">milky</t>
  </si>
  <si>
    <t xml:space="preserve">milky rice wine</t>
  </si>
  <si>
    <t xml:space="preserve">Korea's cloudy, milky rice wine</t>
  </si>
  <si>
    <t xml:space="preserve">rice; nuruk</t>
  </si>
  <si>
    <t xml:space="preserve">https://commons.wikimedia.org/w/index.php?search=Makgeolli+drink&amp;title=Special:MediaSearch&amp;type=image</t>
  </si>
  <si>
    <t xml:space="preserve">B0084</t>
  </si>
  <si>
    <t xml:space="preserve">Tequila</t>
  </si>
  <si>
    <t xml:space="preserve">distilled</t>
  </si>
  <si>
    <t xml:space="preserve">agave</t>
  </si>
  <si>
    <t xml:space="preserve">agave spirit</t>
  </si>
  <si>
    <t xml:space="preserve">Mexico's blue agave spirit</t>
  </si>
  <si>
    <t xml:space="preserve">lime; agave</t>
  </si>
  <si>
    <t xml:space="preserve">https://commons.wikimedia.org/w/index.php?search=Tequila+drink&amp;title=Special:MediaSearch&amp;type=image</t>
  </si>
  <si>
    <t xml:space="preserve">https://thumb.wikimedia.org/wikipedia/commons/thumb/b/b8/Paisaje_agavero_de_Jose_Cuervo_en_Tequila%2C_Jalisco.jpg/1280px-Paisaje_agavero_de_Jose_Cuervo_en_Tequila%2C_Jalisco.jpg</t>
  </si>
  <si>
    <t xml:space="preserve">T2O media México</t>
  </si>
  <si>
    <t xml:space="preserve">B0085</t>
  </si>
  <si>
    <t xml:space="preserve">Mezcal</t>
  </si>
  <si>
    <t xml:space="preserve">Copita</t>
  </si>
  <si>
    <t xml:space="preserve">smoky agave spirit</t>
  </si>
  <si>
    <t xml:space="preserve">Oaxaca</t>
  </si>
  <si>
    <t xml:space="preserve">Mexico's smoky agave spirit</t>
  </si>
  <si>
    <t xml:space="preserve">https://commons.wikimedia.org/w/index.php?search=Mezcal+drink&amp;title=Special:MediaSearch&amp;type=image</t>
  </si>
  <si>
    <t xml:space="preserve">https://thumb.wikimedia.org/wikipedia/commons/thumb/5/58/Mezcal_bottles_.jpg/1280px-Mezcal_bottles_.jpg</t>
  </si>
  <si>
    <t xml:space="preserve">ProtoplasmaKid</t>
  </si>
  <si>
    <t xml:space="preserve">B0086</t>
  </si>
  <si>
    <t xml:space="preserve">Pisco</t>
  </si>
  <si>
    <t xml:space="preserve">Small glass</t>
  </si>
  <si>
    <t xml:space="preserve">clear</t>
  </si>
  <si>
    <t xml:space="preserve">grape brandy</t>
  </si>
  <si>
    <t xml:space="preserve">Andes</t>
  </si>
  <si>
    <t xml:space="preserve">Peru and Chile</t>
  </si>
  <si>
    <t xml:space="preserve">Peru and Chile's clear grape brandy</t>
  </si>
  <si>
    <t xml:space="preserve">https://commons.wikimedia.org/w/index.php?search=Pisco+drink&amp;title=Special:MediaSearch&amp;type=image</t>
  </si>
  <si>
    <t xml:space="preserve">https://thumb.wikimedia.org/wikipedia/commons/thumb/c/c9/Range_of_Pisco.jpg/1280px-Range_of_Pisco.jpg</t>
  </si>
  <si>
    <t xml:space="preserve">B0088</t>
  </si>
  <si>
    <t xml:space="preserve">Ouzo</t>
  </si>
  <si>
    <t xml:space="preserve">louche</t>
  </si>
  <si>
    <t xml:space="preserve">mezze</t>
  </si>
  <si>
    <t xml:space="preserve">anise</t>
  </si>
  <si>
    <t xml:space="preserve">aniseed spirit</t>
  </si>
  <si>
    <t xml:space="preserve">Greece's anise spirit that turns cloudy with water</t>
  </si>
  <si>
    <t xml:space="preserve">https://commons.wikimedia.org/w/index.php?search=Ouzo+drink&amp;title=Special:MediaSearch&amp;type=image</t>
  </si>
  <si>
    <t xml:space="preserve">B0089</t>
  </si>
  <si>
    <t xml:space="preserve">Raki</t>
  </si>
  <si>
    <t xml:space="preserve">Tall thin glass</t>
  </si>
  <si>
    <t xml:space="preserve">grape</t>
  </si>
  <si>
    <t xml:space="preserve">lion's milk</t>
  </si>
  <si>
    <t xml:space="preserve">Turkey's anise spirit that turns milky with water</t>
  </si>
  <si>
    <t xml:space="preserve">grape; anise; lion's milk</t>
  </si>
  <si>
    <t xml:space="preserve">https://commons.wikimedia.org/w/index.php?search=Raki+drink&amp;title=Special:MediaSearch&amp;type=image</t>
  </si>
  <si>
    <t xml:space="preserve">B0091</t>
  </si>
  <si>
    <t xml:space="preserve">Grappa</t>
  </si>
  <si>
    <t xml:space="preserve">Tulip glass</t>
  </si>
  <si>
    <t xml:space="preserve">digestif</t>
  </si>
  <si>
    <t xml:space="preserve">grape pomace</t>
  </si>
  <si>
    <t xml:space="preserve">grape spirit</t>
  </si>
  <si>
    <t xml:space="preserve">Italy's spirit distilled from grape skins and seeds</t>
  </si>
  <si>
    <t xml:space="preserve">https://commons.wikimedia.org/w/index.php?search=Grappa+drink&amp;title=Special:MediaSearch&amp;type=image</t>
  </si>
  <si>
    <t xml:space="preserve">https://thumb.wikimedia.org/wikipedia/commons/thumb/4/4c/A_glass_of_tasty_grappa.jpg/1280px-A_glass_of_tasty_grappa.jpg</t>
  </si>
  <si>
    <t xml:space="preserve">Carsten Tolkmit from Kiel, Germany</t>
  </si>
  <si>
    <t xml:space="preserve">B0092</t>
  </si>
  <si>
    <t xml:space="preserve">Limoncello</t>
  </si>
  <si>
    <t xml:space="preserve">Chilled shot</t>
  </si>
  <si>
    <t xml:space="preserve">alcohol</t>
  </si>
  <si>
    <t xml:space="preserve">lemon zest</t>
  </si>
  <si>
    <t xml:space="preserve">lemon liqueur</t>
  </si>
  <si>
    <t xml:space="preserve">Amalfi</t>
  </si>
  <si>
    <t xml:space="preserve">Italy's sweet lemon liqueur</t>
  </si>
  <si>
    <t xml:space="preserve">alcohol; lemon zest</t>
  </si>
  <si>
    <t xml:space="preserve">https://commons.wikimedia.org/w/index.php?search=Limoncello+drink&amp;title=Special:MediaSearch&amp;type=image</t>
  </si>
  <si>
    <t xml:space="preserve">B0093</t>
  </si>
  <si>
    <t xml:space="preserve">Absinthe</t>
  </si>
  <si>
    <t xml:space="preserve">Absinthe glass</t>
  </si>
  <si>
    <t xml:space="preserve">slotted spoon</t>
  </si>
  <si>
    <t xml:space="preserve">green</t>
  </si>
  <si>
    <t xml:space="preserve">wormwood</t>
  </si>
  <si>
    <t xml:space="preserve">green fairy</t>
  </si>
  <si>
    <t xml:space="preserve">A strong green anise and wormwood spirit</t>
  </si>
  <si>
    <t xml:space="preserve">wormwood; anise</t>
  </si>
  <si>
    <t xml:space="preserve">Switzerland and France</t>
  </si>
  <si>
    <t xml:space="preserve">https://commons.wikimedia.org/w/index.php?search=Absinthe+drink&amp;title=Special:MediaSearch&amp;type=image</t>
  </si>
  <si>
    <t xml:space="preserve">B0095</t>
  </si>
  <si>
    <t xml:space="preserve">Cognac</t>
  </si>
  <si>
    <t xml:space="preserve">Snifter</t>
  </si>
  <si>
    <t xml:space="preserve">aged</t>
  </si>
  <si>
    <t xml:space="preserve">double distilled</t>
  </si>
  <si>
    <t xml:space="preserve">Charente</t>
  </si>
  <si>
    <t xml:space="preserve">France's aged grape brandy</t>
  </si>
  <si>
    <t xml:space="preserve">https://commons.wikimedia.org/w/index.php?search=Cognac+drink&amp;title=Special:MediaSearch&amp;type=image</t>
  </si>
  <si>
    <t xml:space="preserve">https://thumb.wikimedia.org/wikipedia/commons/thumb/9/9a/Cognac_glass.jpg/1280px-Cognac_glass.jpg</t>
  </si>
  <si>
    <t xml:space="preserve">Didier Descouens</t>
  </si>
  <si>
    <t xml:space="preserve">B0097</t>
  </si>
  <si>
    <t xml:space="preserve">Champagne</t>
  </si>
  <si>
    <t xml:space="preserve">second fermentation</t>
  </si>
  <si>
    <t xml:space="preserve">grapes</t>
  </si>
  <si>
    <t xml:space="preserve">Reims</t>
  </si>
  <si>
    <t xml:space="preserve">France's famous sparkling wine</t>
  </si>
  <si>
    <t xml:space="preserve">https://commons.wikimedia.org/w/index.php?search=Champagne+drink&amp;title=Special:MediaSearch&amp;type=image</t>
  </si>
  <si>
    <t xml:space="preserve">B0098</t>
  </si>
  <si>
    <t xml:space="preserve">Prosecco</t>
  </si>
  <si>
    <t xml:space="preserve">tank method</t>
  </si>
  <si>
    <t xml:space="preserve">glera grape</t>
  </si>
  <si>
    <t xml:space="preserve">Veneto</t>
  </si>
  <si>
    <t xml:space="preserve">Italy's sparkling wine from the Veneto</t>
  </si>
  <si>
    <t xml:space="preserve">https://commons.wikimedia.org/w/index.php?search=Prosecco+drink&amp;title=Special:MediaSearch&amp;type=image</t>
  </si>
  <si>
    <t xml:space="preserve">https://thumb.wikimedia.org/wikipedia/commons/thumb/c/ce/Prosecco_di_Conegliano_bottle_and_glass.jpg/1280px-Prosecco_di_Conegliano_bottle_and_glass.jpg</t>
  </si>
  <si>
    <t xml:space="preserve">Sandstein</t>
  </si>
  <si>
    <t xml:space="preserve">B0099</t>
  </si>
  <si>
    <t xml:space="preserve">Port</t>
  </si>
  <si>
    <t xml:space="preserve">fortified</t>
  </si>
  <si>
    <t xml:space="preserve">Douro</t>
  </si>
  <si>
    <t xml:space="preserve">Portugal's sweet fortified wine</t>
  </si>
  <si>
    <t xml:space="preserve">grape brandy; red wine</t>
  </si>
  <si>
    <t xml:space="preserve">https://commons.wikimedia.org/w/index.php?search=Port+drink&amp;title=Special:MediaSearch&amp;type=image</t>
  </si>
  <si>
    <t xml:space="preserve">https://thumb.wikimedia.org/wikipedia/commons/thumb/a/af/Manhattan.jpg/1280px-Manhattan.jpg</t>
  </si>
  <si>
    <t xml:space="preserve">Maureen from Buffalo, USA</t>
  </si>
  <si>
    <t xml:space="preserve">B0100</t>
  </si>
  <si>
    <t xml:space="preserve">Sherry</t>
  </si>
  <si>
    <t xml:space="preserve">flor</t>
  </si>
  <si>
    <t xml:space="preserve">solera</t>
  </si>
  <si>
    <t xml:space="preserve">palomino grape</t>
  </si>
  <si>
    <t xml:space="preserve">Jerez</t>
  </si>
  <si>
    <t xml:space="preserve">Spain's fortified wine</t>
  </si>
  <si>
    <t xml:space="preserve">https://commons.wikimedia.org/w/index.php?search=Sherry+drink&amp;title=Special:MediaSearch&amp;type=image</t>
  </si>
  <si>
    <t xml:space="preserve">B0104</t>
  </si>
  <si>
    <t xml:space="preserve">Scotch Whisky</t>
  </si>
  <si>
    <t xml:space="preserve">Glencairn</t>
  </si>
  <si>
    <t xml:space="preserve">oak</t>
  </si>
  <si>
    <t xml:space="preserve">peat</t>
  </si>
  <si>
    <t xml:space="preserve">malted barley</t>
  </si>
  <si>
    <t xml:space="preserve">Scotland's malt spirit</t>
  </si>
  <si>
    <t xml:space="preserve">peat; malted barley</t>
  </si>
  <si>
    <t xml:space="preserve">https://commons.wikimedia.org/w/index.php?search=Scotch+Whisky+drink&amp;title=Special:MediaSearch&amp;type=image</t>
  </si>
  <si>
    <t xml:space="preserve">https://thumb.wikimedia.org/wikipedia/commons/thumb/0/00/Bowmore_whisky_12_years.JPG/1280px-Bowmore_whisky_12_years.JPG</t>
  </si>
  <si>
    <t xml:space="preserve">Sansvase</t>
  </si>
  <si>
    <t xml:space="preserve">B0105</t>
  </si>
  <si>
    <t xml:space="preserve">Bourbon</t>
  </si>
  <si>
    <t xml:space="preserve">new charred oak</t>
  </si>
  <si>
    <t xml:space="preserve">corn</t>
  </si>
  <si>
    <t xml:space="preserve">whiskey</t>
  </si>
  <si>
    <t xml:space="preserve">Kentucky</t>
  </si>
  <si>
    <t xml:space="preserve">America's corn whiskey</t>
  </si>
  <si>
    <t xml:space="preserve">https://commons.wikimedia.org/w/index.php?search=Bourbon+drink&amp;title=Special:MediaSearch&amp;type=image</t>
  </si>
  <si>
    <t xml:space="preserve">B0106</t>
  </si>
  <si>
    <t xml:space="preserve">Irish Whiskey</t>
  </si>
  <si>
    <t xml:space="preserve">smooth</t>
  </si>
  <si>
    <t xml:space="preserve">triple distilled</t>
  </si>
  <si>
    <t xml:space="preserve">barley</t>
  </si>
  <si>
    <t xml:space="preserve">Jameson</t>
  </si>
  <si>
    <t xml:space="preserve">pot still</t>
  </si>
  <si>
    <t xml:space="preserve">Ireland's smooth triple-distilled spirit</t>
  </si>
  <si>
    <t xml:space="preserve">https://commons.wikimedia.org/w/index.php?search=Irish+Whiskey+drink&amp;title=Special:MediaSearch&amp;type=image</t>
  </si>
  <si>
    <t xml:space="preserve">https://thumb.wikimedia.org/wikipedia/commons/thumb/7/7a/GoodIrishWhiskeys.jpg/1280px-GoodIrishWhiskeys.jpg</t>
  </si>
  <si>
    <t xml:space="preserve">Hammersbach</t>
  </si>
  <si>
    <t xml:space="preserve">B0107</t>
  </si>
  <si>
    <t xml:space="preserve">Japanese Whisky</t>
  </si>
  <si>
    <t xml:space="preserve">mizunara oak</t>
  </si>
  <si>
    <t xml:space="preserve">Suntory</t>
  </si>
  <si>
    <t xml:space="preserve">Yamazaki</t>
  </si>
  <si>
    <t xml:space="preserve">Japan's oak-aged malt spirit</t>
  </si>
  <si>
    <t xml:space="preserve">https://commons.wikimedia.org/w/index.php?search=Japanese+Whisky+drink&amp;title=Special:MediaSearch&amp;type=image</t>
  </si>
  <si>
    <t xml:space="preserve">B0108</t>
  </si>
  <si>
    <t xml:space="preserve">Rum</t>
  </si>
  <si>
    <t xml:space="preserve">International</t>
  </si>
  <si>
    <t xml:space="preserve">molasses</t>
  </si>
  <si>
    <t xml:space="preserve">sugarcane</t>
  </si>
  <si>
    <t xml:space="preserve">The Caribbean's sugarcane spirit</t>
  </si>
  <si>
    <t xml:space="preserve">molasses; sugarcane</t>
  </si>
  <si>
    <t xml:space="preserve">Caribbean, many countries</t>
  </si>
  <si>
    <t xml:space="preserve">https://commons.wikimedia.org/w/index.php?search=Rum+drink&amp;title=Special:MediaSearch&amp;type=image</t>
  </si>
  <si>
    <t xml:space="preserve">B0109</t>
  </si>
  <si>
    <t xml:space="preserve">Gin</t>
  </si>
  <si>
    <t xml:space="preserve">Copa</t>
  </si>
  <si>
    <t xml:space="preserve">citrus peel</t>
  </si>
  <si>
    <t xml:space="preserve">botanicals</t>
  </si>
  <si>
    <t xml:space="preserve">neutral spirit</t>
  </si>
  <si>
    <t xml:space="preserve">juniper spirit</t>
  </si>
  <si>
    <t xml:space="preserve">The juniper-flavoured spirit</t>
  </si>
  <si>
    <t xml:space="preserve">citrus peel; botanicals; neutral spirit; juniper</t>
  </si>
  <si>
    <t xml:space="preserve">Dutch genever origin; modern London dry is British</t>
  </si>
  <si>
    <t xml:space="preserve">https://commons.wikimedia.org/w/index.php?search=Gin+drink&amp;title=Special:MediaSearch&amp;type=image</t>
  </si>
  <si>
    <t xml:space="preserve">B0110</t>
  </si>
  <si>
    <t xml:space="preserve">Vodka</t>
  </si>
  <si>
    <t xml:space="preserve">filtered</t>
  </si>
  <si>
    <t xml:space="preserve">grain</t>
  </si>
  <si>
    <t xml:space="preserve">clear neutral spirit</t>
  </si>
  <si>
    <t xml:space="preserve">Russian and Polish</t>
  </si>
  <si>
    <t xml:space="preserve">The clear, neutral spirit of Russia and Poland</t>
  </si>
  <si>
    <t xml:space="preserve">potato; grain</t>
  </si>
  <si>
    <t xml:space="preserve">Poland and Russia both claim it</t>
  </si>
  <si>
    <t xml:space="preserve">https://commons.wikimedia.org/w/index.php?search=Vodka+drink&amp;title=Special:MediaSearch&amp;type=image</t>
  </si>
  <si>
    <t xml:space="preserve">https://thumb.wikimedia.org/wikipedia/commons/thumb/d/de/Smirnoff_Red_Label_8213.jpg/1280px-Smirnoff_Red_Label_8213.jpg</t>
  </si>
  <si>
    <t xml:space="preserve">Ashley Pomeroy</t>
  </si>
  <si>
    <t xml:space="preserve">B0115</t>
  </si>
  <si>
    <t xml:space="preserve">Feni</t>
  </si>
  <si>
    <t xml:space="preserve">copper pot</t>
  </si>
  <si>
    <t xml:space="preserve">cashew apple</t>
  </si>
  <si>
    <t xml:space="preserve">cashew spirit</t>
  </si>
  <si>
    <t xml:space="preserve">Goa's cashew-apple spirit</t>
  </si>
  <si>
    <t xml:space="preserve">https://commons.wikimedia.org/w/index.php?search=Feni+drink&amp;title=Special:MediaSearch&amp;type=image</t>
  </si>
  <si>
    <t xml:space="preserve">B0117</t>
  </si>
  <si>
    <t xml:space="preserve">Toddy</t>
  </si>
  <si>
    <t xml:space="preserve">Kallu</t>
  </si>
  <si>
    <t xml:space="preserve">Clay pot</t>
  </si>
  <si>
    <t xml:space="preserve">wild yeast</t>
  </si>
  <si>
    <t xml:space="preserve">sap</t>
  </si>
  <si>
    <t xml:space="preserve">palm tree</t>
  </si>
  <si>
    <t xml:space="preserve">palm sap drink</t>
  </si>
  <si>
    <t xml:space="preserve">South India's fermented palm sap</t>
  </si>
  <si>
    <t xml:space="preserve">wild yeast; sap</t>
  </si>
  <si>
    <t xml:space="preserve">https://commons.wikimedia.org/w/index.php?search=Toddy+drink&amp;title=Special:MediaSearch&amp;type=image</t>
  </si>
  <si>
    <t xml:space="preserve">B0127</t>
  </si>
  <si>
    <t xml:space="preserve">Cider</t>
  </si>
  <si>
    <t xml:space="preserve">English</t>
  </si>
  <si>
    <t xml:space="preserve">orchard fruit</t>
  </si>
  <si>
    <t xml:space="preserve">pint glass</t>
  </si>
  <si>
    <t xml:space="preserve">West Country</t>
  </si>
  <si>
    <t xml:space="preserve">Britain's fermented apple drink</t>
  </si>
  <si>
    <t xml:space="preserve">https://commons.wikimedia.org/w/index.php?search=Cider+drink&amp;title=Special:MediaSearch&amp;type=image</t>
  </si>
  <si>
    <t xml:space="preserve">https://thumb.wikimedia.org/wikipedia/commons/thumb/6/61/Midwest_hard_cider.jpg/1280px-Midwest_hard_cider.jpg</t>
  </si>
  <si>
    <t xml:space="preserve">ChuckDabs</t>
  </si>
  <si>
    <t xml:space="preserve">B0128</t>
  </si>
  <si>
    <t xml:space="preserve">Kombucha</t>
  </si>
  <si>
    <t xml:space="preserve">Bottle</t>
  </si>
  <si>
    <t xml:space="preserve">tea</t>
  </si>
  <si>
    <t xml:space="preserve">scoby culture</t>
  </si>
  <si>
    <t xml:space="preserve">sour-sweet</t>
  </si>
  <si>
    <t xml:space="preserve">health drink</t>
  </si>
  <si>
    <t xml:space="preserve">Fizzy fermented tea</t>
  </si>
  <si>
    <t xml:space="preserve">Origin uncertain, often attributed to China or Russia</t>
  </si>
  <si>
    <t xml:space="preserve">https://commons.wikimedia.org/w/index.php?search=Kombucha+drink&amp;title=Special:MediaSearch&amp;type=image</t>
  </si>
  <si>
    <t xml:space="preserve">B0130</t>
  </si>
  <si>
    <t xml:space="preserve">Ayran</t>
  </si>
  <si>
    <t xml:space="preserve">Copper cup</t>
  </si>
  <si>
    <t xml:space="preserve">frothy</t>
  </si>
  <si>
    <t xml:space="preserve">salty yogurt drink</t>
  </si>
  <si>
    <t xml:space="preserve">Turkey's salty yogurt drink</t>
  </si>
  <si>
    <t xml:space="preserve">https://commons.wikimedia.org/w/index.php?search=Ayran+drink&amp;title=Special:MediaSearch&amp;type=image</t>
  </si>
  <si>
    <t xml:space="preserve">B0135</t>
  </si>
  <si>
    <t xml:space="preserve">Stout</t>
  </si>
  <si>
    <t xml:space="preserve">hops</t>
  </si>
  <si>
    <t xml:space="preserve">creamy head</t>
  </si>
  <si>
    <t xml:space="preserve">roasted barley</t>
  </si>
  <si>
    <t xml:space="preserve">dark</t>
  </si>
  <si>
    <t xml:space="preserve">dark beer</t>
  </si>
  <si>
    <t xml:space="preserve">Irish</t>
  </si>
  <si>
    <t xml:space="preserve">Ireland's dark, creamy beer</t>
  </si>
  <si>
    <t xml:space="preserve">hops; roasted barley</t>
  </si>
  <si>
    <t xml:space="preserve">https://commons.wikimedia.org/w/index.php?search=Stout+drink&amp;title=Special:MediaSearch&amp;type=image</t>
  </si>
  <si>
    <t xml:space="preserve">B0141</t>
  </si>
  <si>
    <t xml:space="preserve">Espresso</t>
  </si>
  <si>
    <t xml:space="preserve">Demitasse</t>
  </si>
  <si>
    <t xml:space="preserve">pressure</t>
  </si>
  <si>
    <t xml:space="preserve">finely ground</t>
  </si>
  <si>
    <t xml:space="preserve">coffee</t>
  </si>
  <si>
    <t xml:space="preserve">short strong coffee</t>
  </si>
  <si>
    <t xml:space="preserve">Italy's short, strong coffee</t>
  </si>
  <si>
    <t xml:space="preserve">crema; finely ground; coffee</t>
  </si>
  <si>
    <t xml:space="preserve">https://commons.wikimedia.org/w/index.php?search=Espresso+drink&amp;title=Special:MediaSearch&amp;type=image</t>
  </si>
  <si>
    <t xml:space="preserve">https://thumb.wikimedia.org/wikipedia/commons/thumb/a/a5/Tazzina_di_caff%C3%A8_a_Ventimiglia.jpg/1280px-Tazzina_di_caff%C3%A8_a_Ventimiglia.jpg</t>
  </si>
  <si>
    <t xml:space="preserve">Lemone</t>
  </si>
  <si>
    <t xml:space="preserve">B0142</t>
  </si>
  <si>
    <t xml:space="preserve">Cappuccino</t>
  </si>
  <si>
    <t xml:space="preserve">Cup</t>
  </si>
  <si>
    <t xml:space="preserve">cocoa dust</t>
  </si>
  <si>
    <t xml:space="preserve">steamed milk</t>
  </si>
  <si>
    <t xml:space="preserve">milk foam</t>
  </si>
  <si>
    <t xml:space="preserve">coffee with foam</t>
  </si>
  <si>
    <t xml:space="preserve">Italian breakfast</t>
  </si>
  <si>
    <t xml:space="preserve">Italy's espresso with foamed milk</t>
  </si>
  <si>
    <t xml:space="preserve">cocoa dust; espresso; steamed milk; milk foam</t>
  </si>
  <si>
    <t xml:space="preserve">https://commons.wikimedia.org/w/index.php?search=Cappuccino+drink&amp;title=Special:MediaSearch&amp;type=image</t>
  </si>
  <si>
    <t xml:space="preserve">https://thumb.wikimedia.org/wikipedia/commons/thumb/7/70/Cappuccino_in_original.jpg/1280px-Cappuccino_in_original.jpg</t>
  </si>
  <si>
    <t xml:space="preserve">Vee Satayamas</t>
  </si>
  <si>
    <t xml:space="preserve">B0143</t>
  </si>
  <si>
    <t xml:space="preserve">Latte</t>
  </si>
  <si>
    <t xml:space="preserve">Glass</t>
  </si>
  <si>
    <t xml:space="preserve">tall</t>
  </si>
  <si>
    <t xml:space="preserve">milky coffee</t>
  </si>
  <si>
    <t xml:space="preserve">latte art</t>
  </si>
  <si>
    <t xml:space="preserve">Italy's milky espresso drink</t>
  </si>
  <si>
    <t xml:space="preserve">espresso; steamed milk</t>
  </si>
  <si>
    <t xml:space="preserve">https://commons.wikimedia.org/w/index.php?search=Latte+drink&amp;title=Special:MediaSearch&amp;type=image</t>
  </si>
  <si>
    <t xml:space="preserve">https://thumb.wikimedia.org/wikipedia/commons/thumb/d/d8/Caffe_Latte_at_Pulse_Cafe.jpg/1280px-Caffe_Latte_at_Pulse_Cafe.jpg</t>
  </si>
  <si>
    <t xml:space="preserve">B adger1</t>
  </si>
  <si>
    <t xml:space="preserve">B0144</t>
  </si>
  <si>
    <t xml:space="preserve">Flat White</t>
  </si>
  <si>
    <t xml:space="preserve">double ristretto</t>
  </si>
  <si>
    <t xml:space="preserve">microfoam</t>
  </si>
  <si>
    <t xml:space="preserve">velvety coffee</t>
  </si>
  <si>
    <t xml:space="preserve">Australia's velvety espresso with microfoam</t>
  </si>
  <si>
    <t xml:space="preserve">double ristretto; microfoam; espresso; steamed milk</t>
  </si>
  <si>
    <t xml:space="preserve">https://commons.wikimedia.org/w/index.php?search=Flat+White+drink&amp;title=Special:MediaSearch&amp;type=image</t>
  </si>
  <si>
    <t xml:space="preserve">B0145</t>
  </si>
  <si>
    <t xml:space="preserve">Caffè Americano</t>
  </si>
  <si>
    <t xml:space="preserve">black</t>
  </si>
  <si>
    <t xml:space="preserve">long black</t>
  </si>
  <si>
    <t xml:space="preserve">Espresso topped up with hot water</t>
  </si>
  <si>
    <t xml:space="preserve">espresso; hot water</t>
  </si>
  <si>
    <t xml:space="preserve">https://commons.wikimedia.org/w/index.php?search=Caff%C3%A8+Americano+drink&amp;title=Special:MediaSearch&amp;type=image</t>
  </si>
  <si>
    <t xml:space="preserve">https://thumb.wikimedia.org/wikipedia/commons/thumb/4/41/Espresso_Americano.jpeg/1280px-Espresso_Americano.jpeg</t>
  </si>
  <si>
    <t xml:space="preserve">User:Sameer.siddhanti</t>
  </si>
  <si>
    <t xml:space="preserve">B0146</t>
  </si>
  <si>
    <t xml:space="preserve">Macchiato</t>
  </si>
  <si>
    <t xml:space="preserve">small</t>
  </si>
  <si>
    <t xml:space="preserve">stained</t>
  </si>
  <si>
    <t xml:space="preserve">milk foam dot</t>
  </si>
  <si>
    <t xml:space="preserve">Espresso with a dot of milk foam</t>
  </si>
  <si>
    <t xml:space="preserve">espresso; milk foam dot</t>
  </si>
  <si>
    <t xml:space="preserve">https://commons.wikimedia.org/w/index.php?search=Macchiato+drink&amp;title=Special:MediaSearch&amp;type=image</t>
  </si>
  <si>
    <t xml:space="preserve">B0147</t>
  </si>
  <si>
    <t xml:space="preserve">Mocha</t>
  </si>
  <si>
    <t xml:space="preserve">café drink</t>
  </si>
  <si>
    <t xml:space="preserve">Espresso with chocolate and steamed milk</t>
  </si>
  <si>
    <t xml:space="preserve">steamed milk; espresso; chocolate</t>
  </si>
  <si>
    <t xml:space="preserve">Named after the Yemeni port; the drink form is Italian-American</t>
  </si>
  <si>
    <t xml:space="preserve">https://commons.wikimedia.org/w/index.php?search=Mocha+drink&amp;title=Special:MediaSearch&amp;type=image</t>
  </si>
  <si>
    <t xml:space="preserve">B0148</t>
  </si>
  <si>
    <t xml:space="preserve">Turkish Coffee</t>
  </si>
  <si>
    <t xml:space="preserve">foam</t>
  </si>
  <si>
    <t xml:space="preserve">unfiltered</t>
  </si>
  <si>
    <t xml:space="preserve">cezve</t>
  </si>
  <si>
    <t xml:space="preserve">finely ground coffee</t>
  </si>
  <si>
    <t xml:space="preserve">Turkey's unfiltered coffee brewed in a small pot</t>
  </si>
  <si>
    <t xml:space="preserve">cardamom; finely ground coffee</t>
  </si>
  <si>
    <t xml:space="preserve">Shared across Turkey, the Middle East and the Balkans</t>
  </si>
  <si>
    <t xml:space="preserve">https://commons.wikimedia.org/w/index.php?search=Turkish+Coffee+drink&amp;title=Special:MediaSearch&amp;type=image</t>
  </si>
  <si>
    <t xml:space="preserve">B0150</t>
  </si>
  <si>
    <t xml:space="preserve">Cortado</t>
  </si>
  <si>
    <t xml:space="preserve">warm milk</t>
  </si>
  <si>
    <t xml:space="preserve">half and half coffee</t>
  </si>
  <si>
    <t xml:space="preserve">Spain's espresso cut with warm milk</t>
  </si>
  <si>
    <t xml:space="preserve">espresso; warm milk</t>
  </si>
  <si>
    <t xml:space="preserve">https://commons.wikimedia.org/w/index.php?search=Cortado+drink&amp;title=Special:MediaSearch&amp;type=image</t>
  </si>
  <si>
    <t xml:space="preserve">B0151</t>
  </si>
  <si>
    <t xml:space="preserve">Dalgona Coffee</t>
  </si>
  <si>
    <t xml:space="preserve">whipped</t>
  </si>
  <si>
    <t xml:space="preserve">cold milk</t>
  </si>
  <si>
    <t xml:space="preserve">whipped coffee</t>
  </si>
  <si>
    <t xml:space="preserve">lockdown trend</t>
  </si>
  <si>
    <t xml:space="preserve">instant coffee</t>
  </si>
  <si>
    <t xml:space="preserve">Korea's whipped instant coffee over milk</t>
  </si>
  <si>
    <t xml:space="preserve">cold milk; instant coffee</t>
  </si>
  <si>
    <t xml:space="preserve">whipped coffee; instant coffee</t>
  </si>
  <si>
    <t xml:space="preserve">https://commons.wikimedia.org/w/index.php?search=Dalgona+Coffee+drink&amp;title=Special:MediaSearch&amp;type=image</t>
  </si>
  <si>
    <t xml:space="preserve">B0152</t>
  </si>
  <si>
    <t xml:space="preserve">Hot Chocolate</t>
  </si>
  <si>
    <t xml:space="preserve">sweet cocoa drink</t>
  </si>
  <si>
    <t xml:space="preserve">A warm drink of melted cocoa and milk</t>
  </si>
  <si>
    <t xml:space="preserve">vanilla; milk; whipped cream; cocoa</t>
  </si>
  <si>
    <t xml:space="preserve">Mesoamerican origin; modern form is European</t>
  </si>
  <si>
    <t xml:space="preserve">https://commons.wikimedia.org/w/index.php?search=Hot+Chocolate+drink&amp;title=Special:MediaSearch&amp;type=image</t>
  </si>
  <si>
    <t xml:space="preserve">B0153</t>
  </si>
  <si>
    <t xml:space="preserve">Matcha Latte</t>
  </si>
  <si>
    <t xml:space="preserve">whisk</t>
  </si>
  <si>
    <t xml:space="preserve">green milky drink</t>
  </si>
  <si>
    <t xml:space="preserve">Japan's green tea with steamed milk</t>
  </si>
  <si>
    <t xml:space="preserve">honey; steamed milk; green tea powder</t>
  </si>
  <si>
    <t xml:space="preserve">https://commons.wikimedia.org/w/index.php?search=Matcha+Latte+drink&amp;title=Special:MediaSearch&amp;type=image</t>
  </si>
  <si>
    <t xml:space="preserve">B0154</t>
  </si>
  <si>
    <t xml:space="preserve">Matcha</t>
  </si>
  <si>
    <t xml:space="preserve">Chawan bowl</t>
  </si>
  <si>
    <t xml:space="preserve">chasen whisk</t>
  </si>
  <si>
    <t xml:space="preserve">tea ceremony</t>
  </si>
  <si>
    <t xml:space="preserve">frothed</t>
  </si>
  <si>
    <t xml:space="preserve">whisked green tea</t>
  </si>
  <si>
    <t xml:space="preserve">Japanese ceremony</t>
  </si>
  <si>
    <t xml:space="preserve">Japan's whisked powdered green tea</t>
  </si>
  <si>
    <t xml:space="preserve">https://commons.wikimedia.org/w/index.php?search=Matcha+drink&amp;title=Special:MediaSearch&amp;type=image</t>
  </si>
  <si>
    <t xml:space="preserve">https://thumb.wikimedia.org/wikipedia/commons/thumb/d/d9/Matcha_Scoop.jpg/1280px-Matcha_Scoop.jpg</t>
  </si>
  <si>
    <t xml:space="preserve">Evanhoever</t>
  </si>
  <si>
    <t xml:space="preserve">B0158</t>
  </si>
  <si>
    <t xml:space="preserve">Oolong</t>
  </si>
  <si>
    <t xml:space="preserve">partially oxidised</t>
  </si>
  <si>
    <t xml:space="preserve">gongfu</t>
  </si>
  <si>
    <t xml:space="preserve">semi-oxidised tea</t>
  </si>
  <si>
    <t xml:space="preserve">Taiwan and Fujian</t>
  </si>
  <si>
    <t xml:space="preserve">Taiwan</t>
  </si>
  <si>
    <t xml:space="preserve">China and Taiwan's partly oxidised tea</t>
  </si>
  <si>
    <t xml:space="preserve">https://commons.wikimedia.org/w/index.php?search=Oolong+drink&amp;title=Special:MediaSearch&amp;type=image</t>
  </si>
  <si>
    <t xml:space="preserve">B0160</t>
  </si>
  <si>
    <t xml:space="preserve">Bubble Tea</t>
  </si>
  <si>
    <t xml:space="preserve">Boba</t>
  </si>
  <si>
    <t xml:space="preserve">Sealed cup</t>
  </si>
  <si>
    <t xml:space="preserve">wide straw</t>
  </si>
  <si>
    <t xml:space="preserve">tapioca pearls</t>
  </si>
  <si>
    <t xml:space="preserve">Taiwanese</t>
  </si>
  <si>
    <t xml:space="preserve">black tea</t>
  </si>
  <si>
    <t xml:space="preserve">Taiwan's milk tea with chewy tapioca pearls</t>
  </si>
  <si>
    <t xml:space="preserve">milk; tapioca pearls; black tea</t>
  </si>
  <si>
    <t xml:space="preserve">https://commons.wikimedia.org/w/index.php?search=Bubble+Tea+drink&amp;title=Special:MediaSearch&amp;type=image</t>
  </si>
  <si>
    <t xml:space="preserve">B0161</t>
  </si>
  <si>
    <t xml:space="preserve">Hong Kong Milk Tea</t>
  </si>
  <si>
    <t xml:space="preserve">silk stocking strainer</t>
  </si>
  <si>
    <t xml:space="preserve">silky milk tea</t>
  </si>
  <si>
    <t xml:space="preserve">cha chaan teng</t>
  </si>
  <si>
    <t xml:space="preserve">strong black tea</t>
  </si>
  <si>
    <t xml:space="preserve">Strong silky tea with evaporated milk, from cha chaan teng cafés</t>
  </si>
  <si>
    <t xml:space="preserve">strong black tea; evaporated milk</t>
  </si>
  <si>
    <t xml:space="preserve">silky milk tea; condensed milk; strong black tea; evaporated milk</t>
  </si>
  <si>
    <t xml:space="preserve">https://commons.wikimedia.org/w/index.php?search=Hong+Kong+Milk+Tea+drink&amp;title=Special:MediaSearch&amp;type=image</t>
  </si>
  <si>
    <t xml:space="preserve">B0162</t>
  </si>
  <si>
    <t xml:space="preserve">Teh Tarik</t>
  </si>
  <si>
    <t xml:space="preserve">pulled</t>
  </si>
  <si>
    <t xml:space="preserve">pulled tea</t>
  </si>
  <si>
    <t xml:space="preserve">Malaysia's frothy pulled milk tea</t>
  </si>
  <si>
    <t xml:space="preserve">black tea; condensed milk</t>
  </si>
  <si>
    <t xml:space="preserve">https://commons.wikimedia.org/w/index.php?search=Teh+Tarik+drink&amp;title=Special:MediaSearch&amp;type=image</t>
  </si>
  <si>
    <t xml:space="preserve">https://thumb.wikimedia.org/wikipedia/commons/thumb/a/ab/Teh_Tarik_at_the_Iskandar_Curry_House_at_One_Riverside_%28DSCF0286%29.jpg/1280px-Teh_Tarik_at_the_Iskandar_Curry_House_at_One_Riverside_%28DSCF0286%29.jpg</t>
  </si>
  <si>
    <t xml:space="preserve">Yu Chu Chin</t>
  </si>
  <si>
    <t xml:space="preserve">B0163</t>
  </si>
  <si>
    <t xml:space="preserve">Yerba Mate</t>
  </si>
  <si>
    <t xml:space="preserve">Mate gourd</t>
  </si>
  <si>
    <t xml:space="preserve">bitter</t>
  </si>
  <si>
    <t xml:space="preserve">bombilla straw</t>
  </si>
  <si>
    <t xml:space="preserve">gourd</t>
  </si>
  <si>
    <t xml:space="preserve">herbal infusion</t>
  </si>
  <si>
    <t xml:space="preserve">yerba leaves</t>
  </si>
  <si>
    <t xml:space="preserve">Argentina's herbal drink sipped through a metal straw</t>
  </si>
  <si>
    <t xml:space="preserve">Argentina, Uruguay, Paraguay, southern Brazil</t>
  </si>
  <si>
    <t xml:space="preserve">https://commons.wikimedia.org/w/index.php?search=Yerba+Mate+drink&amp;title=Special:MediaSearch&amp;type=image</t>
  </si>
  <si>
    <t xml:space="preserve">B0164</t>
  </si>
  <si>
    <t xml:space="preserve">Rooibos</t>
  </si>
  <si>
    <t xml:space="preserve">caffeine-free</t>
  </si>
  <si>
    <t xml:space="preserve">bush tea</t>
  </si>
  <si>
    <t xml:space="preserve">South Africa's caffeine-free red bush tea</t>
  </si>
  <si>
    <t xml:space="preserve">honey; milk; bush tea</t>
  </si>
  <si>
    <t xml:space="preserve">https://commons.wikimedia.org/w/index.php?search=Rooibos+drink&amp;title=Special:MediaSearch&amp;type=image</t>
  </si>
  <si>
    <t xml:space="preserve">B0165</t>
  </si>
  <si>
    <t xml:space="preserve">Mint Tea</t>
  </si>
  <si>
    <t xml:space="preserve">Atay</t>
  </si>
  <si>
    <t xml:space="preserve">high pour</t>
  </si>
  <si>
    <t xml:space="preserve">teapot</t>
  </si>
  <si>
    <t xml:space="preserve">gunpowder green tea</t>
  </si>
  <si>
    <t xml:space="preserve">fresh mint</t>
  </si>
  <si>
    <t xml:space="preserve">Morocco's sweet green tea with a fresh herb</t>
  </si>
  <si>
    <t xml:space="preserve">sugar; gunpowder green tea; fresh mint</t>
  </si>
  <si>
    <t xml:space="preserve">gunpowder green tea; fresh mint</t>
  </si>
  <si>
    <t xml:space="preserve">https://commons.wikimedia.org/w/index.php?search=Mint+Tea+drink&amp;title=Special:MediaSearch&amp;type=image</t>
  </si>
  <si>
    <t xml:space="preserve">B0169</t>
  </si>
  <si>
    <t xml:space="preserve">Hibiscus Tea</t>
  </si>
  <si>
    <t xml:space="preserve">Karkade</t>
  </si>
  <si>
    <t xml:space="preserve">deep red</t>
  </si>
  <si>
    <t xml:space="preserve">tart</t>
  </si>
  <si>
    <t xml:space="preserve">ruby herbal tea</t>
  </si>
  <si>
    <t xml:space="preserve">hibiscus</t>
  </si>
  <si>
    <t xml:space="preserve">Egypt's tart ruby flower tea</t>
  </si>
  <si>
    <t xml:space="preserve">ruby herbal tea; hibiscus</t>
  </si>
  <si>
    <t xml:space="preserve">https://commons.wikimedia.org/w/index.php?search=Hibiscus+Tea+drink&amp;title=Special:MediaSearch&amp;type=image</t>
  </si>
  <si>
    <t xml:space="preserve">B0171</t>
  </si>
  <si>
    <t xml:space="preserve">Golden Milk</t>
  </si>
  <si>
    <t xml:space="preserve">Haldi Doodh</t>
  </si>
  <si>
    <t xml:space="preserve">turmeric milk</t>
  </si>
  <si>
    <t xml:space="preserve">Indian home remedy</t>
  </si>
  <si>
    <t xml:space="preserve">black pepper</t>
  </si>
  <si>
    <t xml:space="preserve">bedtime drink</t>
  </si>
  <si>
    <t xml:space="preserve">India's warm turmeric milk</t>
  </si>
  <si>
    <t xml:space="preserve">honey; black pepper; milk</t>
  </si>
  <si>
    <t xml:space="preserve">turmeric milk; milk</t>
  </si>
  <si>
    <t xml:space="preserve">https://commons.wikimedia.org/w/index.php?search=Golden+Milk+drink&amp;title=Special:MediaSearch&amp;type=image</t>
  </si>
  <si>
    <t xml:space="preserve">https://thumb.wikimedia.org/wikipedia/commons/thumb/a/ab/Turmeric_inflorescence.jpg/1280px-Turmeric_inflorescence.jpg</t>
  </si>
  <si>
    <t xml:space="preserve">SKsiddhartthan</t>
  </si>
  <si>
    <t xml:space="preserve">B0172</t>
  </si>
  <si>
    <t xml:space="preserve">Kashmiri Pink Chai</t>
  </si>
  <si>
    <t xml:space="preserve">baking soda</t>
  </si>
  <si>
    <t xml:space="preserve">salt</t>
  </si>
  <si>
    <t xml:space="preserve">Kashmir's rosy salted milk tea</t>
  </si>
  <si>
    <t xml:space="preserve">cardamom; milk; baking soda; salt</t>
  </si>
  <si>
    <t xml:space="preserve">https://commons.wikimedia.org/w/index.php?search=Kashmiri+Pink+Chai+drink&amp;title=Special:MediaSearch&amp;type=image</t>
  </si>
  <si>
    <t xml:space="preserve">B0173</t>
  </si>
  <si>
    <t xml:space="preserve">Sulaimani</t>
  </si>
  <si>
    <t xml:space="preserve">after a biryani</t>
  </si>
  <si>
    <t xml:space="preserve">Malabar</t>
  </si>
  <si>
    <t xml:space="preserve">Malabar's spiced black tea with lemon</t>
  </si>
  <si>
    <t xml:space="preserve">cardamom; lemon; black tea</t>
  </si>
  <si>
    <t xml:space="preserve">https://commons.wikimedia.org/w/index.php?search=Sulaimani+drink&amp;title=Special:MediaSearch&amp;type=image</t>
  </si>
  <si>
    <t xml:space="preserve">https://thumb.wikimedia.org/wikipedia/commons/thumb/0/00/Sulaymaniyah_City_-_Grand_Millenium_Hotel.jpg/1280px-Sulaymaniyah_City_-_Grand_Millenium_Hotel.jpg</t>
  </si>
  <si>
    <t xml:space="preserve">Diyar Muhammed</t>
  </si>
  <si>
    <t xml:space="preserve">B0174</t>
  </si>
  <si>
    <t xml:space="preserve">Cutting Chai</t>
  </si>
  <si>
    <t xml:space="preserve">strong tea</t>
  </si>
  <si>
    <t xml:space="preserve">half glass</t>
  </si>
  <si>
    <t xml:space="preserve">roadside tapri</t>
  </si>
  <si>
    <t xml:space="preserve">Mumbai's strong half-glass of milky tea</t>
  </si>
  <si>
    <t xml:space="preserve">strong tea; sugar; ginger</t>
  </si>
  <si>
    <t xml:space="preserve">https://commons.wikimedia.org/w/index.php?search=Cutting+Chai+drink&amp;title=Special:MediaSearch&amp;type=image</t>
  </si>
  <si>
    <t xml:space="preserve">B0175</t>
  </si>
  <si>
    <t xml:space="preserve">Horchata</t>
  </si>
  <si>
    <t xml:space="preserve">rice milk</t>
  </si>
  <si>
    <t xml:space="preserve">Mexican cooler</t>
  </si>
  <si>
    <t xml:space="preserve">Mexico's cinnamon rice milk</t>
  </si>
  <si>
    <t xml:space="preserve">vanilla; cinnamon; rice milk</t>
  </si>
  <si>
    <t xml:space="preserve">https://commons.wikimedia.org/w/index.php?search=Horchata+drink&amp;title=Special:MediaSearch&amp;type=image</t>
  </si>
  <si>
    <t xml:space="preserve">B0178</t>
  </si>
  <si>
    <t xml:space="preserve">Lemonade</t>
  </si>
  <si>
    <t xml:space="preserve">lemon drink</t>
  </si>
  <si>
    <t xml:space="preserve">summer stand</t>
  </si>
  <si>
    <t xml:space="preserve">ice</t>
  </si>
  <si>
    <t xml:space="preserve">Sweetened lemon juice with water</t>
  </si>
  <si>
    <t xml:space="preserve">lemon; sugar; ice</t>
  </si>
  <si>
    <t xml:space="preserve">https://commons.wikimedia.org/w/index.php?search=Lemonade+drink&amp;title=Special:MediaSearch&amp;type=image</t>
  </si>
  <si>
    <t xml:space="preserve">https://thumb.wikimedia.org/wikipedia/commons/thumb/1/10/Lemonade_-_27682817724.jpg/1280px-Lemonade_-_27682817724.jpg</t>
  </si>
  <si>
    <t xml:space="preserve">HarshLight</t>
  </si>
  <si>
    <t xml:space="preserve">B0179</t>
  </si>
  <si>
    <t xml:space="preserve">Iced Tea</t>
  </si>
  <si>
    <t xml:space="preserve">chilled tea</t>
  </si>
  <si>
    <t xml:space="preserve">peach or lemon</t>
  </si>
  <si>
    <t xml:space="preserve">Chilled black tea with lemon</t>
  </si>
  <si>
    <t xml:space="preserve">lemon; sugar; ice; black tea</t>
  </si>
  <si>
    <t xml:space="preserve">chilled tea; black tea</t>
  </si>
  <si>
    <t xml:space="preserve">https://commons.wikimedia.org/w/index.php?search=Iced+Tea+drink&amp;title=Special:MediaSearch&amp;type=image</t>
  </si>
  <si>
    <t xml:space="preserve">https://thumb.wikimedia.org/wikipedia/commons/thumb/e/ef/Iced_Tea_from_flickr.jpg/1280px-Iced_Tea_from_flickr.jpg</t>
  </si>
  <si>
    <t xml:space="preserve">Melissa Doroquez</t>
  </si>
  <si>
    <t xml:space="preserve">B0180</t>
  </si>
  <si>
    <t xml:space="preserve">Arnold Palmer</t>
  </si>
  <si>
    <t xml:space="preserve">iced tea</t>
  </si>
  <si>
    <t xml:space="preserve">half and half</t>
  </si>
  <si>
    <t xml:space="preserve">golf legend</t>
  </si>
  <si>
    <t xml:space="preserve">Half lemonade, half iced tea</t>
  </si>
  <si>
    <t xml:space="preserve">lemon; lemonade; iced tea</t>
  </si>
  <si>
    <t xml:space="preserve">https://commons.wikimedia.org/w/index.php?search=Arnold+Palmer+drink&amp;title=Special:MediaSearch&amp;type=image</t>
  </si>
  <si>
    <t xml:space="preserve">B0181</t>
  </si>
  <si>
    <t xml:space="preserve">Milkshake</t>
  </si>
  <si>
    <t xml:space="preserve">Tall glass</t>
  </si>
  <si>
    <t xml:space="preserve">blended milk drink</t>
  </si>
  <si>
    <t xml:space="preserve">A thick blend of milk and ice cream</t>
  </si>
  <si>
    <t xml:space="preserve">milk; whipped cream; cherry; ice cream</t>
  </si>
  <si>
    <t xml:space="preserve">https://commons.wikimedia.org/w/index.php?search=Milkshake+drink&amp;title=Special:MediaSearch&amp;type=image</t>
  </si>
  <si>
    <t xml:space="preserve">B0182</t>
  </si>
  <si>
    <t xml:space="preserve">Root Beer Float</t>
  </si>
  <si>
    <t xml:space="preserve">straw</t>
  </si>
  <si>
    <t xml:space="preserve">vanilla ice cream</t>
  </si>
  <si>
    <t xml:space="preserve">soda with ice cream</t>
  </si>
  <si>
    <t xml:space="preserve">root beer</t>
  </si>
  <si>
    <t xml:space="preserve">A fizzy American soda with a scoop of vanilla ice cream</t>
  </si>
  <si>
    <t xml:space="preserve">vanilla ice cream; root beer</t>
  </si>
  <si>
    <t xml:space="preserve">https://commons.wikimedia.org/w/index.php?search=Root+Beer+Float+drink&amp;title=Special:MediaSearch&amp;type=image</t>
  </si>
  <si>
    <t xml:space="preserve">https://thumb.wikimedia.org/wikipedia/commons/thumb/d/d8/Soda_jerk_NYWTS.jpg/1280px-Soda_jerk_NYWTS.jpg</t>
  </si>
  <si>
    <t xml:space="preserve">Alan Fisher, World Telegram staff photographer</t>
  </si>
  <si>
    <t xml:space="preserve">B0184</t>
  </si>
  <si>
    <t xml:space="preserve">Frappé</t>
  </si>
  <si>
    <t xml:space="preserve">foamy iced coffee</t>
  </si>
  <si>
    <t xml:space="preserve">Greece's foamy shaken iced coffee</t>
  </si>
  <si>
    <t xml:space="preserve">https://commons.wikimedia.org/w/index.php?search=Frapp%C3%A9+drink&amp;title=Special:MediaSearch&amp;type=image</t>
  </si>
  <si>
    <t xml:space="preserve">B0185</t>
  </si>
  <si>
    <t xml:space="preserve">Cold Brew</t>
  </si>
  <si>
    <t xml:space="preserve">coarse ground</t>
  </si>
  <si>
    <t xml:space="preserve">steeped overnight</t>
  </si>
  <si>
    <t xml:space="preserve">slow-steeped coffee</t>
  </si>
  <si>
    <t xml:space="preserve">served over ice</t>
  </si>
  <si>
    <t xml:space="preserve">Coffee steeped cold for hours</t>
  </si>
  <si>
    <t xml:space="preserve">coarse ground; coffee</t>
  </si>
  <si>
    <t xml:space="preserve">https://commons.wikimedia.org/w/index.php?search=Cold+Brew+drink&amp;title=Special:MediaSearch&amp;type=image</t>
  </si>
  <si>
    <t xml:space="preserve">B0187</t>
  </si>
  <si>
    <t xml:space="preserve">Ginger Beer</t>
  </si>
  <si>
    <t xml:space="preserve">spicy</t>
  </si>
  <si>
    <t xml:space="preserve">spicy fizzy drink</t>
  </si>
  <si>
    <t xml:space="preserve">The Caribbean's spicy fizzy root drink</t>
  </si>
  <si>
    <t xml:space="preserve">lime; ginger</t>
  </si>
  <si>
    <t xml:space="preserve">https://commons.wikimedia.org/w/index.php?search=Ginger+Beer+drink&amp;title=Special:MediaSearch&amp;type=image</t>
  </si>
  <si>
    <t xml:space="preserve">B0194</t>
  </si>
  <si>
    <t xml:space="preserve">Guaraná Soda</t>
  </si>
  <si>
    <t xml:space="preserve">caffeine</t>
  </si>
  <si>
    <t xml:space="preserve">soda</t>
  </si>
  <si>
    <t xml:space="preserve">guaraná berry</t>
  </si>
  <si>
    <t xml:space="preserve">Brazil's soda made from an Amazon berry</t>
  </si>
  <si>
    <t xml:space="preserve">soda; guaraná berry</t>
  </si>
  <si>
    <t xml:space="preserve">https://commons.wikimedia.org/w/index.php?search=Guaran%C3%A1+Soda+drink&amp;title=Special:MediaSearch&amp;type=image</t>
  </si>
  <si>
    <t xml:space="preserve">B0196</t>
  </si>
  <si>
    <t xml:space="preserve">Chicha Morada</t>
  </si>
  <si>
    <t xml:space="preserve">purple corn</t>
  </si>
  <si>
    <t xml:space="preserve">purple drink</t>
  </si>
  <si>
    <t xml:space="preserve">Peru's purple corn drink</t>
  </si>
  <si>
    <t xml:space="preserve">cloves; lime; pineapple; purple corn</t>
  </si>
  <si>
    <t xml:space="preserve">https://commons.wikimedia.org/w/index.php?search=Chicha+Morada+drink&amp;title=Special:MediaSearch&amp;type=image</t>
  </si>
  <si>
    <t xml:space="preserve">https://thumb.wikimedia.org/wikipedia/commons/thumb/7/7f/Chicha_morada_y_pisco_sour_20100704.JPG/1280px-Chicha_morada_y_pisco_sour_20100704.JPG</t>
  </si>
  <si>
    <t xml:space="preserve">B0200</t>
  </si>
  <si>
    <t xml:space="preserve">Limonana</t>
  </si>
  <si>
    <t xml:space="preserve">frozen lemonade</t>
  </si>
  <si>
    <t xml:space="preserve">Israeli</t>
  </si>
  <si>
    <t xml:space="preserve">Israel's frozen lemon and mint drink</t>
  </si>
  <si>
    <t xml:space="preserve">https://commons.wikimedia.org/w/index.php?search=Limonana+drink&amp;title=Special:MediaSearch&amp;type=image</t>
  </si>
  <si>
    <t xml:space="preserve">https://thumb.wikimedia.org/wikipedia/commons/thumb/b/b7/Lemon_%26_Mint.jpg/1280px-Lemon_%26_Mint.jpg</t>
  </si>
  <si>
    <t xml:space="preserve">Mervat</t>
  </si>
  <si>
    <t xml:space="preserve">B0203</t>
  </si>
  <si>
    <t xml:space="preserve">Cendol</t>
  </si>
  <si>
    <t xml:space="preserve">shaved ice</t>
  </si>
  <si>
    <t xml:space="preserve">green jelly</t>
  </si>
  <si>
    <t xml:space="preserve">palm sugar</t>
  </si>
  <si>
    <t xml:space="preserve">Southeast Asia's iced coconut drink with green jelly</t>
  </si>
  <si>
    <t xml:space="preserve">shaved ice; coconut milk; green jelly; palm sugar</t>
  </si>
  <si>
    <t xml:space="preserve">https://commons.wikimedia.org/w/index.php?search=Cendol+drink&amp;title=Special:MediaSearch&amp;type=image</t>
  </si>
  <si>
    <t xml:space="preserve">https://thumb.wikimedia.org/wikipedia/commons/thumb/8/86/Kampung_Paya_Jaras_Tengah%2C_Selangor_20250112_111330.jpg/1280px-Kampung_Paya_Jaras_Tengah%2C_Selangor_20250112_111330.jpg</t>
  </si>
  <si>
    <t xml:space="preserve">Wiki Farazi</t>
  </si>
  <si>
    <t xml:space="preserve">B0210</t>
  </si>
  <si>
    <t xml:space="preserve">Rooh Afza</t>
  </si>
  <si>
    <t xml:space="preserve">rose</t>
  </si>
  <si>
    <t xml:space="preserve">fruit herbs</t>
  </si>
  <si>
    <t xml:space="preserve">red syrup</t>
  </si>
  <si>
    <t xml:space="preserve">red rose syrup</t>
  </si>
  <si>
    <t xml:space="preserve">India's red rose-flavoured syrup drink</t>
  </si>
  <si>
    <t xml:space="preserve">milk; rose; fruit herbs; red syrup</t>
  </si>
  <si>
    <t xml:space="preserve">https://commons.wikimedia.org/w/index.php?search=Rooh+Afza+drink&amp;title=Special:MediaSearch&amp;type=image</t>
  </si>
  <si>
    <t xml:space="preserve">B0215</t>
  </si>
  <si>
    <t xml:space="preserve">Cold Coffee</t>
  </si>
  <si>
    <t xml:space="preserve">blended coffee</t>
  </si>
  <si>
    <t xml:space="preserve">Indian café</t>
  </si>
  <si>
    <t xml:space="preserve">India's blended cold coffee</t>
  </si>
  <si>
    <t xml:space="preserve">milk; ice cream; instant coffee</t>
  </si>
  <si>
    <t xml:space="preserve">blended coffee; instant coffee</t>
  </si>
  <si>
    <t xml:space="preserve">https://commons.wikimedia.org/w/index.php?search=Cold+Coffee+drink&amp;title=Special:MediaSearch&amp;type=image</t>
  </si>
  <si>
    <t xml:space="preserve">B0216</t>
  </si>
  <si>
    <t xml:space="preserve">Fresh Lime Soda</t>
  </si>
  <si>
    <t xml:space="preserve">Indian restaurant</t>
  </si>
  <si>
    <t xml:space="preserve">sweet or salted</t>
  </si>
  <si>
    <t xml:space="preserve">masala option</t>
  </si>
  <si>
    <t xml:space="preserve">India's fizzy citrus soda, sweet or salted</t>
  </si>
  <si>
    <t xml:space="preserve">sugar; soda; lime</t>
  </si>
  <si>
    <t xml:space="preserve">soda; lime</t>
  </si>
  <si>
    <t xml:space="preserve">https://commons.wikimedia.org/w/index.php?search=Fresh+Lime+Soda+drink&amp;title=Special:MediaSearch&amp;type=image</t>
  </si>
  <si>
    <t xml:space="preserve">B0217</t>
  </si>
  <si>
    <t xml:space="preserve">Masala Soda</t>
  </si>
  <si>
    <t xml:space="preserve">goli bottle</t>
  </si>
  <si>
    <t xml:space="preserve">marble-bottle soda</t>
  </si>
  <si>
    <t xml:space="preserve">black salt</t>
  </si>
  <si>
    <t xml:space="preserve">masala</t>
  </si>
  <si>
    <t xml:space="preserve">India's spiced soda from a marble-sealed bottle</t>
  </si>
  <si>
    <t xml:space="preserve">black salt; soda</t>
  </si>
  <si>
    <t xml:space="preserve">marble-bottle soda; masala; soda</t>
  </si>
  <si>
    <t xml:space="preserve">https://commons.wikimedia.org/w/index.php?search=Masala+Soda+drink&amp;title=Special:MediaSearch&amp;type=image</t>
  </si>
  <si>
    <t xml:space="preserve">B0219</t>
  </si>
  <si>
    <t xml:space="preserve">Shirley Temple</t>
  </si>
  <si>
    <t xml:space="preserve">ginger ale</t>
  </si>
  <si>
    <t xml:space="preserve">maraschino cherry</t>
  </si>
  <si>
    <t xml:space="preserve">kids' cocktail</t>
  </si>
  <si>
    <t xml:space="preserve">Hollywood</t>
  </si>
  <si>
    <t xml:space="preserve">A non-alcoholic grenadine and ginger ale drink</t>
  </si>
  <si>
    <t xml:space="preserve">grenadine; ginger ale; maraschino cherry</t>
  </si>
  <si>
    <t xml:space="preserve">https://commons.wikimedia.org/w/index.php?search=Shirley+Temple+drink&amp;title=Special:MediaSearch&amp;type=image</t>
  </si>
  <si>
    <t xml:space="preserve">B0224</t>
  </si>
  <si>
    <t xml:space="preserve">Kala Khatta</t>
  </si>
  <si>
    <t xml:space="preserve">jamun syrup</t>
  </si>
  <si>
    <t xml:space="preserve">purple tangy drink</t>
  </si>
  <si>
    <t xml:space="preserve">gola</t>
  </si>
  <si>
    <t xml:space="preserve">black plum</t>
  </si>
  <si>
    <t xml:space="preserve">crushed ice gola</t>
  </si>
  <si>
    <t xml:space="preserve">India's tangy black-plum drink</t>
  </si>
  <si>
    <t xml:space="preserve">lime; jamun syrup</t>
  </si>
  <si>
    <t xml:space="preserve">https://commons.wikimedia.org/w/index.php?search=Kala+Khatta+drink&amp;title=Special:MediaSearch&amp;type=image</t>
  </si>
  <si>
    <t xml:space="preserve">B0225</t>
  </si>
  <si>
    <t xml:space="preserve">Lassi</t>
  </si>
  <si>
    <t xml:space="preserve">malai</t>
  </si>
  <si>
    <t xml:space="preserve">yogurt drink</t>
  </si>
  <si>
    <t xml:space="preserve">Punjab's yogurt drink</t>
  </si>
  <si>
    <t xml:space="preserve">cardamom; yogurt; malai</t>
  </si>
  <si>
    <t xml:space="preserve">Shared by India and Pakistan</t>
  </si>
  <si>
    <t xml:space="preserve">https://commons.wikimedia.org/w/index.php?search=Lassi+drink&amp;title=Special:MediaSearch&amp;type=image</t>
  </si>
  <si>
    <t xml:space="preserve">https://thumb.wikimedia.org/wikipedia/commons/thumb/f/f1/Salt_lassi.jpg/1280px-Salt_lassi.jpg</t>
  </si>
  <si>
    <t xml:space="preserve">Raksanand</t>
  </si>
  <si>
    <t xml:space="preserve">B0226</t>
  </si>
  <si>
    <t xml:space="preserve">Sattu Sharbat</t>
  </si>
  <si>
    <t xml:space="preserve">roasted gram drink</t>
  </si>
  <si>
    <t xml:space="preserve">Bihar's cooling roasted gram flour drink</t>
  </si>
  <si>
    <t xml:space="preserve">lemon; mint; roasted gram flour</t>
  </si>
  <si>
    <t xml:space="preserve">https://commons.wikimedia.org/w/index.php?search=Sattu+Sharbat+drink&amp;title=Special:MediaSearch&amp;type=image</t>
  </si>
  <si>
    <t xml:space="preserve">B0227</t>
  </si>
  <si>
    <t xml:space="preserve">Sol Kadhi</t>
  </si>
  <si>
    <t xml:space="preserve">pink coconut drink</t>
  </si>
  <si>
    <t xml:space="preserve">Konkan</t>
  </si>
  <si>
    <t xml:space="preserve">served after a fish meal</t>
  </si>
  <si>
    <t xml:space="preserve">The Konkan coast's pink coconut-kokum drink</t>
  </si>
  <si>
    <t xml:space="preserve">coconut milk; kokum; garlic</t>
  </si>
  <si>
    <t xml:space="preserve">https://commons.wikimedia.org/w/index.php?search=Sol+Kadhi+drink&amp;title=Special:MediaSearch&amp;type=image</t>
  </si>
  <si>
    <t xml:space="preserve">B0228</t>
  </si>
  <si>
    <t xml:space="preserve">Filter Coffee</t>
  </si>
  <si>
    <t xml:space="preserve">chicory</t>
  </si>
  <si>
    <t xml:space="preserve">frothed milk</t>
  </si>
  <si>
    <t xml:space="preserve">dabarah</t>
  </si>
  <si>
    <t xml:space="preserve">decoction</t>
  </si>
  <si>
    <t xml:space="preserve">South Indian coffee</t>
  </si>
  <si>
    <t xml:space="preserve">South India's frothy milk coffee from a steel tumbler</t>
  </si>
  <si>
    <t xml:space="preserve">chicory; frothed milk; decoction</t>
  </si>
  <si>
    <t xml:space="preserve">https://commons.wikimedia.org/w/index.php?search=Filter+Coffee+drink&amp;title=Special:MediaSearch&amp;type=image</t>
  </si>
  <si>
    <t xml:space="preserve">B0229</t>
  </si>
  <si>
    <t xml:space="preserve">Irani Chai</t>
  </si>
  <si>
    <t xml:space="preserve">tea leaves</t>
  </si>
  <si>
    <t xml:space="preserve">dum</t>
  </si>
  <si>
    <t xml:space="preserve">creamy tea</t>
  </si>
  <si>
    <t xml:space="preserve">Hyderabad's creamy café tea of Persian origin</t>
  </si>
  <si>
    <t xml:space="preserve">milk; tea leaves; khoya</t>
  </si>
  <si>
    <t xml:space="preserve">https://commons.wikimedia.org/w/index.php?search=Irani+Chai+drink&amp;title=Special:MediaSearch&amp;type=image</t>
  </si>
  <si>
    <t xml:space="preserve">B0230</t>
  </si>
  <si>
    <t xml:space="preserve">Kahwa</t>
  </si>
  <si>
    <t xml:space="preserve">green tea</t>
  </si>
  <si>
    <t xml:space="preserve">Kashmir's saffron and almond green tea</t>
  </si>
  <si>
    <t xml:space="preserve">cinnamon; cardamom; almond; saffron; green tea</t>
  </si>
  <si>
    <t xml:space="preserve">https://commons.wikimedia.org/w/index.php?search=Kahwa+drink&amp;title=Special:MediaSearch&amp;type=image</t>
  </si>
  <si>
    <t xml:space="preserve">B0231</t>
  </si>
  <si>
    <t xml:space="preserve">Noon Chai</t>
  </si>
  <si>
    <t xml:space="preserve">pink tea</t>
  </si>
  <si>
    <t xml:space="preserve">samovar</t>
  </si>
  <si>
    <t xml:space="preserve">Kashmir's salty pink tea</t>
  </si>
  <si>
    <t xml:space="preserve">milk; pink tea; baking soda; salt</t>
  </si>
  <si>
    <t xml:space="preserve">https://commons.wikimedia.org/w/index.php?search=Noon+Chai+drink&amp;title=Special:MediaSearch&amp;type=image</t>
  </si>
  <si>
    <t xml:space="preserve">B0232</t>
  </si>
  <si>
    <t xml:space="preserve">Masala Chai</t>
  </si>
  <si>
    <t xml:space="preserve">spiced milk tea</t>
  </si>
  <si>
    <t xml:space="preserve">cutting glass</t>
  </si>
  <si>
    <t xml:space="preserve">India's spiced milk tea</t>
  </si>
  <si>
    <t xml:space="preserve">milk; black tea; ginger</t>
  </si>
  <si>
    <t xml:space="preserve">https://commons.wikimedia.org/w/index.php?search=Masala+Chai+drink&amp;title=Special:MediaSearch&amp;type=image</t>
  </si>
  <si>
    <t xml:space="preserve">B0233</t>
  </si>
  <si>
    <t xml:space="preserve">Nimbu Pani</t>
  </si>
  <si>
    <t xml:space="preserve">Shikanji</t>
  </si>
  <si>
    <t xml:space="preserve">lemon water</t>
  </si>
  <si>
    <t xml:space="preserve">summer</t>
  </si>
  <si>
    <t xml:space="preserve">Indian summer</t>
  </si>
  <si>
    <t xml:space="preserve">India's sweet-salty lemon water</t>
  </si>
  <si>
    <t xml:space="preserve">roasted cumin; black salt; sugar</t>
  </si>
  <si>
    <t xml:space="preserve">https://commons.wikimedia.org/w/index.php?search=Nimbu+Pani+drink&amp;title=Special:MediaSearch&amp;type=image</t>
  </si>
  <si>
    <t xml:space="preserve">B0234</t>
  </si>
  <si>
    <t xml:space="preserve">Aam Panna</t>
  </si>
  <si>
    <t xml:space="preserve">green mango</t>
  </si>
  <si>
    <t xml:space="preserve">summer cooler</t>
  </si>
  <si>
    <t xml:space="preserve">India's raw mango summer drink</t>
  </si>
  <si>
    <t xml:space="preserve">roasted cumin; raw mango; black salt</t>
  </si>
  <si>
    <t xml:space="preserve">https://commons.wikimedia.org/w/index.php?search=Aam+Panna+drink&amp;title=Special:MediaSearch&amp;type=image</t>
  </si>
  <si>
    <t xml:space="preserve">B0235</t>
  </si>
  <si>
    <t xml:space="preserve">Jaljeera</t>
  </si>
  <si>
    <t xml:space="preserve">spiced water</t>
  </si>
  <si>
    <t xml:space="preserve">cumin water</t>
  </si>
  <si>
    <t xml:space="preserve">India's tangy cumin-mint drink</t>
  </si>
  <si>
    <t xml:space="preserve">mint; tamarind; spiced water</t>
  </si>
  <si>
    <t xml:space="preserve">https://commons.wikimedia.org/w/index.php?search=Jaljeera+drink&amp;title=Special:MediaSearch&amp;type=image</t>
  </si>
  <si>
    <t xml:space="preserve">https://thumb.wikimedia.org/wikipedia/commons/thumb/9/96/Jal_Jeera.JPG/1280px-Jal_Jeera.JPG</t>
  </si>
  <si>
    <t xml:space="preserve">B0236</t>
  </si>
  <si>
    <t xml:space="preserve">Thandai</t>
  </si>
  <si>
    <t xml:space="preserve">rose petals</t>
  </si>
  <si>
    <t xml:space="preserve">spiced milk</t>
  </si>
  <si>
    <t xml:space="preserve">India's spiced nut milk for Holi</t>
  </si>
  <si>
    <t xml:space="preserve">milk; fennel; almond; rose petals</t>
  </si>
  <si>
    <t xml:space="preserve">https://commons.wikimedia.org/w/index.php?search=Thandai+drink&amp;title=Special:MediaSearch&amp;type=image</t>
  </si>
  <si>
    <t xml:space="preserve">https://thumb.wikimedia.org/wikipedia/commons/thumb/4/4e/Thandai_%28Spiced_Indian_Milk_Drink%29.JPG/1280px-Thandai_%28Spiced_Indian_Milk_Drink%29.JPG</t>
  </si>
  <si>
    <t xml:space="preserve">Aparna Balasubramanian</t>
  </si>
  <si>
    <t xml:space="preserve">B0237</t>
  </si>
  <si>
    <t xml:space="preserve">Badam Milk</t>
  </si>
  <si>
    <t xml:space="preserve">almond milk</t>
  </si>
  <si>
    <t xml:space="preserve">India's saffron almond milk</t>
  </si>
  <si>
    <t xml:space="preserve">cardamom; saffron; almond; milk</t>
  </si>
  <si>
    <t xml:space="preserve">almond milk; milk</t>
  </si>
  <si>
    <t xml:space="preserve">https://commons.wikimedia.org/w/index.php?search=Badam+Milk+drink&amp;title=Special:MediaSearch&amp;type=image</t>
  </si>
  <si>
    <t xml:space="preserve">B0238</t>
  </si>
  <si>
    <t xml:space="preserve">Kanji</t>
  </si>
  <si>
    <t xml:space="preserve">black carrot</t>
  </si>
  <si>
    <t xml:space="preserve">North Indian winter</t>
  </si>
  <si>
    <t xml:space="preserve">North India's fermented black-carrot drink</t>
  </si>
  <si>
    <t xml:space="preserve">black carrot; black salt</t>
  </si>
  <si>
    <t xml:space="preserve">https://commons.wikimedia.org/w/index.php?search=Kanji+drink&amp;title=Special:MediaSearch&amp;type=image</t>
  </si>
  <si>
    <t xml:space="preserve">B0240</t>
  </si>
  <si>
    <t xml:space="preserve">Coconut Water</t>
  </si>
  <si>
    <t xml:space="preserve">Nariyal Pani</t>
  </si>
  <si>
    <t xml:space="preserve">electrolytes</t>
  </si>
  <si>
    <t xml:space="preserve">tender nut drink</t>
  </si>
  <si>
    <t xml:space="preserve">tender coconut</t>
  </si>
  <si>
    <t xml:space="preserve">Clear liquid from a green tender nut</t>
  </si>
  <si>
    <t xml:space="preserve">https://commons.wikimedia.org/w/index.php?search=Coconut+Water+drink&amp;title=Special:MediaSearch&amp;type=image</t>
  </si>
  <si>
    <t xml:space="preserve">B0241</t>
  </si>
  <si>
    <t xml:space="preserve">Sugarcane Juice</t>
  </si>
  <si>
    <t xml:space="preserve">Ganne ka Ras</t>
  </si>
  <si>
    <t xml:space="preserve">crushed cane juice</t>
  </si>
  <si>
    <t xml:space="preserve">roadside crusher</t>
  </si>
  <si>
    <t xml:space="preserve">crushed sugarcane</t>
  </si>
  <si>
    <t xml:space="preserve">Fresh juice from crushed cane</t>
  </si>
  <si>
    <t xml:space="preserve">lemon; ginger; crushed sugarcane</t>
  </si>
  <si>
    <t xml:space="preserve">crushed cane juice; crushed sugarcane</t>
  </si>
  <si>
    <t xml:space="preserve">https://commons.wikimedia.org/w/index.php?search=Sugarcane+Juice+drink&amp;title=Special:MediaSearch&amp;type=image</t>
  </si>
  <si>
    <t xml:space="preserve">B0242</t>
  </si>
  <si>
    <t xml:space="preserve">Buttermilk</t>
  </si>
  <si>
    <t xml:space="preserve">Chaas, Mattha</t>
  </si>
  <si>
    <t xml:space="preserve">churned yogurt</t>
  </si>
  <si>
    <t xml:space="preserve">spiced churned drink</t>
  </si>
  <si>
    <t xml:space="preserve">served after a meal</t>
  </si>
  <si>
    <t xml:space="preserve">India's spiced thin churned yogurt drink</t>
  </si>
  <si>
    <t xml:space="preserve">roasted cumin; churned yogurt; salt</t>
  </si>
  <si>
    <t xml:space="preserve">https://commons.wikimedia.org/w/index.php?search=Buttermilk+drink&amp;title=Special:MediaSearch&amp;type=image</t>
  </si>
  <si>
    <t xml:space="preserve">https://thumb.wikimedia.org/wikipedia/commons/thumb/2/23/Buttermilk-%28right%29-and-Milk-%28left%29.jpg/1280px-Buttermilk-%28right%29-and-Milk-%28left%29.jpg</t>
  </si>
  <si>
    <t xml:space="preserve">Ukko-wc</t>
  </si>
  <si>
    <t xml:space="preserve">B0243</t>
  </si>
  <si>
    <t xml:space="preserve">Mango Lassi</t>
  </si>
  <si>
    <t xml:space="preserve">mango</t>
  </si>
  <si>
    <t xml:space="preserve">Punjab's sweet yogurt drink blended with ripe fruit</t>
  </si>
  <si>
    <t xml:space="preserve">cardamom; milk; yogurt; mango</t>
  </si>
  <si>
    <t xml:space="preserve">https://commons.wikimedia.org/w/index.php?search=Mango+Lassi+drink&amp;title=Special:MediaSearch&amp;type=image</t>
  </si>
  <si>
    <t xml:space="preserve">B0244</t>
  </si>
  <si>
    <t xml:space="preserve">Thai Iced Tea</t>
  </si>
  <si>
    <t xml:space="preserve">orange colour</t>
  </si>
  <si>
    <t xml:space="preserve">orange iced tea</t>
  </si>
  <si>
    <t xml:space="preserve">Thailand's sweet orange iced tea</t>
  </si>
  <si>
    <t xml:space="preserve">star anise; condensed milk; black tea</t>
  </si>
  <si>
    <t xml:space="preserve">orange iced tea; black tea</t>
  </si>
  <si>
    <t xml:space="preserve">https://commons.wikimedia.org/w/index.php?search=Thai+Iced+Tea+drink&amp;title=Special:MediaSearch&amp;type=image</t>
  </si>
  <si>
    <t xml:space="preserve">B0245</t>
  </si>
  <si>
    <t xml:space="preserve">Vietnamese Coffee</t>
  </si>
  <si>
    <t xml:space="preserve">Ca Phe Sua Da</t>
  </si>
  <si>
    <t xml:space="preserve">dark roast</t>
  </si>
  <si>
    <t xml:space="preserve">drip coffee</t>
  </si>
  <si>
    <t xml:space="preserve">robusta</t>
  </si>
  <si>
    <t xml:space="preserve">iced</t>
  </si>
  <si>
    <t xml:space="preserve">Vietnam's drip coffee with condensed milk</t>
  </si>
  <si>
    <t xml:space="preserve">dark roast; condensed milk</t>
  </si>
  <si>
    <t xml:space="preserve">https://commons.wikimedia.org/w/index.php?search=Vietnamese+Coffee+drink&amp;title=Special:MediaSearch&amp;type=image</t>
  </si>
  <si>
    <t xml:space="preserve">Name</t>
  </si>
  <si>
    <t xml:space="preserve">Kind</t>
  </si>
  <si>
    <t xml:space="preserve">Course / type</t>
  </si>
  <si>
    <t xml:space="preserve">Why it was removed</t>
  </si>
  <si>
    <t xml:space="preserve">D0534</t>
  </si>
  <si>
    <t xml:space="preserve">Nihari (Pakistan)</t>
  </si>
  <si>
    <t xml:space="preserve">Near-duplicate: Pakistani Nihari duplicates Nihari</t>
  </si>
  <si>
    <t xml:space="preserve">D0004</t>
  </si>
  <si>
    <t xml:space="preserve">Makki di Roti</t>
  </si>
  <si>
    <t xml:space="preserve">Too few telling clues once pantry is removed (1)</t>
  </si>
  <si>
    <t xml:space="preserve">D0013</t>
  </si>
  <si>
    <t xml:space="preserve">Gobi Paratha</t>
  </si>
  <si>
    <t xml:space="preserve">D0058</t>
  </si>
  <si>
    <t xml:space="preserve">Bajre ki Roti</t>
  </si>
  <si>
    <t xml:space="preserve">D0023</t>
  </si>
  <si>
    <t xml:space="preserve">Chicken Changezi</t>
  </si>
  <si>
    <t xml:space="preserve">Niche: few players would know it</t>
  </si>
  <si>
    <t xml:space="preserve">D0027</t>
  </si>
  <si>
    <t xml:space="preserve">Ram Ladoo</t>
  </si>
  <si>
    <t xml:space="preserve">D0049</t>
  </si>
  <si>
    <t xml:space="preserve">Champaran Mutton</t>
  </si>
  <si>
    <t xml:space="preserve">D0086</t>
  </si>
  <si>
    <t xml:space="preserve">Pandhra Rassa</t>
  </si>
  <si>
    <t xml:space="preserve">D0095</t>
  </si>
  <si>
    <t xml:space="preserve">Sali Boti</t>
  </si>
  <si>
    <t xml:space="preserve">D0096</t>
  </si>
  <si>
    <t xml:space="preserve">Patra ni Machhi</t>
  </si>
  <si>
    <t xml:space="preserve">D0107</t>
  </si>
  <si>
    <t xml:space="preserve">Sorpotel</t>
  </si>
  <si>
    <t xml:space="preserve">D0131</t>
  </si>
  <si>
    <t xml:space="preserve">Adhirasam</t>
  </si>
  <si>
    <t xml:space="preserve">D0134</t>
  </si>
  <si>
    <t xml:space="preserve">Paruppu Usili</t>
  </si>
  <si>
    <t xml:space="preserve">D0162</t>
  </si>
  <si>
    <t xml:space="preserve">Chow Chow Bath</t>
  </si>
  <si>
    <t xml:space="preserve">D0187</t>
  </si>
  <si>
    <t xml:space="preserve">Sarva Pindi</t>
  </si>
  <si>
    <t xml:space="preserve">D0211</t>
  </si>
  <si>
    <t xml:space="preserve">Chorchori</t>
  </si>
  <si>
    <t xml:space="preserve">D0231</t>
  </si>
  <si>
    <t xml:space="preserve">Bai</t>
  </si>
  <si>
    <t xml:space="preserve">D0255</t>
  </si>
  <si>
    <t xml:space="preserve">Fara</t>
  </si>
  <si>
    <t xml:space="preserve">D0273</t>
  </si>
  <si>
    <t xml:space="preserve">Mix Veg</t>
  </si>
  <si>
    <t xml:space="preserve">D0311</t>
  </si>
  <si>
    <t xml:space="preserve">Fish Tikka</t>
  </si>
  <si>
    <t xml:space="preserve">D0324</t>
  </si>
  <si>
    <t xml:space="preserve">Chicken Sukka</t>
  </si>
  <si>
    <t xml:space="preserve">D0337</t>
  </si>
  <si>
    <t xml:space="preserve">Achari Paneer</t>
  </si>
  <si>
    <t xml:space="preserve">D0361</t>
  </si>
  <si>
    <t xml:space="preserve">Patishapta</t>
  </si>
  <si>
    <t xml:space="preserve">D0363</t>
  </si>
  <si>
    <t xml:space="preserve">Bihari Kabab</t>
  </si>
  <si>
    <t xml:space="preserve">D0380</t>
  </si>
  <si>
    <t xml:space="preserve">Shui Zhu Yu</t>
  </si>
  <si>
    <t xml:space="preserve">D0395</t>
  </si>
  <si>
    <t xml:space="preserve">Beggar's Chicken</t>
  </si>
  <si>
    <t xml:space="preserve">D0399</t>
  </si>
  <si>
    <t xml:space="preserve">Lo Mai Gai</t>
  </si>
  <si>
    <t xml:space="preserve">D0400</t>
  </si>
  <si>
    <t xml:space="preserve">Lap Cheong Claypot Rice</t>
  </si>
  <si>
    <t xml:space="preserve">D0423</t>
  </si>
  <si>
    <t xml:space="preserve">Chawanmushi</t>
  </si>
  <si>
    <t xml:space="preserve">D0432</t>
  </si>
  <si>
    <t xml:space="preserve">Hiyashi Chuka</t>
  </si>
  <si>
    <t xml:space="preserve">D0434</t>
  </si>
  <si>
    <t xml:space="preserve">Chirashi</t>
  </si>
  <si>
    <t xml:space="preserve">D0451</t>
  </si>
  <si>
    <t xml:space="preserve">Dakgalbi</t>
  </si>
  <si>
    <t xml:space="preserve">D0457</t>
  </si>
  <si>
    <t xml:space="preserve">Sundae (Korean)</t>
  </si>
  <si>
    <t xml:space="preserve">D0473</t>
  </si>
  <si>
    <t xml:space="preserve">Boat Noodles</t>
  </si>
  <si>
    <t xml:space="preserve">D0484</t>
  </si>
  <si>
    <t xml:space="preserve">Cao Lau</t>
  </si>
  <si>
    <t xml:space="preserve">D0486</t>
  </si>
  <si>
    <t xml:space="preserve">Bun Rieu</t>
  </si>
  <si>
    <t xml:space="preserve">D0498</t>
  </si>
  <si>
    <t xml:space="preserve">Babi Guling</t>
  </si>
  <si>
    <t xml:space="preserve">D0501</t>
  </si>
  <si>
    <t xml:space="preserve">Ayam Penyet</t>
  </si>
  <si>
    <t xml:space="preserve">D0506</t>
  </si>
  <si>
    <t xml:space="preserve">Mee Siam</t>
  </si>
  <si>
    <t xml:space="preserve">D0514</t>
  </si>
  <si>
    <t xml:space="preserve">Halo-Halo</t>
  </si>
  <si>
    <t xml:space="preserve">D0515</t>
  </si>
  <si>
    <t xml:space="preserve">Chicken Inasal</t>
  </si>
  <si>
    <t xml:space="preserve">D0524</t>
  </si>
  <si>
    <t xml:space="preserve">Lamprais</t>
  </si>
  <si>
    <t xml:space="preserve">D0532</t>
  </si>
  <si>
    <t xml:space="preserve">Yomari</t>
  </si>
  <si>
    <t xml:space="preserve">D0569</t>
  </si>
  <si>
    <t xml:space="preserve">Ribollita</t>
  </si>
  <si>
    <t xml:space="preserve">D0570</t>
  </si>
  <si>
    <t xml:space="preserve">Vitello Tonnato</t>
  </si>
  <si>
    <t xml:space="preserve">D0571</t>
  </si>
  <si>
    <t xml:space="preserve">Saltimbocca</t>
  </si>
  <si>
    <t xml:space="preserve">D0611</t>
  </si>
  <si>
    <t xml:space="preserve">Blanquette de Veau</t>
  </si>
  <si>
    <t xml:space="preserve">D0612</t>
  </si>
  <si>
    <t xml:space="preserve">Pot-au-Feu</t>
  </si>
  <si>
    <t xml:space="preserve">D0617</t>
  </si>
  <si>
    <t xml:space="preserve">Zürcher Geschnetzeltes</t>
  </si>
  <si>
    <t xml:space="preserve">D0628</t>
  </si>
  <si>
    <t xml:space="preserve">Fabada Asturiana</t>
  </si>
  <si>
    <t xml:space="preserve">D0631</t>
  </si>
  <si>
    <t xml:space="preserve">Crema Catalana</t>
  </si>
  <si>
    <t xml:space="preserve">D0656</t>
  </si>
  <si>
    <t xml:space="preserve">Welsh Rarebit</t>
  </si>
  <si>
    <t xml:space="preserve">D0658</t>
  </si>
  <si>
    <t xml:space="preserve">Pork Pie</t>
  </si>
  <si>
    <t xml:space="preserve">D0660</t>
  </si>
  <si>
    <t xml:space="preserve">Colcannon</t>
  </si>
  <si>
    <t xml:space="preserve">D0666</t>
  </si>
  <si>
    <t xml:space="preserve">Tafelspitz</t>
  </si>
  <si>
    <t xml:space="preserve">D0678</t>
  </si>
  <si>
    <t xml:space="preserve">Stollen</t>
  </si>
  <si>
    <t xml:space="preserve">D0683</t>
  </si>
  <si>
    <t xml:space="preserve">Bitterballen</t>
  </si>
  <si>
    <t xml:space="preserve">D0699</t>
  </si>
  <si>
    <t xml:space="preserve">Chimney Cake</t>
  </si>
  <si>
    <t xml:space="preserve">D0712</t>
  </si>
  <si>
    <t xml:space="preserve">Shchi</t>
  </si>
  <si>
    <t xml:space="preserve">D0714</t>
  </si>
  <si>
    <t xml:space="preserve">Svíčková</t>
  </si>
  <si>
    <t xml:space="preserve">Czechia</t>
  </si>
  <si>
    <t xml:space="preserve">D0715</t>
  </si>
  <si>
    <t xml:space="preserve">Trdelník</t>
  </si>
  <si>
    <t xml:space="preserve">D0716</t>
  </si>
  <si>
    <t xml:space="preserve">Sarma</t>
  </si>
  <si>
    <t xml:space="preserve">Serbia</t>
  </si>
  <si>
    <t xml:space="preserve">D0732</t>
  </si>
  <si>
    <t xml:space="preserve">Pastitsio</t>
  </si>
  <si>
    <t xml:space="preserve">D0743</t>
  </si>
  <si>
    <t xml:space="preserve">Mantı</t>
  </si>
  <si>
    <t xml:space="preserve">D0748</t>
  </si>
  <si>
    <t xml:space="preserve">Börek</t>
  </si>
  <si>
    <t xml:space="preserve">D0767</t>
  </si>
  <si>
    <t xml:space="preserve">Cobb Salad</t>
  </si>
  <si>
    <t xml:space="preserve">D0772</t>
  </si>
  <si>
    <t xml:space="preserve">Pecan Pie</t>
  </si>
  <si>
    <t xml:space="preserve">D0777</t>
  </si>
  <si>
    <t xml:space="preserve">Butter Tarts</t>
  </si>
  <si>
    <t xml:space="preserve">D0779</t>
  </si>
  <si>
    <t xml:space="preserve">Tourtière</t>
  </si>
  <si>
    <t xml:space="preserve">D0780</t>
  </si>
  <si>
    <t xml:space="preserve">Montreal Bagel</t>
  </si>
  <si>
    <t xml:space="preserve">D0785</t>
  </si>
  <si>
    <t xml:space="preserve">Chiles en Nogada</t>
  </si>
  <si>
    <t xml:space="preserve">D0797</t>
  </si>
  <si>
    <t xml:space="preserve">Pupusas</t>
  </si>
  <si>
    <t xml:space="preserve">El Salvador</t>
  </si>
  <si>
    <t xml:space="preserve">D0801</t>
  </si>
  <si>
    <t xml:space="preserve">Jamaican Patty</t>
  </si>
  <si>
    <t xml:space="preserve">D0808</t>
  </si>
  <si>
    <t xml:space="preserve">Ají de Gallina</t>
  </si>
  <si>
    <t xml:space="preserve">D0809</t>
  </si>
  <si>
    <t xml:space="preserve">Causa Limeña</t>
  </si>
  <si>
    <t xml:space="preserve">D0819</t>
  </si>
  <si>
    <t xml:space="preserve">Acarajé</t>
  </si>
  <si>
    <t xml:space="preserve">D0829</t>
  </si>
  <si>
    <t xml:space="preserve">Ajiaco</t>
  </si>
  <si>
    <t xml:space="preserve">D0830</t>
  </si>
  <si>
    <t xml:space="preserve">Pastel de Choclo</t>
  </si>
  <si>
    <t xml:space="preserve">Chile</t>
  </si>
  <si>
    <t xml:space="preserve">D0831</t>
  </si>
  <si>
    <t xml:space="preserve">Salteñas</t>
  </si>
  <si>
    <t xml:space="preserve">Bolivia</t>
  </si>
  <si>
    <t xml:space="preserve">D0832</t>
  </si>
  <si>
    <t xml:space="preserve">Chivito</t>
  </si>
  <si>
    <t xml:space="preserve">Uruguay</t>
  </si>
  <si>
    <t xml:space="preserve">D0842</t>
  </si>
  <si>
    <t xml:space="preserve">Sabich</t>
  </si>
  <si>
    <t xml:space="preserve">D0849</t>
  </si>
  <si>
    <t xml:space="preserve">Luqaimat</t>
  </si>
  <si>
    <t xml:space="preserve">United Arab Emirates</t>
  </si>
  <si>
    <t xml:space="preserve">D0852</t>
  </si>
  <si>
    <t xml:space="preserve">Saltah</t>
  </si>
  <si>
    <t xml:space="preserve">D0857</t>
  </si>
  <si>
    <t xml:space="preserve">Chelo Kebab</t>
  </si>
  <si>
    <t xml:space="preserve">D0860</t>
  </si>
  <si>
    <t xml:space="preserve">Ash Reshteh</t>
  </si>
  <si>
    <t xml:space="preserve">D0864</t>
  </si>
  <si>
    <t xml:space="preserve">Om Ali</t>
  </si>
  <si>
    <t xml:space="preserve">D0869</t>
  </si>
  <si>
    <t xml:space="preserve">Msemen</t>
  </si>
  <si>
    <t xml:space="preserve">D0870</t>
  </si>
  <si>
    <t xml:space="preserve">Brik</t>
  </si>
  <si>
    <t xml:space="preserve">Tunisia</t>
  </si>
  <si>
    <t xml:space="preserve">D0884</t>
  </si>
  <si>
    <t xml:space="preserve">Yassa</t>
  </si>
  <si>
    <t xml:space="preserve">D0885</t>
  </si>
  <si>
    <t xml:space="preserve">Mafe</t>
  </si>
  <si>
    <t xml:space="preserve">D0889</t>
  </si>
  <si>
    <t xml:space="preserve">Boerewors</t>
  </si>
  <si>
    <t xml:space="preserve">D0906</t>
  </si>
  <si>
    <t xml:space="preserve">Hāngī</t>
  </si>
  <si>
    <t xml:space="preserve">D0910</t>
  </si>
  <si>
    <t xml:space="preserve">Loco Moco</t>
  </si>
  <si>
    <t xml:space="preserve">D0911</t>
  </si>
  <si>
    <t xml:space="preserve">Spam Musubi</t>
  </si>
  <si>
    <t xml:space="preserve">D0028</t>
  </si>
  <si>
    <t xml:space="preserve">Daulat ki Chaat</t>
  </si>
  <si>
    <t xml:space="preserve">D0043</t>
  </si>
  <si>
    <t xml:space="preserve">Malaiyo</t>
  </si>
  <si>
    <t xml:space="preserve">D0073</t>
  </si>
  <si>
    <t xml:space="preserve">Locho</t>
  </si>
  <si>
    <t xml:space="preserve">D0085</t>
  </si>
  <si>
    <t xml:space="preserve">Tambda Rassa</t>
  </si>
  <si>
    <t xml:space="preserve">D0109</t>
  </si>
  <si>
    <t xml:space="preserve">Goan Choris Pao</t>
  </si>
  <si>
    <t xml:space="preserve">D0132</t>
  </si>
  <si>
    <t xml:space="preserve">Kara Kozhambu</t>
  </si>
  <si>
    <t xml:space="preserve">D0155</t>
  </si>
  <si>
    <t xml:space="preserve">Olan</t>
  </si>
  <si>
    <t xml:space="preserve">D0170</t>
  </si>
  <si>
    <t xml:space="preserve">Gojju</t>
  </si>
  <si>
    <t xml:space="preserve">D0184</t>
  </si>
  <si>
    <t xml:space="preserve">Natu Kodi Pulusu</t>
  </si>
  <si>
    <t xml:space="preserve">D0188</t>
  </si>
  <si>
    <t xml:space="preserve">Hyderabadi Marag</t>
  </si>
  <si>
    <t xml:space="preserve">D0202</t>
  </si>
  <si>
    <t xml:space="preserve">Daab Chingri</t>
  </si>
  <si>
    <t xml:space="preserve">D0206</t>
  </si>
  <si>
    <t xml:space="preserve">Cham Cham</t>
  </si>
  <si>
    <t xml:space="preserve">D0207</t>
  </si>
  <si>
    <t xml:space="preserve">Pantua</t>
  </si>
  <si>
    <t xml:space="preserve">D0213</t>
  </si>
  <si>
    <t xml:space="preserve">Bhapa Ilish</t>
  </si>
  <si>
    <t xml:space="preserve">D0218</t>
  </si>
  <si>
    <t xml:space="preserve">Chhena Jhili</t>
  </si>
  <si>
    <t xml:space="preserve">D0221</t>
  </si>
  <si>
    <t xml:space="preserve">Khar</t>
  </si>
  <si>
    <t xml:space="preserve">D0228</t>
  </si>
  <si>
    <t xml:space="preserve">Eromba</t>
  </si>
  <si>
    <t xml:space="preserve">D0238</t>
  </si>
  <si>
    <t xml:space="preserve">Rista</t>
  </si>
  <si>
    <t xml:space="preserve">D0240</t>
  </si>
  <si>
    <t xml:space="preserve">Haak</t>
  </si>
  <si>
    <t xml:space="preserve">D0241</t>
  </si>
  <si>
    <t xml:space="preserve">Modur Pulao</t>
  </si>
  <si>
    <t xml:space="preserve">D0243</t>
  </si>
  <si>
    <t xml:space="preserve">Chha Gosht</t>
  </si>
  <si>
    <t xml:space="preserve">D0247</t>
  </si>
  <si>
    <t xml:space="preserve">Kafuli</t>
  </si>
  <si>
    <t xml:space="preserve">D0250</t>
  </si>
  <si>
    <t xml:space="preserve">Bhutte ka Kees</t>
  </si>
  <si>
    <t xml:space="preserve">D0253</t>
  </si>
  <si>
    <t xml:space="preserve">Mawa Bati</t>
  </si>
  <si>
    <t xml:space="preserve">D0312</t>
  </si>
  <si>
    <t xml:space="preserve">Tandoori Prawns</t>
  </si>
  <si>
    <t xml:space="preserve">D0336</t>
  </si>
  <si>
    <t xml:space="preserve">Vegetable Jalfrezi</t>
  </si>
  <si>
    <t xml:space="preserve">D0393</t>
  </si>
  <si>
    <t xml:space="preserve">Ma La Xiang Guo</t>
  </si>
  <si>
    <t xml:space="preserve">D0433</t>
  </si>
  <si>
    <t xml:space="preserve">Nikujaga</t>
  </si>
  <si>
    <t xml:space="preserve">D0472</t>
  </si>
  <si>
    <t xml:space="preserve">Gai Yang</t>
  </si>
  <si>
    <t xml:space="preserve">D0475</t>
  </si>
  <si>
    <t xml:space="preserve">Tod Mun Pla</t>
  </si>
  <si>
    <t xml:space="preserve">D0485</t>
  </si>
  <si>
    <t xml:space="preserve">Ca Kho To</t>
  </si>
  <si>
    <t xml:space="preserve">D0518</t>
  </si>
  <si>
    <t xml:space="preserve">Lok Lak</t>
  </si>
  <si>
    <t xml:space="preserve">D0520</t>
  </si>
  <si>
    <t xml:space="preserve">Tea Leaf Salad</t>
  </si>
  <si>
    <t xml:space="preserve">D0526</t>
  </si>
  <si>
    <t xml:space="preserve">Sri Lankan Fish Ambul Thiyal</t>
  </si>
  <si>
    <t xml:space="preserve">D0528</t>
  </si>
  <si>
    <t xml:space="preserve">Hilsa Bhapa</t>
  </si>
  <si>
    <t xml:space="preserve">D0537</t>
  </si>
  <si>
    <t xml:space="preserve">Sajji</t>
  </si>
  <si>
    <t xml:space="preserve">D0540</t>
  </si>
  <si>
    <t xml:space="preserve">Mantu</t>
  </si>
  <si>
    <t xml:space="preserve">D0541</t>
  </si>
  <si>
    <t xml:space="preserve">Bolani</t>
  </si>
  <si>
    <t xml:space="preserve">D0545</t>
  </si>
  <si>
    <t xml:space="preserve">Beshbarmak</t>
  </si>
  <si>
    <t xml:space="preserve">Kazakhstan</t>
  </si>
  <si>
    <t xml:space="preserve">D0573</t>
  </si>
  <si>
    <t xml:space="preserve">Pasta alla Norma</t>
  </si>
  <si>
    <t xml:space="preserve">D0575</t>
  </si>
  <si>
    <t xml:space="preserve">Porchetta</t>
  </si>
  <si>
    <t xml:space="preserve">D0581</t>
  </si>
  <si>
    <t xml:space="preserve">Carpaccio</t>
  </si>
  <si>
    <t xml:space="preserve">D0604</t>
  </si>
  <si>
    <t xml:space="preserve">Duck à l'Orange</t>
  </si>
  <si>
    <t xml:space="preserve">D0605</t>
  </si>
  <si>
    <t xml:space="preserve">Tartiflette</t>
  </si>
  <si>
    <t xml:space="preserve">D0607</t>
  </si>
  <si>
    <t xml:space="preserve">Madeleines</t>
  </si>
  <si>
    <t xml:space="preserve">D0610</t>
  </si>
  <si>
    <t xml:space="preserve">Mille-Feuille</t>
  </si>
  <si>
    <t xml:space="preserve">D0613</t>
  </si>
  <si>
    <t xml:space="preserve">Aligot</t>
  </si>
  <si>
    <t xml:space="preserve">D0627</t>
  </si>
  <si>
    <t xml:space="preserve">Pulpo a la Gallega</t>
  </si>
  <si>
    <t xml:space="preserve">D0630</t>
  </si>
  <si>
    <t xml:space="preserve">Salmorejo</t>
  </si>
  <si>
    <t xml:space="preserve">D0633</t>
  </si>
  <si>
    <t xml:space="preserve">Tarta de Santiago</t>
  </si>
  <si>
    <t xml:space="preserve">D0639</t>
  </si>
  <si>
    <t xml:space="preserve">Sardinhas Assadas</t>
  </si>
  <si>
    <t xml:space="preserve">D0640</t>
  </si>
  <si>
    <t xml:space="preserve">Bifana</t>
  </si>
  <si>
    <t xml:space="preserve">D0649</t>
  </si>
  <si>
    <t xml:space="preserve">Toad in the Hole</t>
  </si>
  <si>
    <t xml:space="preserve">D0665</t>
  </si>
  <si>
    <t xml:space="preserve">Kaiserschmarrn</t>
  </si>
  <si>
    <t xml:space="preserve">D0673</t>
  </si>
  <si>
    <t xml:space="preserve">Käsespätzle</t>
  </si>
  <si>
    <t xml:space="preserve">D0676</t>
  </si>
  <si>
    <t xml:space="preserve">Kartoffelsalat</t>
  </si>
  <si>
    <t xml:space="preserve">D0677</t>
  </si>
  <si>
    <t xml:space="preserve">Rouladen</t>
  </si>
  <si>
    <t xml:space="preserve">D0681</t>
  </si>
  <si>
    <t xml:space="preserve">Carbonnade Flamande</t>
  </si>
  <si>
    <t xml:space="preserve">D0684</t>
  </si>
  <si>
    <t xml:space="preserve">Herring (Hollandse Nieuwe)</t>
  </si>
  <si>
    <t xml:space="preserve">D0692</t>
  </si>
  <si>
    <t xml:space="preserve">Karjalanpiirakka</t>
  </si>
  <si>
    <t xml:space="preserve">Finland</t>
  </si>
  <si>
    <t xml:space="preserve">D0693</t>
  </si>
  <si>
    <t xml:space="preserve">Surströmming</t>
  </si>
  <si>
    <t xml:space="preserve">D0694</t>
  </si>
  <si>
    <t xml:space="preserve">Kladdkaka</t>
  </si>
  <si>
    <t xml:space="preserve">D0698</t>
  </si>
  <si>
    <t xml:space="preserve">Dobos Torte</t>
  </si>
  <si>
    <t xml:space="preserve">D0702</t>
  </si>
  <si>
    <t xml:space="preserve">Żurek</t>
  </si>
  <si>
    <t xml:space="preserve">D0703</t>
  </si>
  <si>
    <t xml:space="preserve">Gołąbki</t>
  </si>
  <si>
    <t xml:space="preserve">D0722</t>
  </si>
  <si>
    <t xml:space="preserve">Shopska Salad</t>
  </si>
  <si>
    <t xml:space="preserve">D0733</t>
  </si>
  <si>
    <t xml:space="preserve">Avgolemono</t>
  </si>
  <si>
    <t xml:space="preserve">D0734</t>
  </si>
  <si>
    <t xml:space="preserve">Loukoumades</t>
  </si>
  <si>
    <t xml:space="preserve">D0735</t>
  </si>
  <si>
    <t xml:space="preserve">Kleftiko</t>
  </si>
  <si>
    <t xml:space="preserve">D0742</t>
  </si>
  <si>
    <t xml:space="preserve">Pide</t>
  </si>
  <si>
    <t xml:space="preserve">D0749</t>
  </si>
  <si>
    <t xml:space="preserve">Ezogelin Soup</t>
  </si>
  <si>
    <t xml:space="preserve">D0770</t>
  </si>
  <si>
    <t xml:space="preserve">Grits</t>
  </si>
  <si>
    <t xml:space="preserve">D0778</t>
  </si>
  <si>
    <t xml:space="preserve">Nanaimo Bars</t>
  </si>
  <si>
    <t xml:space="preserve">D0798</t>
  </si>
  <si>
    <t xml:space="preserve">Gallo Pinto</t>
  </si>
  <si>
    <t xml:space="preserve">Costa Rica</t>
  </si>
  <si>
    <t xml:space="preserve">D0805</t>
  </si>
  <si>
    <t xml:space="preserve">Doubles</t>
  </si>
  <si>
    <t xml:space="preserve">Trinidad and Tobago</t>
  </si>
  <si>
    <t xml:space="preserve">D0810</t>
  </si>
  <si>
    <t xml:space="preserve">Anticuchos</t>
  </si>
  <si>
    <t xml:space="preserve">D0825</t>
  </si>
  <si>
    <t xml:space="preserve">Choripán</t>
  </si>
  <si>
    <t xml:space="preserve">D0827</t>
  </si>
  <si>
    <t xml:space="preserve">Pabellón Criollo</t>
  </si>
  <si>
    <t xml:space="preserve">D0845</t>
  </si>
  <si>
    <t xml:space="preserve">Musakhan</t>
  </si>
  <si>
    <t xml:space="preserve">D0848</t>
  </si>
  <si>
    <t xml:space="preserve">Machboos</t>
  </si>
  <si>
    <t xml:space="preserve">D0850</t>
  </si>
  <si>
    <t xml:space="preserve">Harees</t>
  </si>
  <si>
    <t xml:space="preserve">D0853</t>
  </si>
  <si>
    <t xml:space="preserve">Masgouf</t>
  </si>
  <si>
    <t xml:space="preserve">Iraq</t>
  </si>
  <si>
    <t xml:space="preserve">D0858</t>
  </si>
  <si>
    <t xml:space="preserve">Tahdig</t>
  </si>
  <si>
    <t xml:space="preserve">D0859</t>
  </si>
  <si>
    <t xml:space="preserve">Joojeh Kabab</t>
  </si>
  <si>
    <t xml:space="preserve">D0873</t>
  </si>
  <si>
    <t xml:space="preserve">Kitfo</t>
  </si>
  <si>
    <t xml:space="preserve">D0875</t>
  </si>
  <si>
    <t xml:space="preserve">Suya</t>
  </si>
  <si>
    <t xml:space="preserve">D0879</t>
  </si>
  <si>
    <t xml:space="preserve">Moi Moi</t>
  </si>
  <si>
    <t xml:space="preserve">D0882</t>
  </si>
  <si>
    <t xml:space="preserve">Waakye</t>
  </si>
  <si>
    <t xml:space="preserve">D0890</t>
  </si>
  <si>
    <t xml:space="preserve">Malva Pudding</t>
  </si>
  <si>
    <t xml:space="preserve">D0891</t>
  </si>
  <si>
    <t xml:space="preserve">Chakalaka</t>
  </si>
  <si>
    <t xml:space="preserve">D0895</t>
  </si>
  <si>
    <t xml:space="preserve">Pilau (Zanzibar)</t>
  </si>
  <si>
    <t xml:space="preserve">Tanzania</t>
  </si>
  <si>
    <t xml:space="preserve">D0896</t>
  </si>
  <si>
    <t xml:space="preserve">Rolex (Uganda)</t>
  </si>
  <si>
    <t xml:space="preserve">Uganda</t>
  </si>
  <si>
    <t xml:space="preserve">D0897</t>
  </si>
  <si>
    <t xml:space="preserve">Piri Piri Prawns</t>
  </si>
  <si>
    <t xml:space="preserve">Mozambique</t>
  </si>
  <si>
    <t xml:space="preserve">D0898</t>
  </si>
  <si>
    <t xml:space="preserve">Romazava</t>
  </si>
  <si>
    <t xml:space="preserve">Madagascar</t>
  </si>
  <si>
    <t xml:space="preserve">D0903</t>
  </si>
  <si>
    <t xml:space="preserve">Anzac Biscuits</t>
  </si>
  <si>
    <t xml:space="preserve">D0904</t>
  </si>
  <si>
    <t xml:space="preserve">Fairy Bread</t>
  </si>
  <si>
    <t xml:space="preserve">D0905</t>
  </si>
  <si>
    <t xml:space="preserve">Barramundi</t>
  </si>
  <si>
    <t xml:space="preserve">D0908</t>
  </si>
  <si>
    <t xml:space="preserve">Kokoda</t>
  </si>
  <si>
    <t xml:space="preserve">Fiji</t>
  </si>
  <si>
    <t xml:space="preserve">D0015</t>
  </si>
  <si>
    <t xml:space="preserve">Pinni</t>
  </si>
  <si>
    <t xml:space="preserve">D0030</t>
  </si>
  <si>
    <t xml:space="preserve">Parathe Wali Gali Paratha</t>
  </si>
  <si>
    <t xml:space="preserve">D0045</t>
  </si>
  <si>
    <t xml:space="preserve">Tamatar Chaat</t>
  </si>
  <si>
    <t xml:space="preserve">D0057</t>
  </si>
  <si>
    <t xml:space="preserve">Mohan Thaal</t>
  </si>
  <si>
    <t xml:space="preserve">D0067</t>
  </si>
  <si>
    <t xml:space="preserve">Sev Tameta</t>
  </si>
  <si>
    <t xml:space="preserve">D0083</t>
  </si>
  <si>
    <t xml:space="preserve">Zunka Bhakri</t>
  </si>
  <si>
    <t xml:space="preserve">D0094</t>
  </si>
  <si>
    <t xml:space="preserve">Akuri</t>
  </si>
  <si>
    <t xml:space="preserve">D0110</t>
  </si>
  <si>
    <t xml:space="preserve">Ros Omelette</t>
  </si>
  <si>
    <t xml:space="preserve">D0137</t>
  </si>
  <si>
    <t xml:space="preserve">Nethili Fry</t>
  </si>
  <si>
    <t xml:space="preserve">D0153</t>
  </si>
  <si>
    <t xml:space="preserve">Erissery</t>
  </si>
  <si>
    <t xml:space="preserve">D0166</t>
  </si>
  <si>
    <t xml:space="preserve">Kane Rava Fry</t>
  </si>
  <si>
    <t xml:space="preserve">D0182</t>
  </si>
  <si>
    <t xml:space="preserve">Pootharekulu</t>
  </si>
  <si>
    <t xml:space="preserve">D0185</t>
  </si>
  <si>
    <t xml:space="preserve">Royyala Iguru</t>
  </si>
  <si>
    <t xml:space="preserve">D0186</t>
  </si>
  <si>
    <t xml:space="preserve">Pachi Pulusu</t>
  </si>
  <si>
    <t xml:space="preserve">D0190</t>
  </si>
  <si>
    <t xml:space="preserve">Lukhmi</t>
  </si>
  <si>
    <t xml:space="preserve">D0212</t>
  </si>
  <si>
    <t xml:space="preserve">Mochar Ghonto</t>
  </si>
  <si>
    <t xml:space="preserve">D0217</t>
  </si>
  <si>
    <t xml:space="preserve">Rasabali</t>
  </si>
  <si>
    <t xml:space="preserve">D0223</t>
  </si>
  <si>
    <t xml:space="preserve">Duck Curry with Ash Gourd</t>
  </si>
  <si>
    <t xml:space="preserve">D0227</t>
  </si>
  <si>
    <t xml:space="preserve">Phagshapa</t>
  </si>
  <si>
    <t xml:space="preserve">D0232</t>
  </si>
  <si>
    <t xml:space="preserve">Chak-Hao Kheer</t>
  </si>
  <si>
    <t xml:space="preserve">D0233</t>
  </si>
  <si>
    <t xml:space="preserve">Zan</t>
  </si>
  <si>
    <t xml:space="preserve">D0234</t>
  </si>
  <si>
    <t xml:space="preserve">Mui Borok</t>
  </si>
  <si>
    <t xml:space="preserve">D0245</t>
  </si>
  <si>
    <t xml:space="preserve">Aloo ke Gutke</t>
  </si>
  <si>
    <t xml:space="preserve">D0248</t>
  </si>
  <si>
    <t xml:space="preserve">Bhatt ki Churkani</t>
  </si>
  <si>
    <t xml:space="preserve">D0275</t>
  </si>
  <si>
    <t xml:space="preserve">Boondi Raita</t>
  </si>
  <si>
    <t xml:space="preserve">D0342</t>
  </si>
  <si>
    <t xml:space="preserve">Pav</t>
  </si>
  <si>
    <t xml:space="preserve">D0357</t>
  </si>
  <si>
    <t xml:space="preserve">Mangalore Bajji</t>
  </si>
  <si>
    <t xml:space="preserve">D0358</t>
  </si>
  <si>
    <t xml:space="preserve">Ulavacharu</t>
  </si>
  <si>
    <t xml:space="preserve">D0362</t>
  </si>
  <si>
    <t xml:space="preserve">Malai Chop</t>
  </si>
  <si>
    <t xml:space="preserve">D0455</t>
  </si>
  <si>
    <t xml:space="preserve">Bossam</t>
  </si>
  <si>
    <t xml:space="preserve">D0456</t>
  </si>
  <si>
    <t xml:space="preserve">Doenjang Jjigae</t>
  </si>
  <si>
    <t xml:space="preserve">D0474</t>
  </si>
  <si>
    <t xml:space="preserve">Moo Ping</t>
  </si>
  <si>
    <t xml:space="preserve">D0516</t>
  </si>
  <si>
    <t xml:space="preserve">Arroz Caldo</t>
  </si>
  <si>
    <t xml:space="preserve">D0525</t>
  </si>
  <si>
    <t xml:space="preserve">Pol Sambol</t>
  </si>
  <si>
    <t xml:space="preserve">D0544</t>
  </si>
  <si>
    <t xml:space="preserve">Samsa</t>
  </si>
  <si>
    <t xml:space="preserve">D0546</t>
  </si>
  <si>
    <t xml:space="preserve">Buuz</t>
  </si>
  <si>
    <t xml:space="preserve">Mongolia</t>
  </si>
  <si>
    <t xml:space="preserve">D0547</t>
  </si>
  <si>
    <t xml:space="preserve">Khuushuur</t>
  </si>
  <si>
    <t xml:space="preserve">D0574</t>
  </si>
  <si>
    <t xml:space="preserve">Bistecca alla Fiorentina</t>
  </si>
  <si>
    <t xml:space="preserve">D0632</t>
  </si>
  <si>
    <t xml:space="preserve">Pimientos de Padrón</t>
  </si>
  <si>
    <t xml:space="preserve">D0653</t>
  </si>
  <si>
    <t xml:space="preserve">Eton Mess</t>
  </si>
  <si>
    <t xml:space="preserve">D0685</t>
  </si>
  <si>
    <t xml:space="preserve">Poffertjes</t>
  </si>
  <si>
    <t xml:space="preserve">D0691</t>
  </si>
  <si>
    <t xml:space="preserve">Fårikål</t>
  </si>
  <si>
    <t xml:space="preserve">Norway</t>
  </si>
  <si>
    <t xml:space="preserve">D0713</t>
  </si>
  <si>
    <t xml:space="preserve">Syrniki</t>
  </si>
  <si>
    <t xml:space="preserve">D0719</t>
  </si>
  <si>
    <t xml:space="preserve">Mici</t>
  </si>
  <si>
    <t xml:space="preserve">Romania</t>
  </si>
  <si>
    <t xml:space="preserve">D0741</t>
  </si>
  <si>
    <t xml:space="preserve">Menemen</t>
  </si>
  <si>
    <t xml:space="preserve">D0744</t>
  </si>
  <si>
    <t xml:space="preserve">Simit</t>
  </si>
  <si>
    <t xml:space="preserve">D0769</t>
  </si>
  <si>
    <t xml:space="preserve">Biscuits and Gravy</t>
  </si>
  <si>
    <t xml:space="preserve">D0804</t>
  </si>
  <si>
    <t xml:space="preserve">Mofongo</t>
  </si>
  <si>
    <t xml:space="preserve">D0863</t>
  </si>
  <si>
    <t xml:space="preserve">Molokhia</t>
  </si>
  <si>
    <t xml:space="preserve">D0872</t>
  </si>
  <si>
    <t xml:space="preserve">Shiro</t>
  </si>
  <si>
    <t xml:space="preserve">D0877</t>
  </si>
  <si>
    <t xml:space="preserve">Pounded Yam</t>
  </si>
  <si>
    <t xml:space="preserve">D0878</t>
  </si>
  <si>
    <t xml:space="preserve">Puff-Puff</t>
  </si>
  <si>
    <t xml:space="preserve">D0881</t>
  </si>
  <si>
    <t xml:space="preserve">Kelewele</t>
  </si>
  <si>
    <t xml:space="preserve">D0907</t>
  </si>
  <si>
    <t xml:space="preserve">Hokey Pokey Ice Cream</t>
  </si>
  <si>
    <t xml:space="preserve">D0128</t>
  </si>
  <si>
    <t xml:space="preserve">Dindigul Biryani</t>
  </si>
  <si>
    <t xml:space="preserve">Near-duplicate: Dindigul Biryani is close to other South Indian biryanis</t>
  </si>
  <si>
    <t xml:space="preserve">D0129</t>
  </si>
  <si>
    <t xml:space="preserve">Ambur Biryani</t>
  </si>
  <si>
    <t xml:space="preserve">Near-duplicate: Ambur Biryani is close to other South Indian biryanis</t>
  </si>
  <si>
    <t xml:space="preserve">D0163</t>
  </si>
  <si>
    <t xml:space="preserve">Rava Idli</t>
  </si>
  <si>
    <t xml:space="preserve">Near-duplicate: Rava Idli duplicates Idli</t>
  </si>
  <si>
    <t xml:space="preserve">D0284</t>
  </si>
  <si>
    <t xml:space="preserve">Bread Pakora</t>
  </si>
  <si>
    <t xml:space="preserve">Near-duplicate: Bread Pakora overlaps Pakora</t>
  </si>
  <si>
    <t xml:space="preserve">D0348</t>
  </si>
  <si>
    <t xml:space="preserve">Kulfi Falooda</t>
  </si>
  <si>
    <t xml:space="preserve">Near-duplicate: Kulfi Falooda duplicates Kulfi and Falooda</t>
  </si>
  <si>
    <t xml:space="preserve">D0490</t>
  </si>
  <si>
    <t xml:space="preserve">Assam Laksa</t>
  </si>
  <si>
    <t xml:space="preserve">Near-duplicate: Assam Laksa overlaps Laksa</t>
  </si>
  <si>
    <t xml:space="preserve">D0531</t>
  </si>
  <si>
    <t xml:space="preserve">Momo (Nepal)</t>
  </si>
  <si>
    <t xml:space="preserve">Near-duplicate: Nepali Momo duplicates Momos</t>
  </si>
  <si>
    <t xml:space="preserve">D0619</t>
  </si>
  <si>
    <t xml:space="preserve">Seafood Paella</t>
  </si>
  <si>
    <t xml:space="preserve">Near-duplicate: Seafood Paella duplicates Paella</t>
  </si>
  <si>
    <t xml:space="preserve">D0679</t>
  </si>
  <si>
    <t xml:space="preserve">Moules-Frites</t>
  </si>
  <si>
    <t xml:space="preserve">Near-duplicate: Moules-Frites overlaps Moules Marinières</t>
  </si>
  <si>
    <t xml:space="preserve">D0746</t>
  </si>
  <si>
    <t xml:space="preserve">Künefe</t>
  </si>
  <si>
    <t xml:space="preserve">Near-duplicate: Künefe duplicates Knafeh</t>
  </si>
  <si>
    <t xml:space="preserve">D0039</t>
  </si>
  <si>
    <t xml:space="preserve">Sheermal</t>
  </si>
  <si>
    <t xml:space="preserve">D0048</t>
  </si>
  <si>
    <t xml:space="preserve">Khaja</t>
  </si>
  <si>
    <t xml:space="preserve">D0208</t>
  </si>
  <si>
    <t xml:space="preserve">Chanar Dalna</t>
  </si>
  <si>
    <t xml:space="preserve">D0219</t>
  </si>
  <si>
    <t xml:space="preserve">Machha Besara</t>
  </si>
  <si>
    <t xml:space="preserve">D0230</t>
  </si>
  <si>
    <t xml:space="preserve">Jadoh</t>
  </si>
  <si>
    <t xml:space="preserve">D0302</t>
  </si>
  <si>
    <t xml:space="preserve">Shakarpara</t>
  </si>
  <si>
    <t xml:space="preserve">D0344</t>
  </si>
  <si>
    <t xml:space="preserve">Lime Pickle</t>
  </si>
  <si>
    <t xml:space="preserve">D0359</t>
  </si>
  <si>
    <t xml:space="preserve">Kheema Samosa</t>
  </si>
  <si>
    <t xml:space="preserve">D0538</t>
  </si>
  <si>
    <t xml:space="preserve">Paya</t>
  </si>
  <si>
    <t xml:space="preserve">D0582</t>
  </si>
  <si>
    <t xml:space="preserve">Prosciutto e Melone</t>
  </si>
  <si>
    <t xml:space="preserve">D0629</t>
  </si>
  <si>
    <t xml:space="preserve">Pan con Tomate</t>
  </si>
  <si>
    <t xml:space="preserve">D0661</t>
  </si>
  <si>
    <t xml:space="preserve">Soda Bread</t>
  </si>
  <si>
    <t xml:space="preserve">D0747</t>
  </si>
  <si>
    <t xml:space="preserve">Imam Bayildi</t>
  </si>
  <si>
    <t xml:space="preserve">D0892</t>
  </si>
  <si>
    <t xml:space="preserve">Ugali</t>
  </si>
  <si>
    <t xml:space="preserve">D0894</t>
  </si>
  <si>
    <t xml:space="preserve">Sukuma Wiki</t>
  </si>
  <si>
    <t xml:space="preserve">D0091</t>
  </si>
  <si>
    <t xml:space="preserve">Kanda Bhaji</t>
  </si>
  <si>
    <t xml:space="preserve">Near-duplicate: Kanda Bhaji overlaps Pakora</t>
  </si>
  <si>
    <t xml:space="preserve">D0303</t>
  </si>
  <si>
    <t xml:space="preserve">Chakli</t>
  </si>
  <si>
    <t xml:space="preserve">Near-duplicate: Chakli overlaps Murukku</t>
  </si>
  <si>
    <t xml:space="preserve">D0314</t>
  </si>
  <si>
    <t xml:space="preserve">Dahi Vada</t>
  </si>
  <si>
    <t xml:space="preserve">Near-duplicate: Dahi Vada overlaps Dahi Bhalla</t>
  </si>
  <si>
    <t xml:space="preserve">D0404</t>
  </si>
  <si>
    <t xml:space="preserve">Tonkotsu Ramen</t>
  </si>
  <si>
    <t xml:space="preserve">Near-duplicate: Tonkotsu Ramen duplicates Ramen</t>
  </si>
  <si>
    <t xml:space="preserve">D0706</t>
  </si>
  <si>
    <t xml:space="preserve">Varenyky</t>
  </si>
  <si>
    <t xml:space="preserve">Near-duplicate: Varenyky duplicates Pierogi</t>
  </si>
  <si>
    <t xml:space="preserve">D0277</t>
  </si>
  <si>
    <t xml:space="preserve">Roti</t>
  </si>
  <si>
    <t xml:space="preserve">D0308</t>
  </si>
  <si>
    <t xml:space="preserve">Tandoori Roti</t>
  </si>
  <si>
    <t xml:space="preserve">D0011</t>
  </si>
  <si>
    <t xml:space="preserve">Pindi Chole</t>
  </si>
  <si>
    <t xml:space="preserve">Near-duplicate: Pindi Chole overlaps Chole Bhature and Chana Masala</t>
  </si>
  <si>
    <t xml:space="preserve">D0037</t>
  </si>
  <si>
    <t xml:space="preserve">Tunday Kebab</t>
  </si>
  <si>
    <t xml:space="preserve">Near-duplicate: Tunday Kebab is the Galouti Kebab</t>
  </si>
  <si>
    <t xml:space="preserve">D0171</t>
  </si>
  <si>
    <t xml:space="preserve">Holige</t>
  </si>
  <si>
    <t xml:space="preserve">Near-duplicate: Holige overlaps Puran Poli</t>
  </si>
  <si>
    <t xml:space="preserve">D0334</t>
  </si>
  <si>
    <t xml:space="preserve">Dum Aloo</t>
  </si>
  <si>
    <t xml:space="preserve">Near-duplicate: Dum Aloo duplicates Kashmiri Dum Aloo</t>
  </si>
  <si>
    <t xml:space="preserve">D0339</t>
  </si>
  <si>
    <t xml:space="preserve">Matar Kulcha</t>
  </si>
  <si>
    <t xml:space="preserve">Near-duplicate: Matar Kulcha duplicates Chole Kulche</t>
  </si>
  <si>
    <t xml:space="preserve">D0071</t>
  </si>
  <si>
    <t xml:space="preserve">Khaman</t>
  </si>
  <si>
    <t xml:space="preserve">Near-duplicate: Khaman is the same family as Dhokla</t>
  </si>
  <si>
    <t xml:space="preserve">D0332</t>
  </si>
  <si>
    <t xml:space="preserve">Moong Dal Chilla</t>
  </si>
  <si>
    <t xml:space="preserve">Near-duplicate: Moong Dal Chilla duplicates Besan Chilla</t>
  </si>
  <si>
    <t xml:space="preserve">D0090</t>
  </si>
  <si>
    <t xml:space="preserve">Shrikhand Puri</t>
  </si>
  <si>
    <t xml:space="preserve">Near-duplicate: Shrikhand Puri duplicates Shrikhand</t>
  </si>
  <si>
    <t xml:space="preserve">D0340</t>
  </si>
  <si>
    <t xml:space="preserve">Tandoori Momos</t>
  </si>
  <si>
    <t xml:space="preserve">Near-duplicate: Tandoori Momos is a variant of Momos</t>
  </si>
  <si>
    <t xml:space="preserve">D0521</t>
  </si>
  <si>
    <t xml:space="preserve">Larb Lao</t>
  </si>
  <si>
    <t xml:space="preserve">Laos</t>
  </si>
  <si>
    <t xml:space="preserve">Near-duplicate: Lao Larb duplicates Larb</t>
  </si>
  <si>
    <t xml:space="preserve">D0576</t>
  </si>
  <si>
    <t xml:space="preserve">Pizza Napoletana</t>
  </si>
  <si>
    <t xml:space="preserve">Near-duplicate: Pizza Napoletana duplicates Margherita Pizza</t>
  </si>
  <si>
    <t xml:space="preserve">D0707</t>
  </si>
  <si>
    <t xml:space="preserve">Holubtsi</t>
  </si>
  <si>
    <t xml:space="preserve">Near-duplicate: Holubtsi duplicates Gołąbki</t>
  </si>
  <si>
    <t xml:space="preserve">D0720</t>
  </si>
  <si>
    <t xml:space="preserve">Sarmale</t>
  </si>
  <si>
    <t xml:space="preserve">Near-duplicate: Sarmale duplicates Sarma</t>
  </si>
  <si>
    <t xml:space="preserve">D0854</t>
  </si>
  <si>
    <t xml:space="preserve">Dolma (Iraq)</t>
  </si>
  <si>
    <t xml:space="preserve">Near-duplicate: Iraqi Dolma duplicates Dolmades</t>
  </si>
  <si>
    <t xml:space="preserve">D0323</t>
  </si>
  <si>
    <t xml:space="preserve">Chicken Chettinad Biryani</t>
  </si>
  <si>
    <t xml:space="preserve">Near-duplicate: Chettinad Biryani overlaps Chettinad Chicken and other biryanis</t>
  </si>
  <si>
    <t xml:space="preserve">D0351</t>
  </si>
  <si>
    <t xml:space="preserve">Rava Ladoo</t>
  </si>
  <si>
    <t xml:space="preserve">Near-duplicate: Rava Ladoo duplicates other ladoos</t>
  </si>
  <si>
    <t xml:space="preserve">D0355</t>
  </si>
  <si>
    <t xml:space="preserve">Paal Payasam</t>
  </si>
  <si>
    <t xml:space="preserve">Near-duplicate: Paal Payasam duplicates other payasams</t>
  </si>
  <si>
    <t xml:space="preserve">D0529</t>
  </si>
  <si>
    <t xml:space="preserve">Pitha (Bangladesh)</t>
  </si>
  <si>
    <t xml:space="preserve">Near-duplicate: Bangladeshi Pitha duplicates Assamese Pitha</t>
  </si>
  <si>
    <t xml:space="preserve">D0657</t>
  </si>
  <si>
    <t xml:space="preserve">Cottage Pie</t>
  </si>
  <si>
    <t xml:space="preserve">Near-duplicate: Cottage Pie duplicates Shepherd's Pie</t>
  </si>
  <si>
    <t xml:space="preserve">D0252</t>
  </si>
  <si>
    <t xml:space="preserve">Seekh Kebab Bhopali</t>
  </si>
  <si>
    <t xml:space="preserve">Near-duplicate: Bhopali Seekh Kebab duplicates Seekh Kebab</t>
  </si>
  <si>
    <t xml:space="preserve">D0269</t>
  </si>
  <si>
    <t xml:space="preserve">Fish Fry</t>
  </si>
  <si>
    <t xml:space="preserve">Near-duplicate: Fish Fry duplicates Kolkata Fish Fry</t>
  </si>
  <si>
    <t xml:space="preserve">D0333</t>
  </si>
  <si>
    <t xml:space="preserve">Methi Thepla</t>
  </si>
  <si>
    <t xml:space="preserve">Near-duplicate: Methi Thepla duplicates Thepla</t>
  </si>
  <si>
    <t xml:space="preserve">D0338</t>
  </si>
  <si>
    <t xml:space="preserve">Pindi Rajma</t>
  </si>
  <si>
    <t xml:space="preserve">Near-duplicate: Pindi Rajma duplicates Rajma Chawal</t>
  </si>
  <si>
    <t xml:space="preserve">D0266</t>
  </si>
  <si>
    <t xml:space="preserve">Dal Fry</t>
  </si>
  <si>
    <t xml:space="preserve">Near-duplicate: Dal Fry duplicates Dal Tadka</t>
  </si>
  <si>
    <t xml:space="preserve">B0133</t>
  </si>
  <si>
    <t xml:space="preserve">Lager</t>
  </si>
  <si>
    <t xml:space="preserve">Single-ingredient product with few telling clues</t>
  </si>
  <si>
    <t xml:space="preserve">B0136</t>
  </si>
  <si>
    <t xml:space="preserve">IPA</t>
  </si>
  <si>
    <t xml:space="preserve">B0140</t>
  </si>
  <si>
    <t xml:space="preserve">Shandy</t>
  </si>
  <si>
    <t xml:space="preserve">B0157</t>
  </si>
  <si>
    <t xml:space="preserve">Jasmine Tea</t>
  </si>
  <si>
    <t xml:space="preserve">B0209</t>
  </si>
  <si>
    <t xml:space="preserve">Kokum Sharbat</t>
  </si>
  <si>
    <t xml:space="preserve">B0218</t>
  </si>
  <si>
    <t xml:space="preserve">Virgin Mojito</t>
  </si>
  <si>
    <t xml:space="preserve">Near-duplicate: Virgin Mojito duplicates Mojito</t>
  </si>
  <si>
    <t xml:space="preserve">B0037</t>
  </si>
  <si>
    <t xml:space="preserve">B0038</t>
  </si>
  <si>
    <t xml:space="preserve">Zombie</t>
  </si>
  <si>
    <t xml:space="preserve">B0049</t>
  </si>
  <si>
    <t xml:space="preserve">Corpse Reviver No. 2</t>
  </si>
  <si>
    <t xml:space="preserve">B0059</t>
  </si>
  <si>
    <t xml:space="preserve">Ramos Gin Fizz</t>
  </si>
  <si>
    <t xml:space="preserve">B0071</t>
  </si>
  <si>
    <t xml:space="preserve">Caesar</t>
  </si>
  <si>
    <t xml:space="preserve">B0119</t>
  </si>
  <si>
    <t xml:space="preserve">Chhaang</t>
  </si>
  <si>
    <t xml:space="preserve">B0129</t>
  </si>
  <si>
    <t xml:space="preserve">Kefir</t>
  </si>
  <si>
    <t xml:space="preserve">B0167</t>
  </si>
  <si>
    <t xml:space="preserve">Sahlab</t>
  </si>
  <si>
    <t xml:space="preserve">B0170</t>
  </si>
  <si>
    <t xml:space="preserve">Atole</t>
  </si>
  <si>
    <t xml:space="preserve">B0183</t>
  </si>
  <si>
    <t xml:space="preserve">Egg Cream</t>
  </si>
  <si>
    <t xml:space="preserve">B0198</t>
  </si>
  <si>
    <t xml:space="preserve">Jallab</t>
  </si>
  <si>
    <t xml:space="preserve">B0204</t>
  </si>
  <si>
    <t xml:space="preserve">Es Teler</t>
  </si>
  <si>
    <t xml:space="preserve">B0207</t>
  </si>
  <si>
    <t xml:space="preserve">Chapman</t>
  </si>
  <si>
    <t xml:space="preserve">B0034</t>
  </si>
  <si>
    <t xml:space="preserve">Sazerac</t>
  </si>
  <si>
    <t xml:space="preserve">B0035</t>
  </si>
  <si>
    <t xml:space="preserve">Boulevardier</t>
  </si>
  <si>
    <t xml:space="preserve">B0036</t>
  </si>
  <si>
    <t xml:space="preserve">Americano</t>
  </si>
  <si>
    <t xml:space="preserve">B0043</t>
  </si>
  <si>
    <t xml:space="preserve">Clover Club</t>
  </si>
  <si>
    <t xml:space="preserve">B0044</t>
  </si>
  <si>
    <t xml:space="preserve">Aviation</t>
  </si>
  <si>
    <t xml:space="preserve">B0045</t>
  </si>
  <si>
    <t xml:space="preserve">Last Word</t>
  </si>
  <si>
    <t xml:space="preserve">B0046</t>
  </si>
  <si>
    <t xml:space="preserve">Penicillin</t>
  </si>
  <si>
    <t xml:space="preserve">B0047</t>
  </si>
  <si>
    <t xml:space="preserve">Paper Plane</t>
  </si>
  <si>
    <t xml:space="preserve">B0048</t>
  </si>
  <si>
    <t xml:space="preserve">Hanky Panky</t>
  </si>
  <si>
    <t xml:space="preserve">B0055</t>
  </si>
  <si>
    <t xml:space="preserve">Brandy Alexander</t>
  </si>
  <si>
    <t xml:space="preserve">B0056</t>
  </si>
  <si>
    <t xml:space="preserve">Mudslide</t>
  </si>
  <si>
    <t xml:space="preserve">Cayman Islands</t>
  </si>
  <si>
    <t xml:space="preserve">B0061</t>
  </si>
  <si>
    <t xml:space="preserve">El Diablo</t>
  </si>
  <si>
    <t xml:space="preserve">B0066</t>
  </si>
  <si>
    <t xml:space="preserve">Hugo Spritz</t>
  </si>
  <si>
    <t xml:space="preserve">B0073</t>
  </si>
  <si>
    <t xml:space="preserve">Lychee Martini</t>
  </si>
  <si>
    <t xml:space="preserve">B0079</t>
  </si>
  <si>
    <t xml:space="preserve">Feni Cocktail</t>
  </si>
  <si>
    <t xml:space="preserve">B0118</t>
  </si>
  <si>
    <t xml:space="preserve">Handia</t>
  </si>
  <si>
    <t xml:space="preserve">B0121</t>
  </si>
  <si>
    <t xml:space="preserve">Pulque</t>
  </si>
  <si>
    <t xml:space="preserve">B0122</t>
  </si>
  <si>
    <t xml:space="preserve">Chicha</t>
  </si>
  <si>
    <t xml:space="preserve">B0125</t>
  </si>
  <si>
    <t xml:space="preserve">Tej</t>
  </si>
  <si>
    <t xml:space="preserve">B0126</t>
  </si>
  <si>
    <t xml:space="preserve">Palm Wine</t>
  </si>
  <si>
    <t xml:space="preserve">B0149</t>
  </si>
  <si>
    <t xml:space="preserve">Café de Olla</t>
  </si>
  <si>
    <t xml:space="preserve">B0166</t>
  </si>
  <si>
    <t xml:space="preserve">Chai Karak</t>
  </si>
  <si>
    <t xml:space="preserve">B0202</t>
  </si>
  <si>
    <t xml:space="preserve">Bandung</t>
  </si>
  <si>
    <t xml:space="preserve">B0211</t>
  </si>
  <si>
    <t xml:space="preserve">Panakam</t>
  </si>
  <si>
    <t xml:space="preserve">B0246</t>
  </si>
  <si>
    <t xml:space="preserve">Egg Coffee</t>
  </si>
  <si>
    <t xml:space="preserve">B0040</t>
  </si>
  <si>
    <t xml:space="preserve">Kir Royale</t>
  </si>
  <si>
    <t xml:space="preserve">B0052</t>
  </si>
  <si>
    <t xml:space="preserve">Rusty Nail</t>
  </si>
  <si>
    <t xml:space="preserve">B0053</t>
  </si>
  <si>
    <t xml:space="preserve">Godfather</t>
  </si>
  <si>
    <t xml:space="preserve">B0054</t>
  </si>
  <si>
    <t xml:space="preserve">Grasshopper</t>
  </si>
  <si>
    <t xml:space="preserve">B0057</t>
  </si>
  <si>
    <t xml:space="preserve">Bramble</t>
  </si>
  <si>
    <t xml:space="preserve">B0058</t>
  </si>
  <si>
    <t xml:space="preserve">Southside</t>
  </si>
  <si>
    <t xml:space="preserve">B0064</t>
  </si>
  <si>
    <t xml:space="preserve">Tinto de Verano</t>
  </si>
  <si>
    <t xml:space="preserve">B0074</t>
  </si>
  <si>
    <t xml:space="preserve">Appletini</t>
  </si>
  <si>
    <t xml:space="preserve">B0075</t>
  </si>
  <si>
    <t xml:space="preserve">Bee's Knees</t>
  </si>
  <si>
    <t xml:space="preserve">B0076</t>
  </si>
  <si>
    <t xml:space="preserve">Kamikaze</t>
  </si>
  <si>
    <t xml:space="preserve">B0094</t>
  </si>
  <si>
    <t xml:space="preserve">Calvados</t>
  </si>
  <si>
    <t xml:space="preserve">B0096</t>
  </si>
  <si>
    <t xml:space="preserve">Armagnac</t>
  </si>
  <si>
    <t xml:space="preserve">B0120</t>
  </si>
  <si>
    <t xml:space="preserve">Tongba</t>
  </si>
  <si>
    <t xml:space="preserve">B0123</t>
  </si>
  <si>
    <t xml:space="preserve">Kvass</t>
  </si>
  <si>
    <t xml:space="preserve">B0131</t>
  </si>
  <si>
    <t xml:space="preserve">Doogh</t>
  </si>
  <si>
    <t xml:space="preserve">B0132</t>
  </si>
  <si>
    <t xml:space="preserve">Kumis</t>
  </si>
  <si>
    <t xml:space="preserve">B0134</t>
  </si>
  <si>
    <t xml:space="preserve">Pilsner</t>
  </si>
  <si>
    <t xml:space="preserve">B0137</t>
  </si>
  <si>
    <t xml:space="preserve">Hefeweizen</t>
  </si>
  <si>
    <t xml:space="preserve">B0139</t>
  </si>
  <si>
    <t xml:space="preserve">Lambic</t>
  </si>
  <si>
    <t xml:space="preserve">B0168</t>
  </si>
  <si>
    <t xml:space="preserve">Salep</t>
  </si>
  <si>
    <t xml:space="preserve">B0189</t>
  </si>
  <si>
    <t xml:space="preserve">Mauby</t>
  </si>
  <si>
    <t xml:space="preserve">B0191</t>
  </si>
  <si>
    <t xml:space="preserve">Sikhye</t>
  </si>
  <si>
    <t xml:space="preserve">B0193</t>
  </si>
  <si>
    <t xml:space="preserve">Buko Juice</t>
  </si>
  <si>
    <t xml:space="preserve">B0195</t>
  </si>
  <si>
    <t xml:space="preserve">Inca Kola</t>
  </si>
  <si>
    <t xml:space="preserve">B0197</t>
  </si>
  <si>
    <t xml:space="preserve">Mote con Huesillo</t>
  </si>
  <si>
    <t xml:space="preserve">B0223</t>
  </si>
  <si>
    <t xml:space="preserve">Watermelon Mint Cooler</t>
  </si>
  <si>
    <t xml:space="preserve">B0247</t>
  </si>
  <si>
    <t xml:space="preserve">Butter Tea</t>
  </si>
  <si>
    <t xml:space="preserve">Tibet</t>
  </si>
  <si>
    <t xml:space="preserve">B0087</t>
  </si>
  <si>
    <t xml:space="preserve">Cachaça</t>
  </si>
  <si>
    <t xml:space="preserve">B0101</t>
  </si>
  <si>
    <t xml:space="preserve">Vinho Verde</t>
  </si>
  <si>
    <t xml:space="preserve">B0102</t>
  </si>
  <si>
    <t xml:space="preserve">Retsina</t>
  </si>
  <si>
    <t xml:space="preserve">B0103</t>
  </si>
  <si>
    <t xml:space="preserve">Tokaji</t>
  </si>
  <si>
    <t xml:space="preserve">B0111</t>
  </si>
  <si>
    <t xml:space="preserve">Aquavit</t>
  </si>
  <si>
    <t xml:space="preserve">B0112</t>
  </si>
  <si>
    <t xml:space="preserve">Pálinka</t>
  </si>
  <si>
    <t xml:space="preserve">B0113</t>
  </si>
  <si>
    <t xml:space="preserve">Slivovitz</t>
  </si>
  <si>
    <t xml:space="preserve">B0114</t>
  </si>
  <si>
    <t xml:space="preserve">Chacha</t>
  </si>
  <si>
    <t xml:space="preserve">B0116</t>
  </si>
  <si>
    <t xml:space="preserve">Mahua</t>
  </si>
  <si>
    <t xml:space="preserve">B0124</t>
  </si>
  <si>
    <t xml:space="preserve">Mead</t>
  </si>
  <si>
    <t xml:space="preserve">B0138</t>
  </si>
  <si>
    <t xml:space="preserve">Belgian Tripel</t>
  </si>
  <si>
    <t xml:space="preserve">B0159</t>
  </si>
  <si>
    <t xml:space="preserve">Pu-erh</t>
  </si>
  <si>
    <t xml:space="preserve">B0186</t>
  </si>
  <si>
    <t xml:space="preserve">Lemon Squash</t>
  </si>
  <si>
    <t xml:space="preserve">B0192</t>
  </si>
  <si>
    <t xml:space="preserve">Calamansi Juice</t>
  </si>
  <si>
    <t xml:space="preserve">B0199</t>
  </si>
  <si>
    <t xml:space="preserve">Tamar Hindi</t>
  </si>
  <si>
    <t xml:space="preserve">B0201</t>
  </si>
  <si>
    <t xml:space="preserve">Qamar al-Din</t>
  </si>
  <si>
    <t xml:space="preserve">Syria</t>
  </si>
  <si>
    <t xml:space="preserve">B0213</t>
  </si>
  <si>
    <t xml:space="preserve">Bel Sharbat</t>
  </si>
  <si>
    <t xml:space="preserve">B0090</t>
  </si>
  <si>
    <t xml:space="preserve">Arak</t>
  </si>
  <si>
    <t xml:space="preserve">B0155</t>
  </si>
  <si>
    <t xml:space="preserve">Sencha</t>
  </si>
  <si>
    <t xml:space="preserve">B0156</t>
  </si>
  <si>
    <t xml:space="preserve">Genmaicha</t>
  </si>
  <si>
    <t xml:space="preserve">B0190</t>
  </si>
  <si>
    <t xml:space="preserve">Tamarind Juice</t>
  </si>
  <si>
    <t xml:space="preserve">B0220</t>
  </si>
  <si>
    <t xml:space="preserve">Virgin Piña Colada</t>
  </si>
  <si>
    <t xml:space="preserve">Near-duplicate: Virgin Piña Colada duplicates Piña Colada</t>
  </si>
  <si>
    <t xml:space="preserve">B0176</t>
  </si>
  <si>
    <t xml:space="preserve">Agua de Jamaica</t>
  </si>
  <si>
    <t xml:space="preserve">Near-duplicate: Agua de Jamaica duplicates Hibiscus Tea</t>
  </si>
  <si>
    <t xml:space="preserve">B0051</t>
  </si>
  <si>
    <t xml:space="preserve">Rob Roy</t>
  </si>
  <si>
    <t xml:space="preserve">Near-duplicate: Rob Roy overlaps Manhattan</t>
  </si>
  <si>
    <t xml:space="preserve">B0060</t>
  </si>
  <si>
    <t xml:space="preserve">Hemingway Daiquiri</t>
  </si>
  <si>
    <t xml:space="preserve">Near-duplicate: Hemingway Daiquiri duplicates Daiquiri</t>
  </si>
  <si>
    <t xml:space="preserve">B0065</t>
  </si>
  <si>
    <t xml:space="preserve">Spritz Veneziano</t>
  </si>
  <si>
    <t xml:space="preserve">Near-duplicate: Spritz Veneziano duplicates Aperol Spritz</t>
  </si>
  <si>
    <t xml:space="preserve">B0214</t>
  </si>
  <si>
    <t xml:space="preserve">Falooda Drink</t>
  </si>
  <si>
    <t xml:space="preserve">Near-duplicate: Falooda Drink duplicates Falooda</t>
  </si>
  <si>
    <t xml:space="preserve">B0221</t>
  </si>
  <si>
    <t xml:space="preserve">Virgin Mary</t>
  </si>
  <si>
    <t xml:space="preserve">Near-duplicate: Virgin Mary duplicates Bloody Mary</t>
  </si>
  <si>
    <t xml:space="preserve">B0031</t>
  </si>
  <si>
    <t xml:space="preserve">Black Russian</t>
  </si>
  <si>
    <t xml:space="preserve">Near-duplicate: Black Russian duplicates White Russian</t>
  </si>
  <si>
    <t xml:space="preserve">B0188</t>
  </si>
  <si>
    <t xml:space="preserve">Sorrel Drink</t>
  </si>
  <si>
    <t xml:space="preserve">Near-duplicate: Sorrel Drink duplicates Hibiscus Tea</t>
  </si>
  <si>
    <t xml:space="preserve">B0206</t>
  </si>
  <si>
    <t xml:space="preserve">Zobo</t>
  </si>
  <si>
    <t xml:space="preserve">Near-duplicate: Zobo duplicates Hibiscus Tea</t>
  </si>
  <si>
    <t xml:space="preserve">B0222</t>
  </si>
  <si>
    <t xml:space="preserve">Blue Lagoon Mocktail</t>
  </si>
  <si>
    <t xml:space="preserve">Near-duplicate: Blue Lagoon Mocktail duplicates Blue Lagoon</t>
  </si>
  <si>
    <t xml:space="preserve">B0239</t>
  </si>
  <si>
    <t xml:space="preserve">Kulhad Chai</t>
  </si>
  <si>
    <t xml:space="preserve">Near-duplicate: Kulhad Chai overlaps Masala Chai</t>
  </si>
  <si>
    <t xml:space="preserve">B0042</t>
  </si>
  <si>
    <t xml:space="preserve">Caipiroska</t>
  </si>
  <si>
    <t xml:space="preserve">Near-duplicate: Caipiroska duplicates Caipirinha</t>
  </si>
  <si>
    <t xml:space="preserve">B0205</t>
  </si>
  <si>
    <t xml:space="preserve">Bissap</t>
  </si>
  <si>
    <t xml:space="preserve">Near-duplicate: Bissap duplicates Hibiscus Tea</t>
  </si>
  <si>
    <t xml:space="preserve">B0208</t>
  </si>
  <si>
    <t xml:space="preserve">Sobolo</t>
  </si>
  <si>
    <t xml:space="preserve">Near-duplicate: Sobolo duplicates Hibiscus Tea</t>
  </si>
  <si>
    <t xml:space="preserve">B0212</t>
  </si>
  <si>
    <t xml:space="preserve">Neer Mor</t>
  </si>
  <si>
    <t xml:space="preserve">Near-duplicate: Neer Mor duplicates Buttermilk</t>
  </si>
  <si>
    <t xml:space="preserve">B0177</t>
  </si>
  <si>
    <t xml:space="preserve">Tamarind Agua Fresca</t>
  </si>
  <si>
    <t xml:space="preserve">Near-duplicate: Tamarind Agua Fresca duplicates Tamarind Juice</t>
  </si>
  <si>
    <t xml:space="preserve">Telling clues in source</t>
  </si>
  <si>
    <t xml:space="preserve">Near-duplicate?</t>
  </si>
  <si>
    <t xml:space="preserve">Duplicate note</t>
  </si>
  <si>
    <t xml:space="preserve">Single-ingredient product?</t>
  </si>
  <si>
    <t xml:space="preserve">Recognition pts</t>
  </si>
  <si>
    <t xml:space="preserve">Clue pts</t>
  </si>
  <si>
    <t xml:space="preserve">Distinct pts</t>
  </si>
  <si>
    <t xml:space="preserve">Fit pts</t>
  </si>
  <si>
    <t xml:space="preserve">Reason</t>
  </si>
  <si>
    <t xml:space="preserve">Pindi Chole overlaps Chole Bhature and Chana Masala</t>
  </si>
  <si>
    <t xml:space="preserve">Tunday Kebab is the Galouti Kebab</t>
  </si>
  <si>
    <t xml:space="preserve">Khaman is the same family as Dhokla</t>
  </si>
  <si>
    <t xml:space="preserve">Shrikhand Puri duplicates Shrikhand</t>
  </si>
  <si>
    <t xml:space="preserve">Kanda Bhaji overlaps Pakora</t>
  </si>
  <si>
    <t xml:space="preserve">Dindigul Biryani is close to other South Indian biryanis</t>
  </si>
  <si>
    <t xml:space="preserve">Ambur Biryani is close to other South Indian biryanis</t>
  </si>
  <si>
    <t xml:space="preserve">Rava Idli duplicates Idli</t>
  </si>
  <si>
    <t xml:space="preserve">Holige overlaps Puran Poli</t>
  </si>
  <si>
    <t xml:space="preserve">Bhopali Seekh Kebab duplicates Seekh Kebab</t>
  </si>
  <si>
    <t xml:space="preserve">Dal Fry duplicates Dal Tadka</t>
  </si>
  <si>
    <t xml:space="preserve">Fish Fry duplicates Kolkata Fish Fry</t>
  </si>
  <si>
    <t xml:space="preserve">Bread Pakora overlaps Pakora</t>
  </si>
  <si>
    <t xml:space="preserve">Chakli overlaps Murukku</t>
  </si>
  <si>
    <t xml:space="preserve">Dahi Vada overlaps Dahi Bhalla</t>
  </si>
  <si>
    <t xml:space="preserve">Chettinad Biryani overlaps Chettinad Chicken and other biryanis</t>
  </si>
  <si>
    <t xml:space="preserve">Mutton Biryani overlaps Hyderabadi Biryani</t>
  </si>
  <si>
    <t xml:space="preserve">Moong Dal Chilla duplicates Besan Chilla</t>
  </si>
  <si>
    <t xml:space="preserve">Methi Thepla duplicates Thepla</t>
  </si>
  <si>
    <t xml:space="preserve">Dum Aloo duplicates Kashmiri Dum Aloo</t>
  </si>
  <si>
    <t xml:space="preserve">Pindi Rajma duplicates Rajma Chawal</t>
  </si>
  <si>
    <t xml:space="preserve">Matar Kulcha duplicates Chole Kulche</t>
  </si>
  <si>
    <t xml:space="preserve">Tandoori Momos is a variant of Momos</t>
  </si>
  <si>
    <t xml:space="preserve">Kulfi Falooda duplicates Kulfi and Falooda</t>
  </si>
  <si>
    <t xml:space="preserve">Rava Ladoo duplicates other ladoos</t>
  </si>
  <si>
    <t xml:space="preserve">Paal Payasam duplicates other payasams</t>
  </si>
  <si>
    <t xml:space="preserve">Tonkotsu Ramen duplicates Ramen</t>
  </si>
  <si>
    <t xml:space="preserve">Assam Laksa overlaps Laksa</t>
  </si>
  <si>
    <t xml:space="preserve">Lao Larb duplicates Larb</t>
  </si>
  <si>
    <t xml:space="preserve">Bangladeshi Pitha duplicates Assamese Pitha</t>
  </si>
  <si>
    <t xml:space="preserve">Nepali Momo duplicates Momos</t>
  </si>
  <si>
    <t xml:space="preserve">Pakistani Nihari duplicates Nihari</t>
  </si>
  <si>
    <t xml:space="preserve">Pizza Napoletana duplicates Margherita Pizza</t>
  </si>
  <si>
    <t xml:space="preserve">Seafood Paella duplicates Paella</t>
  </si>
  <si>
    <t xml:space="preserve">Cottage Pie duplicates Shepherd's Pie</t>
  </si>
  <si>
    <t xml:space="preserve">Moules-Frites overlaps Moules Marinières</t>
  </si>
  <si>
    <t xml:space="preserve">Varenyky duplicates Pierogi</t>
  </si>
  <si>
    <t xml:space="preserve">Holubtsi duplicates Gołąbki</t>
  </si>
  <si>
    <t xml:space="preserve">Sarmale duplicates Sarma</t>
  </si>
  <si>
    <t xml:space="preserve">Künefe duplicates Knafeh</t>
  </si>
  <si>
    <t xml:space="preserve">Iraqi Dolma duplicates Dolmades</t>
  </si>
  <si>
    <t xml:space="preserve">Black Russian duplicates White Russian</t>
  </si>
  <si>
    <t xml:space="preserve">Caipiroska duplicates Caipirinha</t>
  </si>
  <si>
    <t xml:space="preserve">Rob Roy overlaps Manhattan</t>
  </si>
  <si>
    <t xml:space="preserve">Hemingway Daiquiri duplicates Daiquiri</t>
  </si>
  <si>
    <t xml:space="preserve">Spritz Veneziano duplicates Aperol Spritz</t>
  </si>
  <si>
    <t xml:space="preserve">Agua de Jamaica duplicates Hibiscus Tea</t>
  </si>
  <si>
    <t xml:space="preserve">Tamarind Agua Fresca duplicates Tamarind Juice</t>
  </si>
  <si>
    <t xml:space="preserve">Sorrel Drink duplicates Hibiscus Tea</t>
  </si>
  <si>
    <t xml:space="preserve">Bissap duplicates Hibiscus Tea</t>
  </si>
  <si>
    <t xml:space="preserve">Zobo duplicates Hibiscus Tea</t>
  </si>
  <si>
    <t xml:space="preserve">Sobolo duplicates Hibiscus Tea</t>
  </si>
  <si>
    <t xml:space="preserve">Neer Mor duplicates Buttermilk</t>
  </si>
  <si>
    <t xml:space="preserve">Falooda Drink duplicates Falooda</t>
  </si>
  <si>
    <t xml:space="preserve">Virgin Mojito duplicates Mojito</t>
  </si>
  <si>
    <t xml:space="preserve">Virgin Piña Colada duplicates Piña Colada</t>
  </si>
  <si>
    <t xml:space="preserve">Virgin Mary duplicates Bloody Mary</t>
  </si>
  <si>
    <t xml:space="preserve">Blue Lagoon Mocktail duplicates Blue Lagoon</t>
  </si>
  <si>
    <t xml:space="preserve">Kulhad Chai overlaps Masala Chai</t>
  </si>
  <si>
    <t xml:space="preserve">Basic pantry</t>
  </si>
  <si>
    <t xml:space="preserve">Note shown to players:</t>
  </si>
  <si>
    <t xml:space="preserve">Ingredient</t>
  </si>
  <si>
    <t xml:space="preserve">List</t>
  </si>
  <si>
    <t xml:space="preserve">Clues in v1 source</t>
  </si>
  <si>
    <t xml:space="preserve">Rule</t>
  </si>
  <si>
    <t xml:space="preserve">all-purpose flour</t>
  </si>
  <si>
    <t xml:space="preserve">Never a clue, unless it is part of the name (e.g. Garlic Naan).</t>
  </si>
  <si>
    <t xml:space="preserve">atta</t>
  </si>
  <si>
    <t xml:space="preserve">baking powder</t>
  </si>
  <si>
    <t xml:space="preserve">caster sugar</t>
  </si>
  <si>
    <t xml:space="preserve">chilli powder</t>
  </si>
  <si>
    <t xml:space="preserve">cold water</t>
  </si>
  <si>
    <t xml:space="preserve">cooking oil</t>
  </si>
  <si>
    <t xml:space="preserve">coriander</t>
  </si>
  <si>
    <t xml:space="preserve">coriander leaves</t>
  </si>
  <si>
    <t xml:space="preserve">coriander powder</t>
  </si>
  <si>
    <t xml:space="preserve">flour</t>
  </si>
  <si>
    <t xml:space="preserve">garam masala</t>
  </si>
  <si>
    <t xml:space="preserve">ginger garlic paste</t>
  </si>
  <si>
    <t xml:space="preserve">ginger-garlic paste</t>
  </si>
  <si>
    <t xml:space="preserve">icing sugar</t>
  </si>
  <si>
    <t xml:space="preserve">maida</t>
  </si>
  <si>
    <t xml:space="preserve">mixed spices</t>
  </si>
  <si>
    <t xml:space="preserve">oil</t>
  </si>
  <si>
    <t xml:space="preserve">pepper</t>
  </si>
  <si>
    <t xml:space="preserve">plain flour</t>
  </si>
  <si>
    <t xml:space="preserve">powdered sugar</t>
  </si>
  <si>
    <t xml:space="preserve">red chilli</t>
  </si>
  <si>
    <t xml:space="preserve">red chilli powder</t>
  </si>
  <si>
    <t xml:space="preserve">refined oil</t>
  </si>
  <si>
    <t xml:space="preserve">simple syrup</t>
  </si>
  <si>
    <t xml:space="preserve">spices</t>
  </si>
  <si>
    <t xml:space="preserve">sugar cube</t>
  </si>
  <si>
    <t xml:space="preserve">sugar syrup</t>
  </si>
  <si>
    <t xml:space="preserve">sunflower oil</t>
  </si>
  <si>
    <t xml:space="preserve">turmeric</t>
  </si>
  <si>
    <t xml:space="preserve">vegetable oil</t>
  </si>
  <si>
    <t xml:space="preserve">water</t>
  </si>
  <si>
    <t xml:space="preserve">white pepper</t>
  </si>
  <si>
    <t xml:space="preserve">whole wheat flour</t>
  </si>
  <si>
    <t xml:space="preserve">yeast</t>
  </si>
  <si>
    <t xml:space="preserve">Common</t>
  </si>
  <si>
    <t xml:space="preserve">Used only to fill an item that has fewer than six telling clues, and then always first.</t>
  </si>
  <si>
    <t xml:space="preserve">lemon juice</t>
  </si>
  <si>
    <t xml:space="preserve">lime juice</t>
  </si>
  <si>
    <t xml:space="preserve">Category</t>
  </si>
  <si>
    <t xml:space="preserve">Used in dishes</t>
  </si>
  <si>
    <t xml:space="preserve">Used in drinks</t>
  </si>
  <si>
    <t xml:space="preserve">Total uses</t>
  </si>
  <si>
    <t xml:space="preserve">I0001</t>
  </si>
  <si>
    <t xml:space="preserve">Sauces, fats &amp; condiments</t>
  </si>
  <si>
    <t xml:space="preserve">I0002</t>
  </si>
  <si>
    <t xml:space="preserve">Herbs, spices &amp; aromatics</t>
  </si>
  <si>
    <t xml:space="preserve">I0003</t>
  </si>
  <si>
    <t xml:space="preserve">Fruit &amp; nuts</t>
  </si>
  <si>
    <t xml:space="preserve">I0004</t>
  </si>
  <si>
    <t xml:space="preserve">Leavening &amp; other</t>
  </si>
  <si>
    <t xml:space="preserve">I0005</t>
  </si>
  <si>
    <t xml:space="preserve">Dairy &amp; egg</t>
  </si>
  <si>
    <t xml:space="preserve">I0006</t>
  </si>
  <si>
    <t xml:space="preserve">I0007</t>
  </si>
  <si>
    <t xml:space="preserve">Alcohol</t>
  </si>
  <si>
    <t xml:space="preserve">I0008</t>
  </si>
  <si>
    <t xml:space="preserve">I0009</t>
  </si>
  <si>
    <t xml:space="preserve">I0010</t>
  </si>
  <si>
    <t xml:space="preserve">Grains, breads &amp; noodles</t>
  </si>
  <si>
    <t xml:space="preserve">I0011</t>
  </si>
  <si>
    <t xml:space="preserve">Seafood</t>
  </si>
  <si>
    <t xml:space="preserve">I0012</t>
  </si>
  <si>
    <t xml:space="preserve">Meat &amp; poultry</t>
  </si>
  <si>
    <t xml:space="preserve">I0013</t>
  </si>
  <si>
    <t xml:space="preserve">I0014</t>
  </si>
  <si>
    <t xml:space="preserve">I0015</t>
  </si>
  <si>
    <t xml:space="preserve">I0016</t>
  </si>
  <si>
    <t xml:space="preserve">I0017</t>
  </si>
  <si>
    <t xml:space="preserve">Sweeteners &amp; confectionery</t>
  </si>
  <si>
    <t xml:space="preserve">I0018</t>
  </si>
  <si>
    <t xml:space="preserve">I0019</t>
  </si>
  <si>
    <t xml:space="preserve">I0020</t>
  </si>
  <si>
    <t xml:space="preserve">I0021</t>
  </si>
  <si>
    <t xml:space="preserve">Vegetables &amp; greens</t>
  </si>
  <si>
    <t xml:space="preserve">I0022</t>
  </si>
  <si>
    <t xml:space="preserve">I0023</t>
  </si>
  <si>
    <t xml:space="preserve">I0024</t>
  </si>
  <si>
    <t xml:space="preserve">I0025</t>
  </si>
  <si>
    <t xml:space="preserve">I0026</t>
  </si>
  <si>
    <t xml:space="preserve">I0027</t>
  </si>
  <si>
    <t xml:space="preserve">I0028</t>
  </si>
  <si>
    <t xml:space="preserve">I0029</t>
  </si>
  <si>
    <t xml:space="preserve">I0030</t>
  </si>
  <si>
    <t xml:space="preserve">I0031</t>
  </si>
  <si>
    <t xml:space="preserve">Pulses, soy &amp; tofu</t>
  </si>
  <si>
    <t xml:space="preserve">I0032</t>
  </si>
  <si>
    <t xml:space="preserve">I0033</t>
  </si>
  <si>
    <t xml:space="preserve">I0034</t>
  </si>
  <si>
    <t xml:space="preserve">I0035</t>
  </si>
  <si>
    <t xml:space="preserve">I0036</t>
  </si>
  <si>
    <t xml:space="preserve">I0037</t>
  </si>
  <si>
    <t xml:space="preserve">I0038</t>
  </si>
  <si>
    <t xml:space="preserve">I0039</t>
  </si>
  <si>
    <t xml:space="preserve">I0040</t>
  </si>
  <si>
    <t xml:space="preserve">I0041</t>
  </si>
  <si>
    <t xml:space="preserve">I0042</t>
  </si>
  <si>
    <t xml:space="preserve">I0043</t>
  </si>
  <si>
    <t xml:space="preserve">I0044</t>
  </si>
  <si>
    <t xml:space="preserve">I0045</t>
  </si>
  <si>
    <t xml:space="preserve">I0046</t>
  </si>
  <si>
    <t xml:space="preserve">I0047</t>
  </si>
  <si>
    <t xml:space="preserve">I0048</t>
  </si>
  <si>
    <t xml:space="preserve">I0049</t>
  </si>
  <si>
    <t xml:space="preserve">I0050</t>
  </si>
  <si>
    <t xml:space="preserve">I0051</t>
  </si>
  <si>
    <t xml:space="preserve">I0052</t>
  </si>
  <si>
    <t xml:space="preserve">I0053</t>
  </si>
  <si>
    <t xml:space="preserve">I0054</t>
  </si>
  <si>
    <t xml:space="preserve">I0055</t>
  </si>
  <si>
    <t xml:space="preserve">I0056</t>
  </si>
  <si>
    <t xml:space="preserve">I0057</t>
  </si>
  <si>
    <t xml:space="preserve">I0058</t>
  </si>
  <si>
    <t xml:space="preserve">I0059</t>
  </si>
  <si>
    <t xml:space="preserve">I0060</t>
  </si>
  <si>
    <t xml:space="preserve">I0061</t>
  </si>
  <si>
    <t xml:space="preserve">I0062</t>
  </si>
  <si>
    <t xml:space="preserve">I0063</t>
  </si>
  <si>
    <t xml:space="preserve">I0064</t>
  </si>
  <si>
    <t xml:space="preserve">I0065</t>
  </si>
  <si>
    <t xml:space="preserve">I0066</t>
  </si>
  <si>
    <t xml:space="preserve">I0067</t>
  </si>
  <si>
    <t xml:space="preserve">I0068</t>
  </si>
  <si>
    <t xml:space="preserve">I0069</t>
  </si>
  <si>
    <t xml:space="preserve">I0070</t>
  </si>
  <si>
    <t xml:space="preserve">I0071</t>
  </si>
  <si>
    <t xml:space="preserve">I0072</t>
  </si>
  <si>
    <t xml:space="preserve">I0073</t>
  </si>
  <si>
    <t xml:space="preserve">I0074</t>
  </si>
  <si>
    <t xml:space="preserve">I0075</t>
  </si>
  <si>
    <t xml:space="preserve">I0076</t>
  </si>
  <si>
    <t xml:space="preserve">Beverage base</t>
  </si>
  <si>
    <t xml:space="preserve">I0077</t>
  </si>
  <si>
    <t xml:space="preserve">I0078</t>
  </si>
  <si>
    <t xml:space="preserve">I0079</t>
  </si>
  <si>
    <t xml:space="preserve">I0080</t>
  </si>
  <si>
    <t xml:space="preserve">I0081</t>
  </si>
  <si>
    <t xml:space="preserve">I0082</t>
  </si>
  <si>
    <t xml:space="preserve">I0083</t>
  </si>
  <si>
    <t xml:space="preserve">I0084</t>
  </si>
  <si>
    <t xml:space="preserve">I0085</t>
  </si>
  <si>
    <t xml:space="preserve">I0086</t>
  </si>
  <si>
    <t xml:space="preserve">I0087</t>
  </si>
  <si>
    <t xml:space="preserve">I0088</t>
  </si>
  <si>
    <t xml:space="preserve">I0089</t>
  </si>
  <si>
    <t xml:space="preserve">I0090</t>
  </si>
  <si>
    <t xml:space="preserve">I0091</t>
  </si>
  <si>
    <t xml:space="preserve">I0092</t>
  </si>
  <si>
    <t xml:space="preserve">I0093</t>
  </si>
  <si>
    <t xml:space="preserve">I0094</t>
  </si>
  <si>
    <t xml:space="preserve">I0095</t>
  </si>
  <si>
    <t xml:space="preserve">I0096</t>
  </si>
  <si>
    <t xml:space="preserve">I0097</t>
  </si>
  <si>
    <t xml:space="preserve">I0098</t>
  </si>
  <si>
    <t xml:space="preserve">I0099</t>
  </si>
  <si>
    <t xml:space="preserve">I0100</t>
  </si>
  <si>
    <t xml:space="preserve">I0101</t>
  </si>
  <si>
    <t xml:space="preserve">I0102</t>
  </si>
  <si>
    <t xml:space="preserve">I0103</t>
  </si>
  <si>
    <t xml:space="preserve">I0104</t>
  </si>
  <si>
    <t xml:space="preserve">I0105</t>
  </si>
  <si>
    <t xml:space="preserve">I0106</t>
  </si>
  <si>
    <t xml:space="preserve">I0107</t>
  </si>
  <si>
    <t xml:space="preserve">I0108</t>
  </si>
  <si>
    <t xml:space="preserve">I0109</t>
  </si>
  <si>
    <t xml:space="preserve">I0110</t>
  </si>
  <si>
    <t xml:space="preserve">I0111</t>
  </si>
  <si>
    <t xml:space="preserve">I0112</t>
  </si>
  <si>
    <t xml:space="preserve">I0113</t>
  </si>
  <si>
    <t xml:space="preserve">I0114</t>
  </si>
  <si>
    <t xml:space="preserve">I0115</t>
  </si>
  <si>
    <t xml:space="preserve">I0116</t>
  </si>
  <si>
    <t xml:space="preserve">I0117</t>
  </si>
  <si>
    <t xml:space="preserve">I0118</t>
  </si>
  <si>
    <t xml:space="preserve">I0119</t>
  </si>
  <si>
    <t xml:space="preserve">I0120</t>
  </si>
  <si>
    <t xml:space="preserve">I0121</t>
  </si>
  <si>
    <t xml:space="preserve">I0122</t>
  </si>
  <si>
    <t xml:space="preserve">I0123</t>
  </si>
  <si>
    <t xml:space="preserve">I0124</t>
  </si>
  <si>
    <t xml:space="preserve">I0125</t>
  </si>
  <si>
    <t xml:space="preserve">I0126</t>
  </si>
  <si>
    <t xml:space="preserve">I0127</t>
  </si>
  <si>
    <t xml:space="preserve">I0128</t>
  </si>
  <si>
    <t xml:space="preserve">I0129</t>
  </si>
  <si>
    <t xml:space="preserve">I0130</t>
  </si>
  <si>
    <t xml:space="preserve">I0131</t>
  </si>
  <si>
    <t xml:space="preserve">I0132</t>
  </si>
  <si>
    <t xml:space="preserve">I0133</t>
  </si>
  <si>
    <t xml:space="preserve">I0134</t>
  </si>
  <si>
    <t xml:space="preserve">I0135</t>
  </si>
  <si>
    <t xml:space="preserve">I0136</t>
  </si>
  <si>
    <t xml:space="preserve">I0137</t>
  </si>
  <si>
    <t xml:space="preserve">I0138</t>
  </si>
  <si>
    <t xml:space="preserve">I0139</t>
  </si>
  <si>
    <t xml:space="preserve">I0140</t>
  </si>
  <si>
    <t xml:space="preserve">I0141</t>
  </si>
  <si>
    <t xml:space="preserve">I0142</t>
  </si>
  <si>
    <t xml:space="preserve">I0143</t>
  </si>
  <si>
    <t xml:space="preserve">I0144</t>
  </si>
  <si>
    <t xml:space="preserve">I0145</t>
  </si>
  <si>
    <t xml:space="preserve">I0146</t>
  </si>
  <si>
    <t xml:space="preserve">I0147</t>
  </si>
  <si>
    <t xml:space="preserve">I0148</t>
  </si>
  <si>
    <t xml:space="preserve">I0149</t>
  </si>
  <si>
    <t xml:space="preserve">I0150</t>
  </si>
  <si>
    <t xml:space="preserve">I0151</t>
  </si>
  <si>
    <t xml:space="preserve">I0152</t>
  </si>
  <si>
    <t xml:space="preserve">I0153</t>
  </si>
  <si>
    <t xml:space="preserve">I0154</t>
  </si>
  <si>
    <t xml:space="preserve">I0155</t>
  </si>
  <si>
    <t xml:space="preserve">I0156</t>
  </si>
  <si>
    <t xml:space="preserve">I0157</t>
  </si>
  <si>
    <t xml:space="preserve">I0158</t>
  </si>
  <si>
    <t xml:space="preserve">I0159</t>
  </si>
  <si>
    <t xml:space="preserve">I0160</t>
  </si>
  <si>
    <t xml:space="preserve">I0161</t>
  </si>
  <si>
    <t xml:space="preserve">I0162</t>
  </si>
  <si>
    <t xml:space="preserve">I0163</t>
  </si>
  <si>
    <t xml:space="preserve">I0164</t>
  </si>
  <si>
    <t xml:space="preserve">I0165</t>
  </si>
  <si>
    <t xml:space="preserve">I0166</t>
  </si>
  <si>
    <t xml:space="preserve">I0167</t>
  </si>
  <si>
    <t xml:space="preserve">I0168</t>
  </si>
  <si>
    <t xml:space="preserve">I0169</t>
  </si>
  <si>
    <t xml:space="preserve">I0170</t>
  </si>
  <si>
    <t xml:space="preserve">I0171</t>
  </si>
  <si>
    <t xml:space="preserve">I0172</t>
  </si>
  <si>
    <t xml:space="preserve">I0173</t>
  </si>
  <si>
    <t xml:space="preserve">I0174</t>
  </si>
  <si>
    <t xml:space="preserve">I0175</t>
  </si>
  <si>
    <t xml:space="preserve">I0176</t>
  </si>
  <si>
    <t xml:space="preserve">I0177</t>
  </si>
  <si>
    <t xml:space="preserve">I0178</t>
  </si>
  <si>
    <t xml:space="preserve">I0179</t>
  </si>
  <si>
    <t xml:space="preserve">I0180</t>
  </si>
  <si>
    <t xml:space="preserve">I0181</t>
  </si>
  <si>
    <t xml:space="preserve">I0182</t>
  </si>
  <si>
    <t xml:space="preserve">I0183</t>
  </si>
  <si>
    <t xml:space="preserve">I0184</t>
  </si>
  <si>
    <t xml:space="preserve">I0185</t>
  </si>
  <si>
    <t xml:space="preserve">I0186</t>
  </si>
  <si>
    <t xml:space="preserve">I0187</t>
  </si>
  <si>
    <t xml:space="preserve">I0188</t>
  </si>
  <si>
    <t xml:space="preserve">I0189</t>
  </si>
  <si>
    <t xml:space="preserve">I0190</t>
  </si>
  <si>
    <t xml:space="preserve">I0191</t>
  </si>
  <si>
    <t xml:space="preserve">I0192</t>
  </si>
  <si>
    <t xml:space="preserve">I0193</t>
  </si>
  <si>
    <t xml:space="preserve">I0194</t>
  </si>
  <si>
    <t xml:space="preserve">I0195</t>
  </si>
  <si>
    <t xml:space="preserve">I0196</t>
  </si>
  <si>
    <t xml:space="preserve">I0197</t>
  </si>
  <si>
    <t xml:space="preserve">I0198</t>
  </si>
  <si>
    <t xml:space="preserve">I0199</t>
  </si>
  <si>
    <t xml:space="preserve">I0200</t>
  </si>
  <si>
    <t xml:space="preserve">I0201</t>
  </si>
  <si>
    <t xml:space="preserve">I0202</t>
  </si>
  <si>
    <t xml:space="preserve">I0203</t>
  </si>
  <si>
    <t xml:space="preserve">I0204</t>
  </si>
  <si>
    <t xml:space="preserve">I0205</t>
  </si>
  <si>
    <t xml:space="preserve">I0206</t>
  </si>
  <si>
    <t xml:space="preserve">I0207</t>
  </si>
  <si>
    <t xml:space="preserve">I0208</t>
  </si>
  <si>
    <t xml:space="preserve">I0209</t>
  </si>
  <si>
    <t xml:space="preserve">I0210</t>
  </si>
  <si>
    <t xml:space="preserve">I0211</t>
  </si>
  <si>
    <t xml:space="preserve">I0212</t>
  </si>
  <si>
    <t xml:space="preserve">I0213</t>
  </si>
  <si>
    <t xml:space="preserve">I0214</t>
  </si>
  <si>
    <t xml:space="preserve">I0215</t>
  </si>
  <si>
    <t xml:space="preserve">I0216</t>
  </si>
  <si>
    <t xml:space="preserve">I0217</t>
  </si>
  <si>
    <t xml:space="preserve">I0218</t>
  </si>
  <si>
    <t xml:space="preserve">I0219</t>
  </si>
  <si>
    <t xml:space="preserve">I0220</t>
  </si>
  <si>
    <t xml:space="preserve">I0221</t>
  </si>
  <si>
    <t xml:space="preserve">I0222</t>
  </si>
  <si>
    <t xml:space="preserve">I0223</t>
  </si>
  <si>
    <t xml:space="preserve">I0224</t>
  </si>
  <si>
    <t xml:space="preserve">I0225</t>
  </si>
  <si>
    <t xml:space="preserve">I0226</t>
  </si>
  <si>
    <t xml:space="preserve">I0227</t>
  </si>
  <si>
    <t xml:space="preserve">I0228</t>
  </si>
  <si>
    <t xml:space="preserve">I0229</t>
  </si>
  <si>
    <t xml:space="preserve">I0230</t>
  </si>
  <si>
    <t xml:space="preserve">I0231</t>
  </si>
  <si>
    <t xml:space="preserve">I0232</t>
  </si>
  <si>
    <t xml:space="preserve">I0233</t>
  </si>
  <si>
    <t xml:space="preserve">I0234</t>
  </si>
  <si>
    <t xml:space="preserve">I0235</t>
  </si>
  <si>
    <t xml:space="preserve">I0236</t>
  </si>
  <si>
    <t xml:space="preserve">I0237</t>
  </si>
  <si>
    <t xml:space="preserve">I0238</t>
  </si>
  <si>
    <t xml:space="preserve">I0239</t>
  </si>
  <si>
    <t xml:space="preserve">I0240</t>
  </si>
  <si>
    <t xml:space="preserve">I0241</t>
  </si>
  <si>
    <t xml:space="preserve">I0242</t>
  </si>
  <si>
    <t xml:space="preserve">I0243</t>
  </si>
  <si>
    <t xml:space="preserve">I0244</t>
  </si>
  <si>
    <t xml:space="preserve">I0245</t>
  </si>
  <si>
    <t xml:space="preserve">I0246</t>
  </si>
  <si>
    <t xml:space="preserve">I0247</t>
  </si>
  <si>
    <t xml:space="preserve">I0248</t>
  </si>
  <si>
    <t xml:space="preserve">I0249</t>
  </si>
  <si>
    <t xml:space="preserve">I0250</t>
  </si>
  <si>
    <t xml:space="preserve">I0251</t>
  </si>
  <si>
    <t xml:space="preserve">I0252</t>
  </si>
  <si>
    <t xml:space="preserve">I0253</t>
  </si>
  <si>
    <t xml:space="preserve">I0254</t>
  </si>
  <si>
    <t xml:space="preserve">I0255</t>
  </si>
  <si>
    <t xml:space="preserve">I0256</t>
  </si>
  <si>
    <t xml:space="preserve">I0257</t>
  </si>
  <si>
    <t xml:space="preserve">I0258</t>
  </si>
  <si>
    <t xml:space="preserve">I0259</t>
  </si>
  <si>
    <t xml:space="preserve">I0260</t>
  </si>
  <si>
    <t xml:space="preserve">I0261</t>
  </si>
  <si>
    <t xml:space="preserve">I0262</t>
  </si>
  <si>
    <t xml:space="preserve">I0263</t>
  </si>
  <si>
    <t xml:space="preserve">I0264</t>
  </si>
  <si>
    <t xml:space="preserve">I0265</t>
  </si>
  <si>
    <t xml:space="preserve">I0266</t>
  </si>
  <si>
    <t xml:space="preserve">I0267</t>
  </si>
  <si>
    <t xml:space="preserve">I0268</t>
  </si>
  <si>
    <t xml:space="preserve">I0269</t>
  </si>
  <si>
    <t xml:space="preserve">I0270</t>
  </si>
  <si>
    <t xml:space="preserve">I0271</t>
  </si>
  <si>
    <t xml:space="preserve">I0272</t>
  </si>
  <si>
    <t xml:space="preserve">I0273</t>
  </si>
  <si>
    <t xml:space="preserve">I0274</t>
  </si>
  <si>
    <t xml:space="preserve">I0275</t>
  </si>
  <si>
    <t xml:space="preserve">I0276</t>
  </si>
  <si>
    <t xml:space="preserve">I0277</t>
  </si>
  <si>
    <t xml:space="preserve">I0278</t>
  </si>
  <si>
    <t xml:space="preserve">I0279</t>
  </si>
  <si>
    <t xml:space="preserve">I0280</t>
  </si>
  <si>
    <t xml:space="preserve">I0281</t>
  </si>
  <si>
    <t xml:space="preserve">I0282</t>
  </si>
  <si>
    <t xml:space="preserve">I0283</t>
  </si>
  <si>
    <t xml:space="preserve">I0284</t>
  </si>
  <si>
    <t xml:space="preserve">I0285</t>
  </si>
  <si>
    <t xml:space="preserve">I0286</t>
  </si>
  <si>
    <t xml:space="preserve">I0287</t>
  </si>
  <si>
    <t xml:space="preserve">I0288</t>
  </si>
  <si>
    <t xml:space="preserve">I0289</t>
  </si>
  <si>
    <t xml:space="preserve">I0290</t>
  </si>
  <si>
    <t xml:space="preserve">I0291</t>
  </si>
  <si>
    <t xml:space="preserve">I0292</t>
  </si>
  <si>
    <t xml:space="preserve">I0293</t>
  </si>
  <si>
    <t xml:space="preserve">I0294</t>
  </si>
  <si>
    <t xml:space="preserve">I0295</t>
  </si>
  <si>
    <t xml:space="preserve">I0296</t>
  </si>
  <si>
    <t xml:space="preserve">I0297</t>
  </si>
  <si>
    <t xml:space="preserve">I0298</t>
  </si>
  <si>
    <t xml:space="preserve">I0299</t>
  </si>
  <si>
    <t xml:space="preserve">I0300</t>
  </si>
  <si>
    <t xml:space="preserve">I0301</t>
  </si>
  <si>
    <t xml:space="preserve">I0302</t>
  </si>
  <si>
    <t xml:space="preserve">I0303</t>
  </si>
  <si>
    <t xml:space="preserve">I0304</t>
  </si>
  <si>
    <t xml:space="preserve">I0305</t>
  </si>
  <si>
    <t xml:space="preserve">I0306</t>
  </si>
  <si>
    <t xml:space="preserve">I0307</t>
  </si>
  <si>
    <t xml:space="preserve">I0308</t>
  </si>
  <si>
    <t xml:space="preserve">I0309</t>
  </si>
  <si>
    <t xml:space="preserve">I0310</t>
  </si>
  <si>
    <t xml:space="preserve">I0311</t>
  </si>
  <si>
    <t xml:space="preserve">I0312</t>
  </si>
  <si>
    <t xml:space="preserve">I0313</t>
  </si>
  <si>
    <t xml:space="preserve">I0314</t>
  </si>
  <si>
    <t xml:space="preserve">I0315</t>
  </si>
  <si>
    <t xml:space="preserve">I0316</t>
  </si>
  <si>
    <t xml:space="preserve">I0317</t>
  </si>
  <si>
    <t xml:space="preserve">I0318</t>
  </si>
  <si>
    <t xml:space="preserve">I0319</t>
  </si>
  <si>
    <t xml:space="preserve">I0320</t>
  </si>
  <si>
    <t xml:space="preserve">I0321</t>
  </si>
  <si>
    <t xml:space="preserve">I0322</t>
  </si>
  <si>
    <t xml:space="preserve">I0323</t>
  </si>
  <si>
    <t xml:space="preserve">I0324</t>
  </si>
  <si>
    <t xml:space="preserve">I0325</t>
  </si>
  <si>
    <t xml:space="preserve">I0326</t>
  </si>
  <si>
    <t xml:space="preserve">I0327</t>
  </si>
  <si>
    <t xml:space="preserve">I0328</t>
  </si>
  <si>
    <t xml:space="preserve">I0329</t>
  </si>
  <si>
    <t xml:space="preserve">I0330</t>
  </si>
  <si>
    <t xml:space="preserve">I0331</t>
  </si>
  <si>
    <t xml:space="preserve">I0332</t>
  </si>
  <si>
    <t xml:space="preserve">I0333</t>
  </si>
  <si>
    <t xml:space="preserve">I0334</t>
  </si>
  <si>
    <t xml:space="preserve">I0335</t>
  </si>
  <si>
    <t xml:space="preserve">I0336</t>
  </si>
  <si>
    <t xml:space="preserve">I0337</t>
  </si>
  <si>
    <t xml:space="preserve">I0338</t>
  </si>
  <si>
    <t xml:space="preserve">I0339</t>
  </si>
  <si>
    <t xml:space="preserve">I0340</t>
  </si>
  <si>
    <t xml:space="preserve">I0341</t>
  </si>
  <si>
    <t xml:space="preserve">I0342</t>
  </si>
  <si>
    <t xml:space="preserve">I0343</t>
  </si>
  <si>
    <t xml:space="preserve">I0344</t>
  </si>
  <si>
    <t xml:space="preserve">I0345</t>
  </si>
  <si>
    <t xml:space="preserve">I0346</t>
  </si>
  <si>
    <t xml:space="preserve">I0347</t>
  </si>
  <si>
    <t xml:space="preserve">I0348</t>
  </si>
  <si>
    <t xml:space="preserve">I0349</t>
  </si>
  <si>
    <t xml:space="preserve">I0350</t>
  </si>
  <si>
    <t xml:space="preserve">I0351</t>
  </si>
  <si>
    <t xml:space="preserve">I0352</t>
  </si>
  <si>
    <t xml:space="preserve">I0353</t>
  </si>
  <si>
    <t xml:space="preserve">I0354</t>
  </si>
  <si>
    <t xml:space="preserve">I0355</t>
  </si>
  <si>
    <t xml:space="preserve">I0356</t>
  </si>
  <si>
    <t xml:space="preserve">I0357</t>
  </si>
  <si>
    <t xml:space="preserve">I0358</t>
  </si>
  <si>
    <t xml:space="preserve">I0359</t>
  </si>
  <si>
    <t xml:space="preserve">I0360</t>
  </si>
  <si>
    <t xml:space="preserve">I0361</t>
  </si>
  <si>
    <t xml:space="preserve">I0362</t>
  </si>
  <si>
    <t xml:space="preserve">I0363</t>
  </si>
  <si>
    <t xml:space="preserve">I0364</t>
  </si>
  <si>
    <t xml:space="preserve">I0365</t>
  </si>
  <si>
    <t xml:space="preserve">I0366</t>
  </si>
  <si>
    <t xml:space="preserve">I0367</t>
  </si>
  <si>
    <t xml:space="preserve">I0368</t>
  </si>
  <si>
    <t xml:space="preserve">I0369</t>
  </si>
  <si>
    <t xml:space="preserve">I0370</t>
  </si>
  <si>
    <t xml:space="preserve">I0371</t>
  </si>
  <si>
    <t xml:space="preserve">I0372</t>
  </si>
  <si>
    <t xml:space="preserve">I0373</t>
  </si>
  <si>
    <t xml:space="preserve">I0374</t>
  </si>
  <si>
    <t xml:space="preserve">I0375</t>
  </si>
  <si>
    <t xml:space="preserve">I0376</t>
  </si>
  <si>
    <t xml:space="preserve">I0377</t>
  </si>
  <si>
    <t xml:space="preserve">I0378</t>
  </si>
  <si>
    <t xml:space="preserve">I0379</t>
  </si>
  <si>
    <t xml:space="preserve">I0380</t>
  </si>
  <si>
    <t xml:space="preserve">I0381</t>
  </si>
  <si>
    <t xml:space="preserve">I0382</t>
  </si>
  <si>
    <t xml:space="preserve">I0383</t>
  </si>
  <si>
    <t xml:space="preserve">I0384</t>
  </si>
  <si>
    <t xml:space="preserve">I0385</t>
  </si>
  <si>
    <t xml:space="preserve">I0386</t>
  </si>
  <si>
    <t xml:space="preserve">I0387</t>
  </si>
  <si>
    <t xml:space="preserve">I0388</t>
  </si>
  <si>
    <t xml:space="preserve">I0389</t>
  </si>
  <si>
    <t xml:space="preserve">I0390</t>
  </si>
  <si>
    <t xml:space="preserve">I0391</t>
  </si>
  <si>
    <t xml:space="preserve">I0392</t>
  </si>
  <si>
    <t xml:space="preserve">I0393</t>
  </si>
  <si>
    <t xml:space="preserve">I0394</t>
  </si>
  <si>
    <t xml:space="preserve">I0395</t>
  </si>
  <si>
    <t xml:space="preserve">I0396</t>
  </si>
  <si>
    <t xml:space="preserve">I0397</t>
  </si>
  <si>
    <t xml:space="preserve">I0398</t>
  </si>
  <si>
    <t xml:space="preserve">I0399</t>
  </si>
  <si>
    <t xml:space="preserve">I0400</t>
  </si>
  <si>
    <t xml:space="preserve">I0401</t>
  </si>
  <si>
    <t xml:space="preserve">I0402</t>
  </si>
  <si>
    <t xml:space="preserve">I0403</t>
  </si>
  <si>
    <t xml:space="preserve">I0404</t>
  </si>
  <si>
    <t xml:space="preserve">I0405</t>
  </si>
  <si>
    <t xml:space="preserve">I0406</t>
  </si>
  <si>
    <t xml:space="preserve">I0407</t>
  </si>
  <si>
    <t xml:space="preserve">I0408</t>
  </si>
  <si>
    <t xml:space="preserve">I0409</t>
  </si>
  <si>
    <t xml:space="preserve">I0410</t>
  </si>
  <si>
    <t xml:space="preserve">I0411</t>
  </si>
  <si>
    <t xml:space="preserve">I0412</t>
  </si>
  <si>
    <t xml:space="preserve">I0413</t>
  </si>
  <si>
    <t xml:space="preserve">I0414</t>
  </si>
  <si>
    <t xml:space="preserve">I0415</t>
  </si>
  <si>
    <t xml:space="preserve">I0416</t>
  </si>
  <si>
    <t xml:space="preserve">I0417</t>
  </si>
  <si>
    <t xml:space="preserve">I0418</t>
  </si>
  <si>
    <t xml:space="preserve">I0419</t>
  </si>
  <si>
    <t xml:space="preserve">I0420</t>
  </si>
  <si>
    <t xml:space="preserve">I0421</t>
  </si>
  <si>
    <t xml:space="preserve">I0422</t>
  </si>
  <si>
    <t xml:space="preserve">I0423</t>
  </si>
  <si>
    <t xml:space="preserve">I0424</t>
  </si>
  <si>
    <t xml:space="preserve">I0425</t>
  </si>
  <si>
    <t xml:space="preserve">I0426</t>
  </si>
  <si>
    <t xml:space="preserve">I0427</t>
  </si>
  <si>
    <t xml:space="preserve">I0428</t>
  </si>
  <si>
    <t xml:space="preserve">I0429</t>
  </si>
  <si>
    <t xml:space="preserve">I0430</t>
  </si>
  <si>
    <t xml:space="preserve">I0431</t>
  </si>
  <si>
    <t xml:space="preserve">I0432</t>
  </si>
  <si>
    <t xml:space="preserve">I0433</t>
  </si>
  <si>
    <t xml:space="preserve">I0434</t>
  </si>
  <si>
    <t xml:space="preserve">I0435</t>
  </si>
  <si>
    <t xml:space="preserve">I0436</t>
  </si>
  <si>
    <t xml:space="preserve">I0437</t>
  </si>
  <si>
    <t xml:space="preserve">I0438</t>
  </si>
  <si>
    <t xml:space="preserve">I0439</t>
  </si>
  <si>
    <t xml:space="preserve">I0440</t>
  </si>
  <si>
    <t xml:space="preserve">I0441</t>
  </si>
  <si>
    <t xml:space="preserve">I0442</t>
  </si>
  <si>
    <t xml:space="preserve">I0443</t>
  </si>
  <si>
    <t xml:space="preserve">I0444</t>
  </si>
  <si>
    <t xml:space="preserve">herbes de provence</t>
  </si>
  <si>
    <t xml:space="preserve">I0445</t>
  </si>
  <si>
    <t xml:space="preserve">I0446</t>
  </si>
  <si>
    <t xml:space="preserve">I0447</t>
  </si>
  <si>
    <t xml:space="preserve">I0448</t>
  </si>
  <si>
    <t xml:space="preserve">I0449</t>
  </si>
  <si>
    <t xml:space="preserve">I0450</t>
  </si>
  <si>
    <t xml:space="preserve">I0451</t>
  </si>
  <si>
    <t xml:space="preserve">I0452</t>
  </si>
  <si>
    <t xml:space="preserve">I0453</t>
  </si>
  <si>
    <t xml:space="preserve">I0454</t>
  </si>
  <si>
    <t xml:space="preserve">I0455</t>
  </si>
  <si>
    <t xml:space="preserve">I0456</t>
  </si>
  <si>
    <t xml:space="preserve">I0457</t>
  </si>
  <si>
    <t xml:space="preserve">I0458</t>
  </si>
  <si>
    <t xml:space="preserve">I0459</t>
  </si>
  <si>
    <t xml:space="preserve">I0460</t>
  </si>
  <si>
    <t xml:space="preserve">I0461</t>
  </si>
  <si>
    <t xml:space="preserve">I0462</t>
  </si>
  <si>
    <t xml:space="preserve">I0463</t>
  </si>
  <si>
    <t xml:space="preserve">I0464</t>
  </si>
  <si>
    <t xml:space="preserve">I0465</t>
  </si>
  <si>
    <t xml:space="preserve">I0466</t>
  </si>
  <si>
    <t xml:space="preserve">I0467</t>
  </si>
  <si>
    <t xml:space="preserve">I0468</t>
  </si>
  <si>
    <t xml:space="preserve">I0469</t>
  </si>
  <si>
    <t xml:space="preserve">irani chai</t>
  </si>
  <si>
    <t xml:space="preserve">I0470</t>
  </si>
  <si>
    <t xml:space="preserve">I0471</t>
  </si>
  <si>
    <t xml:space="preserve">I0472</t>
  </si>
  <si>
    <t xml:space="preserve">I0473</t>
  </si>
  <si>
    <t xml:space="preserve">I0474</t>
  </si>
  <si>
    <t xml:space="preserve">I0475</t>
  </si>
  <si>
    <t xml:space="preserve">I0476</t>
  </si>
  <si>
    <t xml:space="preserve">I0477</t>
  </si>
  <si>
    <t xml:space="preserve">I0478</t>
  </si>
  <si>
    <t xml:space="preserve">I0479</t>
  </si>
  <si>
    <t xml:space="preserve">I0480</t>
  </si>
  <si>
    <t xml:space="preserve">I0481</t>
  </si>
  <si>
    <t xml:space="preserve">I0482</t>
  </si>
  <si>
    <t xml:space="preserve">I0483</t>
  </si>
  <si>
    <t xml:space="preserve">I0484</t>
  </si>
  <si>
    <t xml:space="preserve">I0485</t>
  </si>
  <si>
    <t xml:space="preserve">I0486</t>
  </si>
  <si>
    <t xml:space="preserve">I0487</t>
  </si>
  <si>
    <t xml:space="preserve">I0488</t>
  </si>
  <si>
    <t xml:space="preserve">I0489</t>
  </si>
  <si>
    <t xml:space="preserve">I0490</t>
  </si>
  <si>
    <t xml:space="preserve">I0491</t>
  </si>
  <si>
    <t xml:space="preserve">I0492</t>
  </si>
  <si>
    <t xml:space="preserve">I0493</t>
  </si>
  <si>
    <t xml:space="preserve">I0494</t>
  </si>
  <si>
    <t xml:space="preserve">I0495</t>
  </si>
  <si>
    <t xml:space="preserve">I0496</t>
  </si>
  <si>
    <t xml:space="preserve">I0497</t>
  </si>
  <si>
    <t xml:space="preserve">I0498</t>
  </si>
  <si>
    <t xml:space="preserve">I0499</t>
  </si>
  <si>
    <t xml:space="preserve">I0500</t>
  </si>
  <si>
    <t xml:space="preserve">I0501</t>
  </si>
  <si>
    <t xml:space="preserve">I0502</t>
  </si>
  <si>
    <t xml:space="preserve">I0503</t>
  </si>
  <si>
    <t xml:space="preserve">I0504</t>
  </si>
  <si>
    <t xml:space="preserve">I0505</t>
  </si>
  <si>
    <t xml:space="preserve">I0506</t>
  </si>
  <si>
    <t xml:space="preserve">I0507</t>
  </si>
  <si>
    <t xml:space="preserve">I0508</t>
  </si>
  <si>
    <t xml:space="preserve">I0509</t>
  </si>
  <si>
    <t xml:space="preserve">I0510</t>
  </si>
  <si>
    <t xml:space="preserve">I0511</t>
  </si>
  <si>
    <t xml:space="preserve">I0512</t>
  </si>
  <si>
    <t xml:space="preserve">I0513</t>
  </si>
  <si>
    <t xml:space="preserve">I0514</t>
  </si>
  <si>
    <t xml:space="preserve">I0515</t>
  </si>
  <si>
    <t xml:space="preserve">I0516</t>
  </si>
  <si>
    <t xml:space="preserve">I0517</t>
  </si>
  <si>
    <t xml:space="preserve">I0518</t>
  </si>
  <si>
    <t xml:space="preserve">I0519</t>
  </si>
  <si>
    <t xml:space="preserve">I0520</t>
  </si>
  <si>
    <t xml:space="preserve">I0521</t>
  </si>
  <si>
    <t xml:space="preserve">I0522</t>
  </si>
  <si>
    <t xml:space="preserve">I0523</t>
  </si>
  <si>
    <t xml:space="preserve">I0524</t>
  </si>
  <si>
    <t xml:space="preserve">I0525</t>
  </si>
  <si>
    <t xml:space="preserve">I0526</t>
  </si>
  <si>
    <t xml:space="preserve">I0527</t>
  </si>
  <si>
    <t xml:space="preserve">I0528</t>
  </si>
  <si>
    <t xml:space="preserve">I0529</t>
  </si>
  <si>
    <t xml:space="preserve">I0530</t>
  </si>
  <si>
    <t xml:space="preserve">I0531</t>
  </si>
  <si>
    <t xml:space="preserve">I0532</t>
  </si>
  <si>
    <t xml:space="preserve">I0533</t>
  </si>
  <si>
    <t xml:space="preserve">I0534</t>
  </si>
  <si>
    <t xml:space="preserve">I0535</t>
  </si>
  <si>
    <t xml:space="preserve">I0536</t>
  </si>
  <si>
    <t xml:space="preserve">I0537</t>
  </si>
  <si>
    <t xml:space="preserve">I0538</t>
  </si>
  <si>
    <t xml:space="preserve">I0539</t>
  </si>
  <si>
    <t xml:space="preserve">I0540</t>
  </si>
  <si>
    <t xml:space="preserve">I0541</t>
  </si>
  <si>
    <t xml:space="preserve">I0542</t>
  </si>
  <si>
    <t xml:space="preserve">I0543</t>
  </si>
  <si>
    <t xml:space="preserve">I0544</t>
  </si>
  <si>
    <t xml:space="preserve">I0545</t>
  </si>
  <si>
    <t xml:space="preserve">I0546</t>
  </si>
  <si>
    <t xml:space="preserve">I0547</t>
  </si>
  <si>
    <t xml:space="preserve">I0548</t>
  </si>
  <si>
    <t xml:space="preserve">I0549</t>
  </si>
  <si>
    <t xml:space="preserve">I0550</t>
  </si>
  <si>
    <t xml:space="preserve">I0551</t>
  </si>
  <si>
    <t xml:space="preserve">I0552</t>
  </si>
  <si>
    <t xml:space="preserve">I0553</t>
  </si>
  <si>
    <t xml:space="preserve">I0554</t>
  </si>
  <si>
    <t xml:space="preserve">I0555</t>
  </si>
  <si>
    <t xml:space="preserve">I0556</t>
  </si>
  <si>
    <t xml:space="preserve">I0557</t>
  </si>
  <si>
    <t xml:space="preserve">I0558</t>
  </si>
  <si>
    <t xml:space="preserve">I0559</t>
  </si>
  <si>
    <t xml:space="preserve">I0560</t>
  </si>
  <si>
    <t xml:space="preserve">I0561</t>
  </si>
  <si>
    <t xml:space="preserve">I0562</t>
  </si>
  <si>
    <t xml:space="preserve">I0563</t>
  </si>
  <si>
    <t xml:space="preserve">I0564</t>
  </si>
  <si>
    <t xml:space="preserve">I0565</t>
  </si>
  <si>
    <t xml:space="preserve">I0566</t>
  </si>
  <si>
    <t xml:space="preserve">I0567</t>
  </si>
  <si>
    <t xml:space="preserve">I0568</t>
  </si>
  <si>
    <t xml:space="preserve">I0569</t>
  </si>
  <si>
    <t xml:space="preserve">I0570</t>
  </si>
  <si>
    <t xml:space="preserve">I0571</t>
  </si>
  <si>
    <t xml:space="preserve">I0572</t>
  </si>
  <si>
    <t xml:space="preserve">I0573</t>
  </si>
  <si>
    <t xml:space="preserve">I0574</t>
  </si>
  <si>
    <t xml:space="preserve">I0575</t>
  </si>
  <si>
    <t xml:space="preserve">I0576</t>
  </si>
  <si>
    <t xml:space="preserve">I0577</t>
  </si>
  <si>
    <t xml:space="preserve">I0578</t>
  </si>
  <si>
    <t xml:space="preserve">I0579</t>
  </si>
  <si>
    <t xml:space="preserve">I0580</t>
  </si>
  <si>
    <t xml:space="preserve">I0581</t>
  </si>
  <si>
    <t xml:space="preserve">I0582</t>
  </si>
  <si>
    <t xml:space="preserve">I0583</t>
  </si>
  <si>
    <t xml:space="preserve">I0584</t>
  </si>
  <si>
    <t xml:space="preserve">I0585</t>
  </si>
  <si>
    <t xml:space="preserve">I0586</t>
  </si>
  <si>
    <t xml:space="preserve">I0587</t>
  </si>
  <si>
    <t xml:space="preserve">I0588</t>
  </si>
  <si>
    <t xml:space="preserve">I0589</t>
  </si>
  <si>
    <t xml:space="preserve">I0590</t>
  </si>
  <si>
    <t xml:space="preserve">I0591</t>
  </si>
  <si>
    <t xml:space="preserve">I0592</t>
  </si>
  <si>
    <t xml:space="preserve">I0593</t>
  </si>
  <si>
    <t xml:space="preserve">I0594</t>
  </si>
  <si>
    <t xml:space="preserve">I0595</t>
  </si>
  <si>
    <t xml:space="preserve">I0596</t>
  </si>
  <si>
    <t xml:space="preserve">I0597</t>
  </si>
  <si>
    <t xml:space="preserve">I0598</t>
  </si>
  <si>
    <t xml:space="preserve">I0599</t>
  </si>
  <si>
    <t xml:space="preserve">I0600</t>
  </si>
  <si>
    <t xml:space="preserve">I0601</t>
  </si>
  <si>
    <t xml:space="preserve">I0602</t>
  </si>
  <si>
    <t xml:space="preserve">I0603</t>
  </si>
  <si>
    <t xml:space="preserve">I0604</t>
  </si>
  <si>
    <t xml:space="preserve">I0605</t>
  </si>
  <si>
    <t xml:space="preserve">I0606</t>
  </si>
  <si>
    <t xml:space="preserve">I0607</t>
  </si>
  <si>
    <t xml:space="preserve">I0608</t>
  </si>
  <si>
    <t xml:space="preserve">I0609</t>
  </si>
  <si>
    <t xml:space="preserve">I0610</t>
  </si>
  <si>
    <t xml:space="preserve">I0611</t>
  </si>
  <si>
    <t xml:space="preserve">I0612</t>
  </si>
  <si>
    <t xml:space="preserve">I0613</t>
  </si>
  <si>
    <t xml:space="preserve">I0614</t>
  </si>
  <si>
    <t xml:space="preserve">I0615</t>
  </si>
  <si>
    <t xml:space="preserve">I0616</t>
  </si>
  <si>
    <t xml:space="preserve">I0617</t>
  </si>
  <si>
    <t xml:space="preserve">I0618</t>
  </si>
  <si>
    <t xml:space="preserve">I0619</t>
  </si>
  <si>
    <t xml:space="preserve">I0620</t>
  </si>
  <si>
    <t xml:space="preserve">I0621</t>
  </si>
  <si>
    <t xml:space="preserve">I0622</t>
  </si>
  <si>
    <t xml:space="preserve">I0623</t>
  </si>
  <si>
    <t xml:space="preserve">I0624</t>
  </si>
  <si>
    <t xml:space="preserve">I0625</t>
  </si>
  <si>
    <t xml:space="preserve">I0626</t>
  </si>
  <si>
    <t xml:space="preserve">I0627</t>
  </si>
  <si>
    <t xml:space="preserve">I0628</t>
  </si>
  <si>
    <t xml:space="preserve">I0629</t>
  </si>
  <si>
    <t xml:space="preserve">I0630</t>
  </si>
  <si>
    <t xml:space="preserve">I0631</t>
  </si>
  <si>
    <t xml:space="preserve">I0632</t>
  </si>
  <si>
    <t xml:space="preserve">I0633</t>
  </si>
  <si>
    <t xml:space="preserve">I0634</t>
  </si>
  <si>
    <t xml:space="preserve">I0635</t>
  </si>
  <si>
    <t xml:space="preserve">I0636</t>
  </si>
  <si>
    <t xml:space="preserve">I0637</t>
  </si>
  <si>
    <t xml:space="preserve">I0638</t>
  </si>
  <si>
    <t xml:space="preserve">I0639</t>
  </si>
  <si>
    <t xml:space="preserve">I0640</t>
  </si>
  <si>
    <t xml:space="preserve">I0641</t>
  </si>
  <si>
    <t xml:space="preserve">I0642</t>
  </si>
  <si>
    <t xml:space="preserve">I0643</t>
  </si>
  <si>
    <t xml:space="preserve">I0644</t>
  </si>
  <si>
    <t xml:space="preserve">I0645</t>
  </si>
  <si>
    <t xml:space="preserve">I0646</t>
  </si>
  <si>
    <t xml:space="preserve">I0647</t>
  </si>
  <si>
    <t xml:space="preserve">I0648</t>
  </si>
  <si>
    <t xml:space="preserve">I0649</t>
  </si>
  <si>
    <t xml:space="preserve">I0650</t>
  </si>
  <si>
    <t xml:space="preserve">I0651</t>
  </si>
  <si>
    <t xml:space="preserve">I0652</t>
  </si>
  <si>
    <t xml:space="preserve">I0653</t>
  </si>
  <si>
    <t xml:space="preserve">I0654</t>
  </si>
  <si>
    <t xml:space="preserve">I0655</t>
  </si>
  <si>
    <t xml:space="preserve">I0656</t>
  </si>
  <si>
    <t xml:space="preserve">I0657</t>
  </si>
  <si>
    <t xml:space="preserve">I0658</t>
  </si>
  <si>
    <t xml:space="preserve">I0659</t>
  </si>
  <si>
    <t xml:space="preserve">I0660</t>
  </si>
  <si>
    <t xml:space="preserve">I0661</t>
  </si>
  <si>
    <t xml:space="preserve">I0662</t>
  </si>
  <si>
    <t xml:space="preserve">I0663</t>
  </si>
  <si>
    <t xml:space="preserve">I0664</t>
  </si>
  <si>
    <t xml:space="preserve">I0665</t>
  </si>
  <si>
    <t xml:space="preserve">I0666</t>
  </si>
  <si>
    <t xml:space="preserve">I0667</t>
  </si>
  <si>
    <t xml:space="preserve">I0668</t>
  </si>
  <si>
    <t xml:space="preserve">I0669</t>
  </si>
  <si>
    <t xml:space="preserve">I0670</t>
  </si>
  <si>
    <t xml:space="preserve">I0671</t>
  </si>
  <si>
    <t xml:space="preserve">I0672</t>
  </si>
  <si>
    <t xml:space="preserve">I0673</t>
  </si>
  <si>
    <t xml:space="preserve">I0674</t>
  </si>
  <si>
    <t xml:space="preserve">I0675</t>
  </si>
  <si>
    <t xml:space="preserve">I0676</t>
  </si>
  <si>
    <t xml:space="preserve">I0677</t>
  </si>
  <si>
    <t xml:space="preserve">I0678</t>
  </si>
  <si>
    <t xml:space="preserve">I0679</t>
  </si>
  <si>
    <t xml:space="preserve">I0680</t>
  </si>
  <si>
    <t xml:space="preserve">I0681</t>
  </si>
  <si>
    <t xml:space="preserve">I0682</t>
  </si>
  <si>
    <t xml:space="preserve">I0683</t>
  </si>
  <si>
    <t xml:space="preserve">I0684</t>
  </si>
  <si>
    <t xml:space="preserve">I0685</t>
  </si>
  <si>
    <t xml:space="preserve">I0686</t>
  </si>
  <si>
    <t xml:space="preserve">I0687</t>
  </si>
  <si>
    <t xml:space="preserve">I0688</t>
  </si>
  <si>
    <t xml:space="preserve">I0689</t>
  </si>
  <si>
    <t xml:space="preserve">I0690</t>
  </si>
  <si>
    <t xml:space="preserve">I0691</t>
  </si>
  <si>
    <t xml:space="preserve">I0692</t>
  </si>
  <si>
    <t xml:space="preserve">I0693</t>
  </si>
  <si>
    <t xml:space="preserve">I0694</t>
  </si>
  <si>
    <t xml:space="preserve">I0695</t>
  </si>
  <si>
    <t xml:space="preserve">I0696</t>
  </si>
  <si>
    <t xml:space="preserve">I0697</t>
  </si>
  <si>
    <t xml:space="preserve">I0698</t>
  </si>
  <si>
    <t xml:space="preserve">I0699</t>
  </si>
  <si>
    <t xml:space="preserve">I0700</t>
  </si>
  <si>
    <t xml:space="preserve">I0701</t>
  </si>
  <si>
    <t xml:space="preserve">I0702</t>
  </si>
  <si>
    <t xml:space="preserve">I0703</t>
  </si>
  <si>
    <t xml:space="preserve">I0704</t>
  </si>
  <si>
    <t xml:space="preserve">I0705</t>
  </si>
  <si>
    <t xml:space="preserve">I0706</t>
  </si>
  <si>
    <t xml:space="preserve">I0707</t>
  </si>
  <si>
    <t xml:space="preserve">I0708</t>
  </si>
  <si>
    <t xml:space="preserve">I0709</t>
  </si>
  <si>
    <t xml:space="preserve">I0710</t>
  </si>
  <si>
    <t xml:space="preserve">I0711</t>
  </si>
  <si>
    <t xml:space="preserve">I0712</t>
  </si>
  <si>
    <t xml:space="preserve">I0713</t>
  </si>
  <si>
    <t xml:space="preserve">I0714</t>
  </si>
  <si>
    <t xml:space="preserve">I0715</t>
  </si>
  <si>
    <t xml:space="preserve">I0716</t>
  </si>
  <si>
    <t xml:space="preserve">I0717</t>
  </si>
  <si>
    <t xml:space="preserve">I0718</t>
  </si>
  <si>
    <t xml:space="preserve">I0719</t>
  </si>
  <si>
    <t xml:space="preserve">I0720</t>
  </si>
  <si>
    <t xml:space="preserve">I0721</t>
  </si>
  <si>
    <t xml:space="preserve">I0722</t>
  </si>
  <si>
    <t xml:space="preserve">I0723</t>
  </si>
  <si>
    <t xml:space="preserve">I0724</t>
  </si>
  <si>
    <t xml:space="preserve">I0725</t>
  </si>
  <si>
    <t xml:space="preserve">I0726</t>
  </si>
  <si>
    <t xml:space="preserve">I0727</t>
  </si>
  <si>
    <t xml:space="preserve">I0728</t>
  </si>
  <si>
    <t xml:space="preserve">I0729</t>
  </si>
  <si>
    <t xml:space="preserve">I0730</t>
  </si>
  <si>
    <t xml:space="preserve">I0731</t>
  </si>
  <si>
    <t xml:space="preserve">I0732</t>
  </si>
  <si>
    <t xml:space="preserve">I0733</t>
  </si>
  <si>
    <t xml:space="preserve">I0734</t>
  </si>
  <si>
    <t xml:space="preserve">I0735</t>
  </si>
  <si>
    <t xml:space="preserve">I0736</t>
  </si>
  <si>
    <t xml:space="preserve">I0737</t>
  </si>
  <si>
    <t xml:space="preserve">I0738</t>
  </si>
  <si>
    <t xml:space="preserve">I0739</t>
  </si>
  <si>
    <t xml:space="preserve">I0740</t>
  </si>
  <si>
    <t xml:space="preserve">I0741</t>
  </si>
  <si>
    <t xml:space="preserve">I0742</t>
  </si>
  <si>
    <t xml:space="preserve">I0743</t>
  </si>
  <si>
    <t xml:space="preserve">I0744</t>
  </si>
  <si>
    <t xml:space="preserve">I0745</t>
  </si>
  <si>
    <t xml:space="preserve">I0746</t>
  </si>
  <si>
    <t xml:space="preserve">I0747</t>
  </si>
  <si>
    <t xml:space="preserve">I0748</t>
  </si>
  <si>
    <t xml:space="preserve">I0749</t>
  </si>
  <si>
    <t xml:space="preserve">I0750</t>
  </si>
  <si>
    <t xml:space="preserve">I0751</t>
  </si>
  <si>
    <t xml:space="preserve">I0752</t>
  </si>
  <si>
    <t xml:space="preserve">I0753</t>
  </si>
  <si>
    <t xml:space="preserve">I0754</t>
  </si>
  <si>
    <t xml:space="preserve">I0755</t>
  </si>
  <si>
    <t xml:space="preserve">I0756</t>
  </si>
  <si>
    <t xml:space="preserve">I0757</t>
  </si>
  <si>
    <t xml:space="preserve">I0758</t>
  </si>
  <si>
    <t xml:space="preserve">I0759</t>
  </si>
  <si>
    <t xml:space="preserve">I0760</t>
  </si>
  <si>
    <t xml:space="preserve">I0761</t>
  </si>
  <si>
    <t xml:space="preserve">I0762</t>
  </si>
  <si>
    <t xml:space="preserve">I0763</t>
  </si>
  <si>
    <t xml:space="preserve">I0764</t>
  </si>
  <si>
    <t xml:space="preserve">I0765</t>
  </si>
  <si>
    <t xml:space="preserve">I0766</t>
  </si>
  <si>
    <t xml:space="preserve">I0767</t>
  </si>
  <si>
    <t xml:space="preserve">I0768</t>
  </si>
  <si>
    <t xml:space="preserve">I0769</t>
  </si>
  <si>
    <t xml:space="preserve">I0770</t>
  </si>
  <si>
    <t xml:space="preserve">I0771</t>
  </si>
  <si>
    <t xml:space="preserve">I0772</t>
  </si>
  <si>
    <t xml:space="preserve">I0773</t>
  </si>
  <si>
    <t xml:space="preserve">I0774</t>
  </si>
  <si>
    <t xml:space="preserve">I0775</t>
  </si>
  <si>
    <t xml:space="preserve">I0776</t>
  </si>
  <si>
    <t xml:space="preserve">I0777</t>
  </si>
  <si>
    <t xml:space="preserve">I0778</t>
  </si>
  <si>
    <t xml:space="preserve">I0779</t>
  </si>
  <si>
    <t xml:space="preserve">I0780</t>
  </si>
  <si>
    <t xml:space="preserve">I0781</t>
  </si>
  <si>
    <t xml:space="preserve">I0782</t>
  </si>
  <si>
    <t xml:space="preserve">I0783</t>
  </si>
  <si>
    <t xml:space="preserve">I0784</t>
  </si>
  <si>
    <t xml:space="preserve">I0785</t>
  </si>
  <si>
    <t xml:space="preserve">I0786</t>
  </si>
  <si>
    <t xml:space="preserve">I0787</t>
  </si>
  <si>
    <t xml:space="preserve">I0788</t>
  </si>
  <si>
    <t xml:space="preserve">I0789</t>
  </si>
  <si>
    <t xml:space="preserve">I0790</t>
  </si>
  <si>
    <t xml:space="preserve">I0791</t>
  </si>
  <si>
    <t xml:space="preserve">I0792</t>
  </si>
  <si>
    <t xml:space="preserve">I0793</t>
  </si>
  <si>
    <t xml:space="preserve">I0794</t>
  </si>
  <si>
    <t xml:space="preserve">I0795</t>
  </si>
  <si>
    <t xml:space="preserve">I0796</t>
  </si>
  <si>
    <t xml:space="preserve">I0797</t>
  </si>
  <si>
    <t xml:space="preserve">I0798</t>
  </si>
  <si>
    <t xml:space="preserve">I0799</t>
  </si>
  <si>
    <t xml:space="preserve">I0800</t>
  </si>
  <si>
    <t xml:space="preserve">I0801</t>
  </si>
  <si>
    <t xml:space="preserve">I0802</t>
  </si>
  <si>
    <t xml:space="preserve">I0803</t>
  </si>
  <si>
    <t xml:space="preserve">I0804</t>
  </si>
  <si>
    <t xml:space="preserve">I0805</t>
  </si>
  <si>
    <t xml:space="preserve">I0806</t>
  </si>
  <si>
    <t xml:space="preserve">I0807</t>
  </si>
  <si>
    <t xml:space="preserve">I0808</t>
  </si>
  <si>
    <t xml:space="preserve">I0809</t>
  </si>
  <si>
    <t xml:space="preserve">I0810</t>
  </si>
  <si>
    <t xml:space="preserve">I0811</t>
  </si>
  <si>
    <t xml:space="preserve">I0812</t>
  </si>
  <si>
    <t xml:space="preserve">I0813</t>
  </si>
  <si>
    <t xml:space="preserve">I0814</t>
  </si>
  <si>
    <t xml:space="preserve">I0815</t>
  </si>
  <si>
    <t xml:space="preserve">I0816</t>
  </si>
  <si>
    <t xml:space="preserve">I0817</t>
  </si>
  <si>
    <t xml:space="preserve">I0818</t>
  </si>
  <si>
    <t xml:space="preserve">I0819</t>
  </si>
  <si>
    <t xml:space="preserve">I0820</t>
  </si>
  <si>
    <t xml:space="preserve">I0821</t>
  </si>
  <si>
    <t xml:space="preserve">I0822</t>
  </si>
  <si>
    <t xml:space="preserve">I0823</t>
  </si>
  <si>
    <t xml:space="preserve">I0824</t>
  </si>
  <si>
    <t xml:space="preserve">I0825</t>
  </si>
  <si>
    <t xml:space="preserve">I0826</t>
  </si>
  <si>
    <t xml:space="preserve">I0827</t>
  </si>
  <si>
    <t xml:space="preserve">I0828</t>
  </si>
  <si>
    <t xml:space="preserve">I0829</t>
  </si>
  <si>
    <t xml:space="preserve">I0830</t>
  </si>
  <si>
    <t xml:space="preserve">I0831</t>
  </si>
  <si>
    <t xml:space="preserve">I0832</t>
  </si>
  <si>
    <t xml:space="preserve">I0833</t>
  </si>
  <si>
    <t xml:space="preserve">I0834</t>
  </si>
  <si>
    <t xml:space="preserve">I0835</t>
  </si>
  <si>
    <t xml:space="preserve">I0836</t>
  </si>
  <si>
    <t xml:space="preserve">I0837</t>
  </si>
  <si>
    <t xml:space="preserve">I0838</t>
  </si>
  <si>
    <t xml:space="preserve">I0839</t>
  </si>
  <si>
    <t xml:space="preserve">I0840</t>
  </si>
  <si>
    <t xml:space="preserve">I0841</t>
  </si>
  <si>
    <t xml:space="preserve">I0842</t>
  </si>
  <si>
    <t xml:space="preserve">I0843</t>
  </si>
  <si>
    <t xml:space="preserve">I0844</t>
  </si>
  <si>
    <t xml:space="preserve">I0845</t>
  </si>
  <si>
    <t xml:space="preserve">I0846</t>
  </si>
  <si>
    <t xml:space="preserve">I0847</t>
  </si>
  <si>
    <t xml:space="preserve">I0848</t>
  </si>
  <si>
    <t xml:space="preserve">I0849</t>
  </si>
  <si>
    <t xml:space="preserve">I0850</t>
  </si>
  <si>
    <t xml:space="preserve">I0851</t>
  </si>
  <si>
    <t xml:space="preserve">I0852</t>
  </si>
  <si>
    <t xml:space="preserve">I0853</t>
  </si>
  <si>
    <t xml:space="preserve">I0854</t>
  </si>
  <si>
    <t xml:space="preserve">I0855</t>
  </si>
  <si>
    <t xml:space="preserve">I0856</t>
  </si>
  <si>
    <t xml:space="preserve">I0857</t>
  </si>
  <si>
    <t xml:space="preserve">I0858</t>
  </si>
  <si>
    <t xml:space="preserve">I0859</t>
  </si>
  <si>
    <t xml:space="preserve">I0860</t>
  </si>
  <si>
    <t xml:space="preserve">I0861</t>
  </si>
  <si>
    <t xml:space="preserve">I0862</t>
  </si>
  <si>
    <t xml:space="preserve">I0863</t>
  </si>
  <si>
    <t xml:space="preserve">I0864</t>
  </si>
  <si>
    <t xml:space="preserve">I0865</t>
  </si>
  <si>
    <t xml:space="preserve">I0866</t>
  </si>
  <si>
    <t xml:space="preserve">I0867</t>
  </si>
  <si>
    <t xml:space="preserve">I0868</t>
  </si>
  <si>
    <t xml:space="preserve">I0869</t>
  </si>
  <si>
    <t xml:space="preserve">I0870</t>
  </si>
  <si>
    <t xml:space="preserve">I0871</t>
  </si>
  <si>
    <t xml:space="preserve">I0872</t>
  </si>
  <si>
    <t xml:space="preserve">I0873</t>
  </si>
  <si>
    <t xml:space="preserve">I0874</t>
  </si>
  <si>
    <t xml:space="preserve">I0875</t>
  </si>
  <si>
    <t xml:space="preserve">I0876</t>
  </si>
  <si>
    <t xml:space="preserve">I0877</t>
  </si>
  <si>
    <t xml:space="preserve">I0878</t>
  </si>
  <si>
    <t xml:space="preserve">I0879</t>
  </si>
  <si>
    <t xml:space="preserve">I0880</t>
  </si>
  <si>
    <t xml:space="preserve">I0881</t>
  </si>
  <si>
    <t xml:space="preserve">I0882</t>
  </si>
  <si>
    <t xml:space="preserve">I0883</t>
  </si>
  <si>
    <t xml:space="preserve">I0884</t>
  </si>
  <si>
    <t xml:space="preserve">I0885</t>
  </si>
  <si>
    <t xml:space="preserve">I0886</t>
  </si>
  <si>
    <t xml:space="preserve">I0887</t>
  </si>
  <si>
    <t xml:space="preserve">I0888</t>
  </si>
  <si>
    <t xml:space="preserve">I0889</t>
  </si>
  <si>
    <t xml:space="preserve">I0890</t>
  </si>
  <si>
    <t xml:space="preserve">I0891</t>
  </si>
  <si>
    <t xml:space="preserve">I0892</t>
  </si>
  <si>
    <t xml:space="preserve">I0893</t>
  </si>
  <si>
    <t xml:space="preserve">I0894</t>
  </si>
  <si>
    <t xml:space="preserve">I0895</t>
  </si>
  <si>
    <t xml:space="preserve">I0896</t>
  </si>
  <si>
    <t xml:space="preserve">I0897</t>
  </si>
  <si>
    <t xml:space="preserve">I0898</t>
  </si>
  <si>
    <t xml:space="preserve">I0899</t>
  </si>
  <si>
    <t xml:space="preserve">I0900</t>
  </si>
  <si>
    <t xml:space="preserve">I0901</t>
  </si>
  <si>
    <t xml:space="preserve">I0902</t>
  </si>
  <si>
    <t xml:space="preserve">I0903</t>
  </si>
  <si>
    <t xml:space="preserve">I0904</t>
  </si>
  <si>
    <t xml:space="preserve">I0905</t>
  </si>
  <si>
    <t xml:space="preserve">I0906</t>
  </si>
  <si>
    <t xml:space="preserve">I0907</t>
  </si>
  <si>
    <t xml:space="preserve">I0908</t>
  </si>
  <si>
    <t xml:space="preserve">I0909</t>
  </si>
  <si>
    <t xml:space="preserve">I0910</t>
  </si>
  <si>
    <t xml:space="preserve">I0911</t>
  </si>
  <si>
    <t xml:space="preserve">I0912</t>
  </si>
  <si>
    <t xml:space="preserve">I0913</t>
  </si>
  <si>
    <t xml:space="preserve">I0914</t>
  </si>
  <si>
    <t xml:space="preserve">I0915</t>
  </si>
  <si>
    <t xml:space="preserve">I0916</t>
  </si>
  <si>
    <t xml:space="preserve">I0917</t>
  </si>
  <si>
    <t xml:space="preserve">I0918</t>
  </si>
  <si>
    <t xml:space="preserve">I0919</t>
  </si>
  <si>
    <t xml:space="preserve">I0920</t>
  </si>
  <si>
    <t xml:space="preserve">I0921</t>
  </si>
  <si>
    <t xml:space="preserve">I0922</t>
  </si>
  <si>
    <t xml:space="preserve">I0923</t>
  </si>
  <si>
    <t xml:space="preserve">I0924</t>
  </si>
  <si>
    <t xml:space="preserve">I0925</t>
  </si>
  <si>
    <t xml:space="preserve">I0926</t>
  </si>
  <si>
    <t xml:space="preserve">I0927</t>
  </si>
  <si>
    <t xml:space="preserve">I0928</t>
  </si>
  <si>
    <t xml:space="preserve">I0929</t>
  </si>
  <si>
    <t xml:space="preserve">I0930</t>
  </si>
  <si>
    <t xml:space="preserve">I0931</t>
  </si>
  <si>
    <t xml:space="preserve">I0932</t>
  </si>
  <si>
    <t xml:space="preserve">I0933</t>
  </si>
  <si>
    <t xml:space="preserve">I0934</t>
  </si>
  <si>
    <t xml:space="preserve">I0935</t>
  </si>
  <si>
    <t xml:space="preserve">I0936</t>
  </si>
  <si>
    <t xml:space="preserve">I0937</t>
  </si>
  <si>
    <t xml:space="preserve">I0938</t>
  </si>
  <si>
    <t xml:space="preserve">I0939</t>
  </si>
  <si>
    <t xml:space="preserve">I0940</t>
  </si>
  <si>
    <t xml:space="preserve">I0941</t>
  </si>
  <si>
    <t xml:space="preserve">I0942</t>
  </si>
  <si>
    <t xml:space="preserve">I0943</t>
  </si>
  <si>
    <t xml:space="preserve">I0944</t>
  </si>
  <si>
    <t xml:space="preserve">I0945</t>
  </si>
  <si>
    <t xml:space="preserve">I0946</t>
  </si>
  <si>
    <t xml:space="preserve">I0947</t>
  </si>
  <si>
    <t xml:space="preserve">I0948</t>
  </si>
  <si>
    <t xml:space="preserve">I0949</t>
  </si>
  <si>
    <t xml:space="preserve">I0950</t>
  </si>
  <si>
    <t xml:space="preserve">I0951</t>
  </si>
  <si>
    <t xml:space="preserve">I0952</t>
  </si>
  <si>
    <t xml:space="preserve">I0953</t>
  </si>
  <si>
    <t xml:space="preserve">I0954</t>
  </si>
  <si>
    <t xml:space="preserve">I0955</t>
  </si>
  <si>
    <t xml:space="preserve">I0956</t>
  </si>
  <si>
    <t xml:space="preserve">I0957</t>
  </si>
  <si>
    <t xml:space="preserve">I0958</t>
  </si>
  <si>
    <t xml:space="preserve">I0959</t>
  </si>
  <si>
    <t xml:space="preserve">I0960</t>
  </si>
  <si>
    <t xml:space="preserve">I0961</t>
  </si>
  <si>
    <t xml:space="preserve">I0962</t>
  </si>
  <si>
    <t xml:space="preserve">I0963</t>
  </si>
  <si>
    <t xml:space="preserve">I0964</t>
  </si>
  <si>
    <t xml:space="preserve">I0965</t>
  </si>
  <si>
    <t xml:space="preserve">I0966</t>
  </si>
  <si>
    <t xml:space="preserve">I0967</t>
  </si>
  <si>
    <t xml:space="preserve">I0968</t>
  </si>
  <si>
    <t xml:space="preserve">I0969</t>
  </si>
  <si>
    <t xml:space="preserve">I0970</t>
  </si>
  <si>
    <t xml:space="preserve">I0971</t>
  </si>
  <si>
    <t xml:space="preserve">I0972</t>
  </si>
  <si>
    <t xml:space="preserve">I0973</t>
  </si>
  <si>
    <t xml:space="preserve">I0974</t>
  </si>
  <si>
    <t xml:space="preserve">I0975</t>
  </si>
  <si>
    <t xml:space="preserve">I0976</t>
  </si>
  <si>
    <t xml:space="preserve">I0977</t>
  </si>
  <si>
    <t xml:space="preserve">I0978</t>
  </si>
  <si>
    <t xml:space="preserve">I0979</t>
  </si>
  <si>
    <t xml:space="preserve">I0980</t>
  </si>
  <si>
    <t xml:space="preserve">I0981</t>
  </si>
  <si>
    <t xml:space="preserve">I0982</t>
  </si>
  <si>
    <t xml:space="preserve">I0983</t>
  </si>
  <si>
    <t xml:space="preserve">I0984</t>
  </si>
  <si>
    <t xml:space="preserve">I0985</t>
  </si>
  <si>
    <t xml:space="preserve">I0986</t>
  </si>
  <si>
    <t xml:space="preserve">I0987</t>
  </si>
  <si>
    <t xml:space="preserve">I0988</t>
  </si>
  <si>
    <t xml:space="preserve">I0989</t>
  </si>
  <si>
    <t xml:space="preserve">I0990</t>
  </si>
  <si>
    <t xml:space="preserve">I0991</t>
  </si>
  <si>
    <t xml:space="preserve">I0992</t>
  </si>
  <si>
    <t xml:space="preserve">I0993</t>
  </si>
  <si>
    <t xml:space="preserve">I0994</t>
  </si>
  <si>
    <t xml:space="preserve">I0995</t>
  </si>
  <si>
    <t xml:space="preserve">I0996</t>
  </si>
  <si>
    <t xml:space="preserve">I0997</t>
  </si>
  <si>
    <t xml:space="preserve">I0998</t>
  </si>
  <si>
    <t xml:space="preserve">I0999</t>
  </si>
  <si>
    <t xml:space="preserve">I1000</t>
  </si>
  <si>
    <t xml:space="preserve">I1001</t>
  </si>
  <si>
    <t xml:space="preserve">I1002</t>
  </si>
  <si>
    <t xml:space="preserve">I1003</t>
  </si>
  <si>
    <t xml:space="preserve">I1004</t>
  </si>
  <si>
    <t xml:space="preserve">I1005</t>
  </si>
  <si>
    <t xml:space="preserve">I1006</t>
  </si>
  <si>
    <t xml:space="preserve">I1007</t>
  </si>
  <si>
    <t xml:space="preserve">I1008</t>
  </si>
  <si>
    <t xml:space="preserve">I1009</t>
  </si>
  <si>
    <t xml:space="preserve">I1010</t>
  </si>
  <si>
    <t xml:space="preserve">I1011</t>
  </si>
  <si>
    <t xml:space="preserve">I1012</t>
  </si>
  <si>
    <t xml:space="preserve">I1013</t>
  </si>
  <si>
    <t xml:space="preserve">I1014</t>
  </si>
  <si>
    <t xml:space="preserve">I1015</t>
  </si>
  <si>
    <t xml:space="preserve">I1016</t>
  </si>
  <si>
    <t xml:space="preserve">I1017</t>
  </si>
  <si>
    <t xml:space="preserve">I1018</t>
  </si>
  <si>
    <t xml:space="preserve">I1019</t>
  </si>
  <si>
    <t xml:space="preserve">I1020</t>
  </si>
  <si>
    <t xml:space="preserve">I1021</t>
  </si>
  <si>
    <t xml:space="preserve">I1022</t>
  </si>
  <si>
    <t xml:space="preserve">I1023</t>
  </si>
  <si>
    <t xml:space="preserve">I1024</t>
  </si>
  <si>
    <t xml:space="preserve">I1025</t>
  </si>
  <si>
    <t xml:space="preserve">I1026</t>
  </si>
  <si>
    <t xml:space="preserve">I1027</t>
  </si>
  <si>
    <t xml:space="preserve">I1028</t>
  </si>
  <si>
    <t xml:space="preserve">worcestershire sauce</t>
  </si>
  <si>
    <t xml:space="preserve">I1029</t>
  </si>
  <si>
    <t xml:space="preserve">I1030</t>
  </si>
  <si>
    <t xml:space="preserve">I1031</t>
  </si>
  <si>
    <t xml:space="preserve">I1032</t>
  </si>
  <si>
    <t xml:space="preserve">I1033</t>
  </si>
  <si>
    <t xml:space="preserve">I1034</t>
  </si>
  <si>
    <t xml:space="preserve">I1035</t>
  </si>
  <si>
    <t xml:space="preserve">I1036</t>
  </si>
  <si>
    <t xml:space="preserve">I1037</t>
  </si>
  <si>
    <t xml:space="preserve">I1038</t>
  </si>
  <si>
    <t xml:space="preserve">I1039</t>
  </si>
  <si>
    <t xml:space="preserve">yorkshire pudding</t>
  </si>
  <si>
    <t xml:space="preserve">I1040</t>
  </si>
  <si>
    <t xml:space="preserve">I1041</t>
  </si>
  <si>
    <t xml:space="preserve">Country / cuisine</t>
  </si>
  <si>
    <t xml:space="preserve">ISO2</t>
  </si>
  <si>
    <t xml:space="preserve">Total items</t>
  </si>
  <si>
    <t xml:space="preserve">C001</t>
  </si>
  <si>
    <t xml:space="preserve">AF</t>
  </si>
  <si>
    <t xml:space="preserve">C002</t>
  </si>
  <si>
    <t xml:space="preserve">AR</t>
  </si>
  <si>
    <t xml:space="preserve">C003</t>
  </si>
  <si>
    <t xml:space="preserve">AU</t>
  </si>
  <si>
    <t xml:space="preserve">C004</t>
  </si>
  <si>
    <t xml:space="preserve">AT</t>
  </si>
  <si>
    <t xml:space="preserve">C005</t>
  </si>
  <si>
    <t xml:space="preserve">BD</t>
  </si>
  <si>
    <t xml:space="preserve">C006</t>
  </si>
  <si>
    <t xml:space="preserve">BE</t>
  </si>
  <si>
    <t xml:space="preserve">C007</t>
  </si>
  <si>
    <t xml:space="preserve">BM</t>
  </si>
  <si>
    <t xml:space="preserve">C008</t>
  </si>
  <si>
    <t xml:space="preserve">BT</t>
  </si>
  <si>
    <t xml:space="preserve">C009</t>
  </si>
  <si>
    <t xml:space="preserve">BO</t>
  </si>
  <si>
    <t xml:space="preserve">C010</t>
  </si>
  <si>
    <t xml:space="preserve">BA</t>
  </si>
  <si>
    <t xml:space="preserve">C011</t>
  </si>
  <si>
    <t xml:space="preserve">C012</t>
  </si>
  <si>
    <t xml:space="preserve">BG</t>
  </si>
  <si>
    <t xml:space="preserve">C013</t>
  </si>
  <si>
    <t xml:space="preserve">KH</t>
  </si>
  <si>
    <t xml:space="preserve">C014</t>
  </si>
  <si>
    <t xml:space="preserve">CA</t>
  </si>
  <si>
    <t xml:space="preserve">C015</t>
  </si>
  <si>
    <t xml:space="preserve">KY</t>
  </si>
  <si>
    <t xml:space="preserve">C016</t>
  </si>
  <si>
    <t xml:space="preserve">CL</t>
  </si>
  <si>
    <t xml:space="preserve">C017</t>
  </si>
  <si>
    <t xml:space="preserve">CN</t>
  </si>
  <si>
    <t xml:space="preserve">C018</t>
  </si>
  <si>
    <t xml:space="preserve">CO</t>
  </si>
  <si>
    <t xml:space="preserve">C019</t>
  </si>
  <si>
    <t xml:space="preserve">Central America</t>
  </si>
  <si>
    <t xml:space="preserve">CR</t>
  </si>
  <si>
    <t xml:space="preserve">C020</t>
  </si>
  <si>
    <t xml:space="preserve">CU</t>
  </si>
  <si>
    <t xml:space="preserve">C021</t>
  </si>
  <si>
    <t xml:space="preserve">CZ</t>
  </si>
  <si>
    <t xml:space="preserve">C022</t>
  </si>
  <si>
    <t xml:space="preserve">DK</t>
  </si>
  <si>
    <t xml:space="preserve">C023</t>
  </si>
  <si>
    <t xml:space="preserve">EG</t>
  </si>
  <si>
    <t xml:space="preserve">C024</t>
  </si>
  <si>
    <t xml:space="preserve">SV</t>
  </si>
  <si>
    <t xml:space="preserve">C025</t>
  </si>
  <si>
    <t xml:space="preserve">ET</t>
  </si>
  <si>
    <t xml:space="preserve">C026</t>
  </si>
  <si>
    <t xml:space="preserve">Melanesia</t>
  </si>
  <si>
    <t xml:space="preserve">FJ</t>
  </si>
  <si>
    <t xml:space="preserve">C027</t>
  </si>
  <si>
    <t xml:space="preserve">FI</t>
  </si>
  <si>
    <t xml:space="preserve">C028</t>
  </si>
  <si>
    <t xml:space="preserve">FR</t>
  </si>
  <si>
    <t xml:space="preserve">C029</t>
  </si>
  <si>
    <t xml:space="preserve">GE</t>
  </si>
  <si>
    <t xml:space="preserve">C030</t>
  </si>
  <si>
    <t xml:space="preserve">DE</t>
  </si>
  <si>
    <t xml:space="preserve">C031</t>
  </si>
  <si>
    <t xml:space="preserve">GH</t>
  </si>
  <si>
    <t xml:space="preserve">C032</t>
  </si>
  <si>
    <t xml:space="preserve">GR</t>
  </si>
  <si>
    <t xml:space="preserve">C033</t>
  </si>
  <si>
    <t xml:space="preserve">HU</t>
  </si>
  <si>
    <t xml:space="preserve">C034</t>
  </si>
  <si>
    <t xml:space="preserve">IN</t>
  </si>
  <si>
    <t xml:space="preserve">C035</t>
  </si>
  <si>
    <t xml:space="preserve">C036</t>
  </si>
  <si>
    <t xml:space="preserve">C037</t>
  </si>
  <si>
    <t xml:space="preserve">IR</t>
  </si>
  <si>
    <t xml:space="preserve">C038</t>
  </si>
  <si>
    <t xml:space="preserve">IQ</t>
  </si>
  <si>
    <t xml:space="preserve">C039</t>
  </si>
  <si>
    <t xml:space="preserve">IE</t>
  </si>
  <si>
    <t xml:space="preserve">C040</t>
  </si>
  <si>
    <t xml:space="preserve">IL</t>
  </si>
  <si>
    <t xml:space="preserve">C041</t>
  </si>
  <si>
    <t xml:space="preserve">IT</t>
  </si>
  <si>
    <t xml:space="preserve">C042</t>
  </si>
  <si>
    <t xml:space="preserve">JM</t>
  </si>
  <si>
    <t xml:space="preserve">C043</t>
  </si>
  <si>
    <t xml:space="preserve">JP</t>
  </si>
  <si>
    <t xml:space="preserve">C044</t>
  </si>
  <si>
    <t xml:space="preserve">JO</t>
  </si>
  <si>
    <t xml:space="preserve">C045</t>
  </si>
  <si>
    <t xml:space="preserve">KZ</t>
  </si>
  <si>
    <t xml:space="preserve">C046</t>
  </si>
  <si>
    <t xml:space="preserve">KE</t>
  </si>
  <si>
    <t xml:space="preserve">C047</t>
  </si>
  <si>
    <t xml:space="preserve">LA</t>
  </si>
  <si>
    <t xml:space="preserve">C048</t>
  </si>
  <si>
    <t xml:space="preserve">LB</t>
  </si>
  <si>
    <t xml:space="preserve">C049</t>
  </si>
  <si>
    <t xml:space="preserve">MG</t>
  </si>
  <si>
    <t xml:space="preserve">C050</t>
  </si>
  <si>
    <t xml:space="preserve">MY</t>
  </si>
  <si>
    <t xml:space="preserve">C051</t>
  </si>
  <si>
    <t xml:space="preserve">MX</t>
  </si>
  <si>
    <t xml:space="preserve">C052</t>
  </si>
  <si>
    <t xml:space="preserve">MN</t>
  </si>
  <si>
    <t xml:space="preserve">C053</t>
  </si>
  <si>
    <t xml:space="preserve">MA</t>
  </si>
  <si>
    <t xml:space="preserve">C054</t>
  </si>
  <si>
    <t xml:space="preserve">MZ</t>
  </si>
  <si>
    <t xml:space="preserve">C055</t>
  </si>
  <si>
    <t xml:space="preserve">MM</t>
  </si>
  <si>
    <t xml:space="preserve">C056</t>
  </si>
  <si>
    <t xml:space="preserve">NP</t>
  </si>
  <si>
    <t xml:space="preserve">C057</t>
  </si>
  <si>
    <t xml:space="preserve">NL</t>
  </si>
  <si>
    <t xml:space="preserve">C058</t>
  </si>
  <si>
    <t xml:space="preserve">NZ</t>
  </si>
  <si>
    <t xml:space="preserve">C059</t>
  </si>
  <si>
    <t xml:space="preserve">NG</t>
  </si>
  <si>
    <t xml:space="preserve">C060</t>
  </si>
  <si>
    <t xml:space="preserve">NO</t>
  </si>
  <si>
    <t xml:space="preserve">C061</t>
  </si>
  <si>
    <t xml:space="preserve">PK</t>
  </si>
  <si>
    <t xml:space="preserve">C062</t>
  </si>
  <si>
    <t xml:space="preserve">PS</t>
  </si>
  <si>
    <t xml:space="preserve">C063</t>
  </si>
  <si>
    <t xml:space="preserve">PE</t>
  </si>
  <si>
    <t xml:space="preserve">C064</t>
  </si>
  <si>
    <t xml:space="preserve">PH</t>
  </si>
  <si>
    <t xml:space="preserve">C065</t>
  </si>
  <si>
    <t xml:space="preserve">PL</t>
  </si>
  <si>
    <t xml:space="preserve">C066</t>
  </si>
  <si>
    <t xml:space="preserve">PT</t>
  </si>
  <si>
    <t xml:space="preserve">C067</t>
  </si>
  <si>
    <t xml:space="preserve">PR</t>
  </si>
  <si>
    <t xml:space="preserve">C068</t>
  </si>
  <si>
    <t xml:space="preserve">RO</t>
  </si>
  <si>
    <t xml:space="preserve">C069</t>
  </si>
  <si>
    <t xml:space="preserve">RU</t>
  </si>
  <si>
    <t xml:space="preserve">C070</t>
  </si>
  <si>
    <t xml:space="preserve">SA</t>
  </si>
  <si>
    <t xml:space="preserve">C071</t>
  </si>
  <si>
    <t xml:space="preserve">SN</t>
  </si>
  <si>
    <t xml:space="preserve">C072</t>
  </si>
  <si>
    <t xml:space="preserve">RS</t>
  </si>
  <si>
    <t xml:space="preserve">C073</t>
  </si>
  <si>
    <t xml:space="preserve">SG</t>
  </si>
  <si>
    <t xml:space="preserve">C074</t>
  </si>
  <si>
    <t xml:space="preserve">ZA</t>
  </si>
  <si>
    <t xml:space="preserve">C075</t>
  </si>
  <si>
    <t xml:space="preserve">KR</t>
  </si>
  <si>
    <t xml:space="preserve">C076</t>
  </si>
  <si>
    <t xml:space="preserve">ES</t>
  </si>
  <si>
    <t xml:space="preserve">C077</t>
  </si>
  <si>
    <t xml:space="preserve">LK</t>
  </si>
  <si>
    <t xml:space="preserve">C078</t>
  </si>
  <si>
    <t xml:space="preserve">SE</t>
  </si>
  <si>
    <t xml:space="preserve">C079</t>
  </si>
  <si>
    <t xml:space="preserve">CH</t>
  </si>
  <si>
    <t xml:space="preserve">C080</t>
  </si>
  <si>
    <t xml:space="preserve">SY</t>
  </si>
  <si>
    <t xml:space="preserve">C081</t>
  </si>
  <si>
    <t xml:space="preserve">TW</t>
  </si>
  <si>
    <t xml:space="preserve">C082</t>
  </si>
  <si>
    <t xml:space="preserve">TZ</t>
  </si>
  <si>
    <t xml:space="preserve">C083</t>
  </si>
  <si>
    <t xml:space="preserve">TH</t>
  </si>
  <si>
    <t xml:space="preserve">C084</t>
  </si>
  <si>
    <t xml:space="preserve">TT</t>
  </si>
  <si>
    <t xml:space="preserve">C085</t>
  </si>
  <si>
    <t xml:space="preserve">TN</t>
  </si>
  <si>
    <t xml:space="preserve">C086</t>
  </si>
  <si>
    <t xml:space="preserve">TR</t>
  </si>
  <si>
    <t xml:space="preserve">C087</t>
  </si>
  <si>
    <t xml:space="preserve">UG</t>
  </si>
  <si>
    <t xml:space="preserve">C088</t>
  </si>
  <si>
    <t xml:space="preserve">UA</t>
  </si>
  <si>
    <t xml:space="preserve">C089</t>
  </si>
  <si>
    <t xml:space="preserve">AE</t>
  </si>
  <si>
    <t xml:space="preserve">C090</t>
  </si>
  <si>
    <t xml:space="preserve">GB</t>
  </si>
  <si>
    <t xml:space="preserve">C091</t>
  </si>
  <si>
    <t xml:space="preserve">US</t>
  </si>
  <si>
    <t xml:space="preserve">C092</t>
  </si>
  <si>
    <t xml:space="preserve">UY</t>
  </si>
  <si>
    <t xml:space="preserve">C093</t>
  </si>
  <si>
    <t xml:space="preserve">UZ</t>
  </si>
  <si>
    <t xml:space="preserve">C094</t>
  </si>
  <si>
    <t xml:space="preserve">VE</t>
  </si>
  <si>
    <t xml:space="preserve">C095</t>
  </si>
  <si>
    <t xml:space="preserve">VN</t>
  </si>
  <si>
    <t xml:space="preserve">C096</t>
  </si>
  <si>
    <t xml:space="preserve">YE</t>
  </si>
  <si>
    <t xml:space="preserve">Official name</t>
  </si>
  <si>
    <t xml:space="preserve">ISO3</t>
  </si>
  <si>
    <t xml:space="preserve">Region</t>
  </si>
  <si>
    <t xml:space="preserve">Latitude</t>
  </si>
  <si>
    <t xml:space="preserve">Longitude</t>
  </si>
  <si>
    <t xml:space="preserve">Borders (ISO3)</t>
  </si>
  <si>
    <t xml:space="preserve">Flag</t>
  </si>
  <si>
    <t xml:space="preserve">Islamic Republic of Afghanistan</t>
  </si>
  <si>
    <t xml:space="preserve">AFG</t>
  </si>
  <si>
    <t xml:space="preserve">IRN, PAK, TKM, UZB, TJK, CHN</t>
  </si>
  <si>
    <t xml:space="preserve">🇦🇫</t>
  </si>
  <si>
    <t xml:space="preserve">Albania</t>
  </si>
  <si>
    <t xml:space="preserve">Republic of Albania</t>
  </si>
  <si>
    <t xml:space="preserve">AL</t>
  </si>
  <si>
    <t xml:space="preserve">ALB</t>
  </si>
  <si>
    <t xml:space="preserve">MNE, GRC, MKD, UNK</t>
  </si>
  <si>
    <t xml:space="preserve">🇦🇱</t>
  </si>
  <si>
    <t xml:space="preserve">Algeria</t>
  </si>
  <si>
    <t xml:space="preserve">People's Democratic Republic of Algeria</t>
  </si>
  <si>
    <t xml:space="preserve">DZ</t>
  </si>
  <si>
    <t xml:space="preserve">DZA</t>
  </si>
  <si>
    <t xml:space="preserve">TUN, LBY, NER, ESH, MRT, MLI, MAR</t>
  </si>
  <si>
    <t xml:space="preserve">🇩🇿</t>
  </si>
  <si>
    <t xml:space="preserve">American Samoa</t>
  </si>
  <si>
    <t xml:space="preserve">AS</t>
  </si>
  <si>
    <t xml:space="preserve">ASM</t>
  </si>
  <si>
    <t xml:space="preserve">Polynesia</t>
  </si>
  <si>
    <t xml:space="preserve">🇦🇸</t>
  </si>
  <si>
    <t xml:space="preserve">Andorra</t>
  </si>
  <si>
    <t xml:space="preserve">Principality of Andorra</t>
  </si>
  <si>
    <t xml:space="preserve">AD</t>
  </si>
  <si>
    <t xml:space="preserve">AND</t>
  </si>
  <si>
    <t xml:space="preserve">FRA, ESP</t>
  </si>
  <si>
    <t xml:space="preserve">🇦🇩</t>
  </si>
  <si>
    <t xml:space="preserve">Angola</t>
  </si>
  <si>
    <t xml:space="preserve">Republic of Angola</t>
  </si>
  <si>
    <t xml:space="preserve">AO</t>
  </si>
  <si>
    <t xml:space="preserve">AGO</t>
  </si>
  <si>
    <t xml:space="preserve">Middle Africa</t>
  </si>
  <si>
    <t xml:space="preserve">COG, COD, ZMB, NAM</t>
  </si>
  <si>
    <t xml:space="preserve">🇦🇴</t>
  </si>
  <si>
    <t xml:space="preserve">Anguilla</t>
  </si>
  <si>
    <t xml:space="preserve">AI</t>
  </si>
  <si>
    <t xml:space="preserve">AIA</t>
  </si>
  <si>
    <t xml:space="preserve">🇦🇮</t>
  </si>
  <si>
    <t xml:space="preserve">Antarctica</t>
  </si>
  <si>
    <t xml:space="preserve">AQ</t>
  </si>
  <si>
    <t xml:space="preserve">ATA</t>
  </si>
  <si>
    <t xml:space="preserve">Antarctic</t>
  </si>
  <si>
    <t xml:space="preserve">🇦🇶</t>
  </si>
  <si>
    <t xml:space="preserve">Antigua and Barbuda</t>
  </si>
  <si>
    <t xml:space="preserve">AG</t>
  </si>
  <si>
    <t xml:space="preserve">ATG</t>
  </si>
  <si>
    <t xml:space="preserve">🇦🇬</t>
  </si>
  <si>
    <t xml:space="preserve">Argentine Republic</t>
  </si>
  <si>
    <t xml:space="preserve">ARG</t>
  </si>
  <si>
    <t xml:space="preserve">BOL, BRA, CHL, PRY, URY</t>
  </si>
  <si>
    <t xml:space="preserve">🇦🇷</t>
  </si>
  <si>
    <t xml:space="preserve">Armenia</t>
  </si>
  <si>
    <t xml:space="preserve">Republic of Armenia</t>
  </si>
  <si>
    <t xml:space="preserve">AM</t>
  </si>
  <si>
    <t xml:space="preserve">ARM</t>
  </si>
  <si>
    <t xml:space="preserve">AZE, GEO, IRN, TUR</t>
  </si>
  <si>
    <t xml:space="preserve">🇦🇲</t>
  </si>
  <si>
    <t xml:space="preserve">Aruba</t>
  </si>
  <si>
    <t xml:space="preserve">AW</t>
  </si>
  <si>
    <t xml:space="preserve">ABW</t>
  </si>
  <si>
    <t xml:space="preserve">🇦🇼</t>
  </si>
  <si>
    <t xml:space="preserve">Commonwealth of Australia</t>
  </si>
  <si>
    <t xml:space="preserve">AUS</t>
  </si>
  <si>
    <t xml:space="preserve">🇦🇺</t>
  </si>
  <si>
    <t xml:space="preserve">Republic of Austria</t>
  </si>
  <si>
    <t xml:space="preserve">AUT</t>
  </si>
  <si>
    <t xml:space="preserve">CZE, DEU, HUN, ITA, LIE, SVK, SVN, CHE</t>
  </si>
  <si>
    <t xml:space="preserve">🇦🇹</t>
  </si>
  <si>
    <t xml:space="preserve">Azerbaijan</t>
  </si>
  <si>
    <t xml:space="preserve">Republic of Azerbaijan</t>
  </si>
  <si>
    <t xml:space="preserve">AZ</t>
  </si>
  <si>
    <t xml:space="preserve">AZE</t>
  </si>
  <si>
    <t xml:space="preserve">ARM, GEO, IRN, RUS, TUR</t>
  </si>
  <si>
    <t xml:space="preserve">🇦🇿</t>
  </si>
  <si>
    <t xml:space="preserve">Bahamas</t>
  </si>
  <si>
    <t xml:space="preserve">Commonwealth of the Bahamas</t>
  </si>
  <si>
    <t xml:space="preserve">BS</t>
  </si>
  <si>
    <t xml:space="preserve">BHS</t>
  </si>
  <si>
    <t xml:space="preserve">🇧🇸</t>
  </si>
  <si>
    <t xml:space="preserve">Bahrain</t>
  </si>
  <si>
    <t xml:space="preserve">Kingdom of Bahrain</t>
  </si>
  <si>
    <t xml:space="preserve">BH</t>
  </si>
  <si>
    <t xml:space="preserve">BHR</t>
  </si>
  <si>
    <t xml:space="preserve">🇧🇭</t>
  </si>
  <si>
    <t xml:space="preserve">People's Republic of Bangladesh</t>
  </si>
  <si>
    <t xml:space="preserve">BGD</t>
  </si>
  <si>
    <t xml:space="preserve">MMR, IND</t>
  </si>
  <si>
    <t xml:space="preserve">🇧🇩</t>
  </si>
  <si>
    <t xml:space="preserve">Barbados</t>
  </si>
  <si>
    <t xml:space="preserve">BB</t>
  </si>
  <si>
    <t xml:space="preserve">BRB</t>
  </si>
  <si>
    <t xml:space="preserve">🇧🇧</t>
  </si>
  <si>
    <t xml:space="preserve">Belarus</t>
  </si>
  <si>
    <t xml:space="preserve">Republic of Belarus</t>
  </si>
  <si>
    <t xml:space="preserve">BY</t>
  </si>
  <si>
    <t xml:space="preserve">BLR</t>
  </si>
  <si>
    <t xml:space="preserve">LVA, LTU, POL, RUS, UKR</t>
  </si>
  <si>
    <t xml:space="preserve">🇧🇾</t>
  </si>
  <si>
    <t xml:space="preserve">Kingdom of Belgium</t>
  </si>
  <si>
    <t xml:space="preserve">BEL</t>
  </si>
  <si>
    <t xml:space="preserve">FRA, DEU, LUX, NLD</t>
  </si>
  <si>
    <t xml:space="preserve">🇧🇪</t>
  </si>
  <si>
    <t xml:space="preserve">Belize</t>
  </si>
  <si>
    <t xml:space="preserve">BZ</t>
  </si>
  <si>
    <t xml:space="preserve">BLZ</t>
  </si>
  <si>
    <t xml:space="preserve">GTM, MEX</t>
  </si>
  <si>
    <t xml:space="preserve">🇧🇿</t>
  </si>
  <si>
    <t xml:space="preserve">Benin</t>
  </si>
  <si>
    <t xml:space="preserve">Republic of Benin</t>
  </si>
  <si>
    <t xml:space="preserve">BJ</t>
  </si>
  <si>
    <t xml:space="preserve">BEN</t>
  </si>
  <si>
    <t xml:space="preserve">BFA, NER, NGA, TGO</t>
  </si>
  <si>
    <t xml:space="preserve">🇧🇯</t>
  </si>
  <si>
    <t xml:space="preserve">BMU</t>
  </si>
  <si>
    <t xml:space="preserve">🇧🇲</t>
  </si>
  <si>
    <t xml:space="preserve">Kingdom of Bhutan</t>
  </si>
  <si>
    <t xml:space="preserve">BTN</t>
  </si>
  <si>
    <t xml:space="preserve">CHN, IND</t>
  </si>
  <si>
    <t xml:space="preserve">🇧🇹</t>
  </si>
  <si>
    <t xml:space="preserve">Plurinational State of Bolivia</t>
  </si>
  <si>
    <t xml:space="preserve">BOL</t>
  </si>
  <si>
    <t xml:space="preserve">ARG, BRA, CHL, PRY, PER</t>
  </si>
  <si>
    <t xml:space="preserve">🇧🇴</t>
  </si>
  <si>
    <t xml:space="preserve">BIH</t>
  </si>
  <si>
    <t xml:space="preserve">HRV, MNE, SRB</t>
  </si>
  <si>
    <t xml:space="preserve">🇧🇦</t>
  </si>
  <si>
    <t xml:space="preserve">Botswana</t>
  </si>
  <si>
    <t xml:space="preserve">Republic of Botswana</t>
  </si>
  <si>
    <t xml:space="preserve">BW</t>
  </si>
  <si>
    <t xml:space="preserve">BWA</t>
  </si>
  <si>
    <t xml:space="preserve">NAM, ZAF, ZMB, ZWE</t>
  </si>
  <si>
    <t xml:space="preserve">🇧🇼</t>
  </si>
  <si>
    <t xml:space="preserve">Bouvet Island</t>
  </si>
  <si>
    <t xml:space="preserve">BV</t>
  </si>
  <si>
    <t xml:space="preserve">BVT</t>
  </si>
  <si>
    <t xml:space="preserve">🇧🇻</t>
  </si>
  <si>
    <t xml:space="preserve">Federative Republic of Brazil</t>
  </si>
  <si>
    <t xml:space="preserve">BRA</t>
  </si>
  <si>
    <t xml:space="preserve">ARG, BOL, COL, GUF, GUY, PRY, PER, SUR, URY, VEN</t>
  </si>
  <si>
    <t xml:space="preserve">🇧🇷</t>
  </si>
  <si>
    <t xml:space="preserve">British Indian Ocean Territory</t>
  </si>
  <si>
    <t xml:space="preserve">IO</t>
  </si>
  <si>
    <t xml:space="preserve">IOT</t>
  </si>
  <si>
    <t xml:space="preserve">🇮🇴</t>
  </si>
  <si>
    <t xml:space="preserve">British Virgin Islands</t>
  </si>
  <si>
    <t xml:space="preserve">Virgin Islands</t>
  </si>
  <si>
    <t xml:space="preserve">VG</t>
  </si>
  <si>
    <t xml:space="preserve">VGB</t>
  </si>
  <si>
    <t xml:space="preserve">🇻🇬</t>
  </si>
  <si>
    <t xml:space="preserve">Brunei</t>
  </si>
  <si>
    <t xml:space="preserve">Nation of Brunei, Abode of Peace</t>
  </si>
  <si>
    <t xml:space="preserve">BN</t>
  </si>
  <si>
    <t xml:space="preserve">BRN</t>
  </si>
  <si>
    <t xml:space="preserve">MYS</t>
  </si>
  <si>
    <t xml:space="preserve">🇧🇳</t>
  </si>
  <si>
    <t xml:space="preserve">Republic of Bulgaria</t>
  </si>
  <si>
    <t xml:space="preserve">BGR</t>
  </si>
  <si>
    <t xml:space="preserve">GRC, MKD, ROU, SRB, TUR</t>
  </si>
  <si>
    <t xml:space="preserve">🇧🇬</t>
  </si>
  <si>
    <t xml:space="preserve">Burkina Faso</t>
  </si>
  <si>
    <t xml:space="preserve">BF</t>
  </si>
  <si>
    <t xml:space="preserve">BFA</t>
  </si>
  <si>
    <t xml:space="preserve">BEN, CIV, GHA, MLI, NER, TGO</t>
  </si>
  <si>
    <t xml:space="preserve">🇧🇫</t>
  </si>
  <si>
    <t xml:space="preserve">Burundi</t>
  </si>
  <si>
    <t xml:space="preserve">Republic of Burundi</t>
  </si>
  <si>
    <t xml:space="preserve">BI</t>
  </si>
  <si>
    <t xml:space="preserve">BDI</t>
  </si>
  <si>
    <t xml:space="preserve">COD, RWA, TZA</t>
  </si>
  <si>
    <t xml:space="preserve">🇧🇮</t>
  </si>
  <si>
    <t xml:space="preserve">Kingdom of Cambodia</t>
  </si>
  <si>
    <t xml:space="preserve">KHM</t>
  </si>
  <si>
    <t xml:space="preserve">LAO, THA, VNM</t>
  </si>
  <si>
    <t xml:space="preserve">🇰🇭</t>
  </si>
  <si>
    <t xml:space="preserve">Cameroon</t>
  </si>
  <si>
    <t xml:space="preserve">Republic of Cameroon</t>
  </si>
  <si>
    <t xml:space="preserve">CM</t>
  </si>
  <si>
    <t xml:space="preserve">CMR</t>
  </si>
  <si>
    <t xml:space="preserve">CAF, TCD, COG, GNQ, GAB, NGA</t>
  </si>
  <si>
    <t xml:space="preserve">🇨🇲</t>
  </si>
  <si>
    <t xml:space="preserve">CAN</t>
  </si>
  <si>
    <t xml:space="preserve">USA</t>
  </si>
  <si>
    <t xml:space="preserve">🇨🇦</t>
  </si>
  <si>
    <t xml:space="preserve">Cape Verde</t>
  </si>
  <si>
    <t xml:space="preserve">Republic of Cabo Verde</t>
  </si>
  <si>
    <t xml:space="preserve">CV</t>
  </si>
  <si>
    <t xml:space="preserve">CPV</t>
  </si>
  <si>
    <t xml:space="preserve">🇨🇻</t>
  </si>
  <si>
    <t xml:space="preserve">Caribbean Netherlands</t>
  </si>
  <si>
    <t xml:space="preserve">Bonaire, Sint Eustatius and Saba</t>
  </si>
  <si>
    <t xml:space="preserve">BQ</t>
  </si>
  <si>
    <t xml:space="preserve">BES</t>
  </si>
  <si>
    <t xml:space="preserve">CYM</t>
  </si>
  <si>
    <t xml:space="preserve">🇰🇾</t>
  </si>
  <si>
    <t xml:space="preserve">Central African Republic</t>
  </si>
  <si>
    <t xml:space="preserve">CF</t>
  </si>
  <si>
    <t xml:space="preserve">CAF</t>
  </si>
  <si>
    <t xml:space="preserve">CMR, TCD, COD, COG, SSD, SDN</t>
  </si>
  <si>
    <t xml:space="preserve">🇨🇫</t>
  </si>
  <si>
    <t xml:space="preserve">Chad</t>
  </si>
  <si>
    <t xml:space="preserve">Republic of Chad</t>
  </si>
  <si>
    <t xml:space="preserve">TD</t>
  </si>
  <si>
    <t xml:space="preserve">TCD</t>
  </si>
  <si>
    <t xml:space="preserve">CMR, CAF, LBY, NER, NGA, SDN</t>
  </si>
  <si>
    <t xml:space="preserve">🇹🇩</t>
  </si>
  <si>
    <t xml:space="preserve">Republic of Chile</t>
  </si>
  <si>
    <t xml:space="preserve">CHL</t>
  </si>
  <si>
    <t xml:space="preserve">ARG, BOL, PER</t>
  </si>
  <si>
    <t xml:space="preserve">🇨🇱</t>
  </si>
  <si>
    <t xml:space="preserve">People's Republic of China</t>
  </si>
  <si>
    <t xml:space="preserve">CHN</t>
  </si>
  <si>
    <t xml:space="preserve">AFG, BTN, MMR, HKG, IND, KAZ, NPL, PRK, KGZ, LAO, MAC, MNG, PAK, RUS, TJK, VNM</t>
  </si>
  <si>
    <t xml:space="preserve">🇨🇳</t>
  </si>
  <si>
    <t xml:space="preserve">Christmas Island</t>
  </si>
  <si>
    <t xml:space="preserve">Territory of Christmas Island</t>
  </si>
  <si>
    <t xml:space="preserve">CX</t>
  </si>
  <si>
    <t xml:space="preserve">CXR</t>
  </si>
  <si>
    <t xml:space="preserve">🇨🇽</t>
  </si>
  <si>
    <t xml:space="preserve">Cocos (Keeling) Islands</t>
  </si>
  <si>
    <t xml:space="preserve">Territory of the Cocos (Keeling) Islands</t>
  </si>
  <si>
    <t xml:space="preserve">CC</t>
  </si>
  <si>
    <t xml:space="preserve">CCK</t>
  </si>
  <si>
    <t xml:space="preserve">🇨🇨</t>
  </si>
  <si>
    <t xml:space="preserve">Republic of Colombia</t>
  </si>
  <si>
    <t xml:space="preserve">COL</t>
  </si>
  <si>
    <t xml:space="preserve">BRA, ECU, PAN, PER, VEN</t>
  </si>
  <si>
    <t xml:space="preserve">🇨🇴</t>
  </si>
  <si>
    <t xml:space="preserve">Comoros</t>
  </si>
  <si>
    <t xml:space="preserve">Union of the Comoros</t>
  </si>
  <si>
    <t xml:space="preserve">KM</t>
  </si>
  <si>
    <t xml:space="preserve">COM</t>
  </si>
  <si>
    <t xml:space="preserve">🇰🇲</t>
  </si>
  <si>
    <t xml:space="preserve">Congo</t>
  </si>
  <si>
    <t xml:space="preserve">Republic of the Congo</t>
  </si>
  <si>
    <t xml:space="preserve">CG</t>
  </si>
  <si>
    <t xml:space="preserve">COG</t>
  </si>
  <si>
    <t xml:space="preserve">AGO, CMR, CAF, COD, GAB</t>
  </si>
  <si>
    <t xml:space="preserve">🇨🇬</t>
  </si>
  <si>
    <t xml:space="preserve">Cook Islands</t>
  </si>
  <si>
    <t xml:space="preserve">CK</t>
  </si>
  <si>
    <t xml:space="preserve">COK</t>
  </si>
  <si>
    <t xml:space="preserve">🇨🇰</t>
  </si>
  <si>
    <t xml:space="preserve">Republic of Costa Rica</t>
  </si>
  <si>
    <t xml:space="preserve">CRI</t>
  </si>
  <si>
    <t xml:space="preserve">NIC, PAN</t>
  </si>
  <si>
    <t xml:space="preserve">🇨🇷</t>
  </si>
  <si>
    <t xml:space="preserve">Croatia</t>
  </si>
  <si>
    <t xml:space="preserve">Republic of Croatia</t>
  </si>
  <si>
    <t xml:space="preserve">HR</t>
  </si>
  <si>
    <t xml:space="preserve">HRV</t>
  </si>
  <si>
    <t xml:space="preserve">BIH, HUN, MNE, SRB, SVN</t>
  </si>
  <si>
    <t xml:space="preserve">🇭🇷</t>
  </si>
  <si>
    <t xml:space="preserve">Republic of Cuba</t>
  </si>
  <si>
    <t xml:space="preserve">CUB</t>
  </si>
  <si>
    <t xml:space="preserve">🇨🇺</t>
  </si>
  <si>
    <t xml:space="preserve">Curaçao</t>
  </si>
  <si>
    <t xml:space="preserve">Country of Curaçao</t>
  </si>
  <si>
    <t xml:space="preserve">CW</t>
  </si>
  <si>
    <t xml:space="preserve">CUW</t>
  </si>
  <si>
    <t xml:space="preserve">🇨🇼</t>
  </si>
  <si>
    <t xml:space="preserve">Cyprus</t>
  </si>
  <si>
    <t xml:space="preserve">Republic of Cyprus</t>
  </si>
  <si>
    <t xml:space="preserve">CY</t>
  </si>
  <si>
    <t xml:space="preserve">CYP</t>
  </si>
  <si>
    <t xml:space="preserve">🇨🇾</t>
  </si>
  <si>
    <t xml:space="preserve">Czech Republic</t>
  </si>
  <si>
    <t xml:space="preserve">CZE</t>
  </si>
  <si>
    <t xml:space="preserve">AUT, DEU, POL, SVK</t>
  </si>
  <si>
    <t xml:space="preserve">🇨🇿</t>
  </si>
  <si>
    <t xml:space="preserve">DR Congo</t>
  </si>
  <si>
    <t xml:space="preserve">Democratic Republic of the Congo</t>
  </si>
  <si>
    <t xml:space="preserve">CD</t>
  </si>
  <si>
    <t xml:space="preserve">COD</t>
  </si>
  <si>
    <t xml:space="preserve">AGO, BDI, CAF, COG, RWA, SSD, TZA, UGA, ZMB</t>
  </si>
  <si>
    <t xml:space="preserve">🇨🇩</t>
  </si>
  <si>
    <t xml:space="preserve">Kingdom of Denmark</t>
  </si>
  <si>
    <t xml:space="preserve">DNK</t>
  </si>
  <si>
    <t xml:space="preserve">DEU</t>
  </si>
  <si>
    <t xml:space="preserve">🇩🇰</t>
  </si>
  <si>
    <t xml:space="preserve">Djibouti</t>
  </si>
  <si>
    <t xml:space="preserve">Republic of Djibouti</t>
  </si>
  <si>
    <t xml:space="preserve">DJ</t>
  </si>
  <si>
    <t xml:space="preserve">DJI</t>
  </si>
  <si>
    <t xml:space="preserve">ERI, ETH, SOM</t>
  </si>
  <si>
    <t xml:space="preserve">🇩🇯</t>
  </si>
  <si>
    <t xml:space="preserve">Dominica</t>
  </si>
  <si>
    <t xml:space="preserve">Commonwealth of Dominica</t>
  </si>
  <si>
    <t xml:space="preserve">DM</t>
  </si>
  <si>
    <t xml:space="preserve">DMA</t>
  </si>
  <si>
    <t xml:space="preserve">🇩🇲</t>
  </si>
  <si>
    <t xml:space="preserve">Dominican Republic</t>
  </si>
  <si>
    <t xml:space="preserve">DO</t>
  </si>
  <si>
    <t xml:space="preserve">DOM</t>
  </si>
  <si>
    <t xml:space="preserve">HTI</t>
  </si>
  <si>
    <t xml:space="preserve">🇩🇴</t>
  </si>
  <si>
    <t xml:space="preserve">Ecuador</t>
  </si>
  <si>
    <t xml:space="preserve">Republic of Ecuador</t>
  </si>
  <si>
    <t xml:space="preserve">EC</t>
  </si>
  <si>
    <t xml:space="preserve">ECU</t>
  </si>
  <si>
    <t xml:space="preserve">COL, PER</t>
  </si>
  <si>
    <t xml:space="preserve">🇪🇨</t>
  </si>
  <si>
    <t xml:space="preserve">Arab Republic of Egypt</t>
  </si>
  <si>
    <t xml:space="preserve">EGY</t>
  </si>
  <si>
    <t xml:space="preserve">ISR, LBY, PSE, SDN</t>
  </si>
  <si>
    <t xml:space="preserve">🇪🇬</t>
  </si>
  <si>
    <t xml:space="preserve">Republic of El Salvador</t>
  </si>
  <si>
    <t xml:space="preserve">SLV</t>
  </si>
  <si>
    <t xml:space="preserve">GTM, HND</t>
  </si>
  <si>
    <t xml:space="preserve">🇸🇻</t>
  </si>
  <si>
    <t xml:space="preserve">Equatorial Guinea</t>
  </si>
  <si>
    <t xml:space="preserve">Republic of Equatorial Guinea</t>
  </si>
  <si>
    <t xml:space="preserve">GQ</t>
  </si>
  <si>
    <t xml:space="preserve">GNQ</t>
  </si>
  <si>
    <t xml:space="preserve">CMR, GAB</t>
  </si>
  <si>
    <t xml:space="preserve">🇬🇶</t>
  </si>
  <si>
    <t xml:space="preserve">Eritrea</t>
  </si>
  <si>
    <t xml:space="preserve">State of Eritrea</t>
  </si>
  <si>
    <t xml:space="preserve">ER</t>
  </si>
  <si>
    <t xml:space="preserve">ERI</t>
  </si>
  <si>
    <t xml:space="preserve">DJI, ETH, SDN</t>
  </si>
  <si>
    <t xml:space="preserve">🇪🇷</t>
  </si>
  <si>
    <t xml:space="preserve">Estonia</t>
  </si>
  <si>
    <t xml:space="preserve">Republic of Estonia</t>
  </si>
  <si>
    <t xml:space="preserve">EE</t>
  </si>
  <si>
    <t xml:space="preserve">EST</t>
  </si>
  <si>
    <t xml:space="preserve">LVA, RUS</t>
  </si>
  <si>
    <t xml:space="preserve">🇪🇪</t>
  </si>
  <si>
    <t xml:space="preserve">Eswatini</t>
  </si>
  <si>
    <t xml:space="preserve">Kingdom of Eswatini</t>
  </si>
  <si>
    <t xml:space="preserve">SZ</t>
  </si>
  <si>
    <t xml:space="preserve">SWZ</t>
  </si>
  <si>
    <t xml:space="preserve">MOZ, ZAF</t>
  </si>
  <si>
    <t xml:space="preserve">🇸🇿</t>
  </si>
  <si>
    <t xml:space="preserve">Federal Democratic Republic of Ethiopia</t>
  </si>
  <si>
    <t xml:space="preserve">ETH</t>
  </si>
  <si>
    <t xml:space="preserve">DJI, ERI, KEN, SOM, SSD, SDN</t>
  </si>
  <si>
    <t xml:space="preserve">🇪🇹</t>
  </si>
  <si>
    <t xml:space="preserve">Falkland Islands</t>
  </si>
  <si>
    <t xml:space="preserve">FK</t>
  </si>
  <si>
    <t xml:space="preserve">FLK</t>
  </si>
  <si>
    <t xml:space="preserve">🇫🇰</t>
  </si>
  <si>
    <t xml:space="preserve">Faroe Islands</t>
  </si>
  <si>
    <t xml:space="preserve">FO</t>
  </si>
  <si>
    <t xml:space="preserve">FRO</t>
  </si>
  <si>
    <t xml:space="preserve">🇫🇴</t>
  </si>
  <si>
    <t xml:space="preserve">Republic of Fiji</t>
  </si>
  <si>
    <t xml:space="preserve">FJI</t>
  </si>
  <si>
    <t xml:space="preserve">🇫🇯</t>
  </si>
  <si>
    <t xml:space="preserve">Republic of Finland</t>
  </si>
  <si>
    <t xml:space="preserve">FIN</t>
  </si>
  <si>
    <t xml:space="preserve">NOR, SWE, RUS</t>
  </si>
  <si>
    <t xml:space="preserve">🇫🇮</t>
  </si>
  <si>
    <t xml:space="preserve">French Republic</t>
  </si>
  <si>
    <t xml:space="preserve">FRA</t>
  </si>
  <si>
    <t xml:space="preserve">AND, BEL, DEU, ITA, LUX, MCO, ESP, CHE</t>
  </si>
  <si>
    <t xml:space="preserve">🇫🇷</t>
  </si>
  <si>
    <t xml:space="preserve">French Guiana</t>
  </si>
  <si>
    <t xml:space="preserve">Guiana</t>
  </si>
  <si>
    <t xml:space="preserve">GF</t>
  </si>
  <si>
    <t xml:space="preserve">GUF</t>
  </si>
  <si>
    <t xml:space="preserve">BRA, SUR</t>
  </si>
  <si>
    <t xml:space="preserve">🇬🇫</t>
  </si>
  <si>
    <t xml:space="preserve">French Polynesia</t>
  </si>
  <si>
    <t xml:space="preserve">PF</t>
  </si>
  <si>
    <t xml:space="preserve">PYF</t>
  </si>
  <si>
    <t xml:space="preserve">🇵🇫</t>
  </si>
  <si>
    <t xml:space="preserve">French Southern and Antarctic Lands</t>
  </si>
  <si>
    <t xml:space="preserve">Territory of the French Southern and Antarctic Lands</t>
  </si>
  <si>
    <t xml:space="preserve">TF</t>
  </si>
  <si>
    <t xml:space="preserve">ATF</t>
  </si>
  <si>
    <t xml:space="preserve">🇹🇫</t>
  </si>
  <si>
    <t xml:space="preserve">Gabon</t>
  </si>
  <si>
    <t xml:space="preserve">Gabonese Republic</t>
  </si>
  <si>
    <t xml:space="preserve">GA</t>
  </si>
  <si>
    <t xml:space="preserve">GAB</t>
  </si>
  <si>
    <t xml:space="preserve">CMR, COG, GNQ</t>
  </si>
  <si>
    <t xml:space="preserve">🇬🇦</t>
  </si>
  <si>
    <t xml:space="preserve">Gambia</t>
  </si>
  <si>
    <t xml:space="preserve">Republic of the Gambia</t>
  </si>
  <si>
    <t xml:space="preserve">GM</t>
  </si>
  <si>
    <t xml:space="preserve">GMB</t>
  </si>
  <si>
    <t xml:space="preserve">SEN</t>
  </si>
  <si>
    <t xml:space="preserve">🇬🇲</t>
  </si>
  <si>
    <t xml:space="preserve">GEO</t>
  </si>
  <si>
    <t xml:space="preserve">ARM, AZE, RUS, TUR</t>
  </si>
  <si>
    <t xml:space="preserve">🇬🇪</t>
  </si>
  <si>
    <t xml:space="preserve">Federal Republic of Germany</t>
  </si>
  <si>
    <t xml:space="preserve">AUT, BEL, CZE, DNK, FRA, LUX, NLD, POL, CHE</t>
  </si>
  <si>
    <t xml:space="preserve">🇩🇪</t>
  </si>
  <si>
    <t xml:space="preserve">Republic of Ghana</t>
  </si>
  <si>
    <t xml:space="preserve">GHA</t>
  </si>
  <si>
    <t xml:space="preserve">BFA, CIV, TGO</t>
  </si>
  <si>
    <t xml:space="preserve">🇬🇭</t>
  </si>
  <si>
    <t xml:space="preserve">Gibraltar</t>
  </si>
  <si>
    <t xml:space="preserve">GI</t>
  </si>
  <si>
    <t xml:space="preserve">GIB</t>
  </si>
  <si>
    <t xml:space="preserve">ESP</t>
  </si>
  <si>
    <t xml:space="preserve">🇬🇮</t>
  </si>
  <si>
    <t xml:space="preserve">Hellenic Republic</t>
  </si>
  <si>
    <t xml:space="preserve">GRC</t>
  </si>
  <si>
    <t xml:space="preserve">ALB, BGR, TUR, MKD</t>
  </si>
  <si>
    <t xml:space="preserve">🇬🇷</t>
  </si>
  <si>
    <t xml:space="preserve">Greenland</t>
  </si>
  <si>
    <t xml:space="preserve">GL</t>
  </si>
  <si>
    <t xml:space="preserve">GRL</t>
  </si>
  <si>
    <t xml:space="preserve">🇬🇱</t>
  </si>
  <si>
    <t xml:space="preserve">Grenada</t>
  </si>
  <si>
    <t xml:space="preserve">GD</t>
  </si>
  <si>
    <t xml:space="preserve">GRD</t>
  </si>
  <si>
    <t xml:space="preserve">🇬🇩</t>
  </si>
  <si>
    <t xml:space="preserve">Guadeloupe</t>
  </si>
  <si>
    <t xml:space="preserve">GP</t>
  </si>
  <si>
    <t xml:space="preserve">GLP</t>
  </si>
  <si>
    <t xml:space="preserve">🇬🇵</t>
  </si>
  <si>
    <t xml:space="preserve">Guam</t>
  </si>
  <si>
    <t xml:space="preserve">GU</t>
  </si>
  <si>
    <t xml:space="preserve">GUM</t>
  </si>
  <si>
    <t xml:space="preserve">Micronesia</t>
  </si>
  <si>
    <t xml:space="preserve">🇬🇺</t>
  </si>
  <si>
    <t xml:space="preserve">Guatemala</t>
  </si>
  <si>
    <t xml:space="preserve">Republic of Guatemala</t>
  </si>
  <si>
    <t xml:space="preserve">GT</t>
  </si>
  <si>
    <t xml:space="preserve">GTM</t>
  </si>
  <si>
    <t xml:space="preserve">BLZ, SLV, HND, MEX</t>
  </si>
  <si>
    <t xml:space="preserve">🇬🇹</t>
  </si>
  <si>
    <t xml:space="preserve">Guernsey</t>
  </si>
  <si>
    <t xml:space="preserve">Bailiwick of Guernsey</t>
  </si>
  <si>
    <t xml:space="preserve">GG</t>
  </si>
  <si>
    <t xml:space="preserve">GGY</t>
  </si>
  <si>
    <t xml:space="preserve">🇬🇬</t>
  </si>
  <si>
    <t xml:space="preserve">Guinea</t>
  </si>
  <si>
    <t xml:space="preserve">Republic of Guinea</t>
  </si>
  <si>
    <t xml:space="preserve">GN</t>
  </si>
  <si>
    <t xml:space="preserve">GIN</t>
  </si>
  <si>
    <t xml:space="preserve">CIV, GNB, LBR, MLI, SEN, SLE</t>
  </si>
  <si>
    <t xml:space="preserve">🇬🇳</t>
  </si>
  <si>
    <t xml:space="preserve">Guinea-Bissau</t>
  </si>
  <si>
    <t xml:space="preserve">Republic of Guinea-Bissau</t>
  </si>
  <si>
    <t xml:space="preserve">GW</t>
  </si>
  <si>
    <t xml:space="preserve">GNB</t>
  </si>
  <si>
    <t xml:space="preserve">GIN, SEN</t>
  </si>
  <si>
    <t xml:space="preserve">🇬🇼</t>
  </si>
  <si>
    <t xml:space="preserve">Guyana</t>
  </si>
  <si>
    <t xml:space="preserve">Co-operative Republic of Guyana</t>
  </si>
  <si>
    <t xml:space="preserve">GY</t>
  </si>
  <si>
    <t xml:space="preserve">GUY</t>
  </si>
  <si>
    <t xml:space="preserve">BRA, SUR, VEN</t>
  </si>
  <si>
    <t xml:space="preserve">🇬🇾</t>
  </si>
  <si>
    <t xml:space="preserve">Haiti</t>
  </si>
  <si>
    <t xml:space="preserve">Republic of Haiti</t>
  </si>
  <si>
    <t xml:space="preserve">HT</t>
  </si>
  <si>
    <t xml:space="preserve">🇭🇹</t>
  </si>
  <si>
    <t xml:space="preserve">Heard Island and McDonald Islands</t>
  </si>
  <si>
    <t xml:space="preserve">HM</t>
  </si>
  <si>
    <t xml:space="preserve">HMD</t>
  </si>
  <si>
    <t xml:space="preserve">🇭🇲</t>
  </si>
  <si>
    <t xml:space="preserve">Honduras</t>
  </si>
  <si>
    <t xml:space="preserve">Republic of Honduras</t>
  </si>
  <si>
    <t xml:space="preserve">HN</t>
  </si>
  <si>
    <t xml:space="preserve">HND</t>
  </si>
  <si>
    <t xml:space="preserve">GTM, SLV, NIC</t>
  </si>
  <si>
    <t xml:space="preserve">🇭🇳</t>
  </si>
  <si>
    <t xml:space="preserve">Hong Kong Special Administrative Region of the People's Republic of China</t>
  </si>
  <si>
    <t xml:space="preserve">HK</t>
  </si>
  <si>
    <t xml:space="preserve">HKG</t>
  </si>
  <si>
    <t xml:space="preserve">🇭🇰</t>
  </si>
  <si>
    <t xml:space="preserve">HUN</t>
  </si>
  <si>
    <t xml:space="preserve">AUT, HRV, ROU, SRB, SVK, SVN, UKR</t>
  </si>
  <si>
    <t xml:space="preserve">🇭🇺</t>
  </si>
  <si>
    <t xml:space="preserve">Iceland</t>
  </si>
  <si>
    <t xml:space="preserve">IS</t>
  </si>
  <si>
    <t xml:space="preserve">ISL</t>
  </si>
  <si>
    <t xml:space="preserve">🇮🇸</t>
  </si>
  <si>
    <t xml:space="preserve">Republic of India</t>
  </si>
  <si>
    <t xml:space="preserve">IND</t>
  </si>
  <si>
    <t xml:space="preserve">BGD, BTN, MMR, CHN, NPL, PAK</t>
  </si>
  <si>
    <t xml:space="preserve">🇮🇳</t>
  </si>
  <si>
    <t xml:space="preserve">Republic of Indonesia</t>
  </si>
  <si>
    <t xml:space="preserve">IDN</t>
  </si>
  <si>
    <t xml:space="preserve">TLS, MYS, PNG</t>
  </si>
  <si>
    <t xml:space="preserve">🇮🇩</t>
  </si>
  <si>
    <t xml:space="preserve">Islamic Republic of Iran</t>
  </si>
  <si>
    <t xml:space="preserve">IRN</t>
  </si>
  <si>
    <t xml:space="preserve">AFG, ARM, AZE, IRQ, PAK, TUR, TKM</t>
  </si>
  <si>
    <t xml:space="preserve">🇮🇷</t>
  </si>
  <si>
    <t xml:space="preserve">Republic of Iraq</t>
  </si>
  <si>
    <t xml:space="preserve">IRQ</t>
  </si>
  <si>
    <t xml:space="preserve">IRN, JOR, KWT, SAU, SYR, TUR</t>
  </si>
  <si>
    <t xml:space="preserve">🇮🇶</t>
  </si>
  <si>
    <t xml:space="preserve">Republic of Ireland</t>
  </si>
  <si>
    <t xml:space="preserve">IRL</t>
  </si>
  <si>
    <t xml:space="preserve">GBR</t>
  </si>
  <si>
    <t xml:space="preserve">🇮🇪</t>
  </si>
  <si>
    <t xml:space="preserve">Isle of Man</t>
  </si>
  <si>
    <t xml:space="preserve">IM</t>
  </si>
  <si>
    <t xml:space="preserve">IMN</t>
  </si>
  <si>
    <t xml:space="preserve">🇮🇲</t>
  </si>
  <si>
    <t xml:space="preserve">State of Israel</t>
  </si>
  <si>
    <t xml:space="preserve">ISR</t>
  </si>
  <si>
    <t xml:space="preserve">EGY, JOR, LBN, PSE, SYR</t>
  </si>
  <si>
    <t xml:space="preserve">🇮🇱</t>
  </si>
  <si>
    <t xml:space="preserve">Italian Republic</t>
  </si>
  <si>
    <t xml:space="preserve">ITA</t>
  </si>
  <si>
    <t xml:space="preserve">AUT, FRA, SMR, SVN, CHE, VAT</t>
  </si>
  <si>
    <t xml:space="preserve">🇮🇹</t>
  </si>
  <si>
    <t xml:space="preserve">Ivory Coast</t>
  </si>
  <si>
    <t xml:space="preserve">Republic of Côte d'Ivoire</t>
  </si>
  <si>
    <t xml:space="preserve">CI</t>
  </si>
  <si>
    <t xml:space="preserve">CIV</t>
  </si>
  <si>
    <t xml:space="preserve">BFA, GHA, GIN, LBR, MLI</t>
  </si>
  <si>
    <t xml:space="preserve">🇨🇮</t>
  </si>
  <si>
    <t xml:space="preserve">JAM</t>
  </si>
  <si>
    <t xml:space="preserve">🇯🇲</t>
  </si>
  <si>
    <t xml:space="preserve">JPN</t>
  </si>
  <si>
    <t xml:space="preserve">🇯🇵</t>
  </si>
  <si>
    <t xml:space="preserve">Jersey</t>
  </si>
  <si>
    <t xml:space="preserve">Bailiwick of Jersey</t>
  </si>
  <si>
    <t xml:space="preserve">JE</t>
  </si>
  <si>
    <t xml:space="preserve">JEY</t>
  </si>
  <si>
    <t xml:space="preserve">🇯🇪</t>
  </si>
  <si>
    <t xml:space="preserve">Hashemite Kingdom of Jordan</t>
  </si>
  <si>
    <t xml:space="preserve">JOR</t>
  </si>
  <si>
    <t xml:space="preserve">IRQ, ISR, PSE, SAU, SYR</t>
  </si>
  <si>
    <t xml:space="preserve">🇯🇴</t>
  </si>
  <si>
    <t xml:space="preserve">Republic of Kazakhstan</t>
  </si>
  <si>
    <t xml:space="preserve">KAZ</t>
  </si>
  <si>
    <t xml:space="preserve">CHN, KGZ, RUS, TKM, UZB</t>
  </si>
  <si>
    <t xml:space="preserve">🇰🇿</t>
  </si>
  <si>
    <t xml:space="preserve">Republic of Kenya</t>
  </si>
  <si>
    <t xml:space="preserve">KEN</t>
  </si>
  <si>
    <t xml:space="preserve">ETH, SOM, SSD, TZA, UGA</t>
  </si>
  <si>
    <t xml:space="preserve">🇰🇪</t>
  </si>
  <si>
    <t xml:space="preserve">Kiribati</t>
  </si>
  <si>
    <t xml:space="preserve">Independent and Sovereign Republic of Kiribati</t>
  </si>
  <si>
    <t xml:space="preserve">KI</t>
  </si>
  <si>
    <t xml:space="preserve">KIR</t>
  </si>
  <si>
    <t xml:space="preserve">🇰🇮</t>
  </si>
  <si>
    <t xml:space="preserve">Kosovo</t>
  </si>
  <si>
    <t xml:space="preserve">Republic of Kosovo</t>
  </si>
  <si>
    <t xml:space="preserve">XK</t>
  </si>
  <si>
    <t xml:space="preserve">UNK</t>
  </si>
  <si>
    <t xml:space="preserve">ALB, MKD, MNE, SRB</t>
  </si>
  <si>
    <t xml:space="preserve">🇽🇰</t>
  </si>
  <si>
    <t xml:space="preserve">Kuwait</t>
  </si>
  <si>
    <t xml:space="preserve">State of Kuwait</t>
  </si>
  <si>
    <t xml:space="preserve">KW</t>
  </si>
  <si>
    <t xml:space="preserve">KWT</t>
  </si>
  <si>
    <t xml:space="preserve">IRQ, SAU</t>
  </si>
  <si>
    <t xml:space="preserve">🇰🇼</t>
  </si>
  <si>
    <t xml:space="preserve">Kyrgyzstan</t>
  </si>
  <si>
    <t xml:space="preserve">Kyrgyz Republic</t>
  </si>
  <si>
    <t xml:space="preserve">KG</t>
  </si>
  <si>
    <t xml:space="preserve">KGZ</t>
  </si>
  <si>
    <t xml:space="preserve">CHN, KAZ, TJK, UZB</t>
  </si>
  <si>
    <t xml:space="preserve">🇰🇬</t>
  </si>
  <si>
    <t xml:space="preserve">Lao People's Democratic Republic</t>
  </si>
  <si>
    <t xml:space="preserve">LAO</t>
  </si>
  <si>
    <t xml:space="preserve">MMR, KHM, CHN, THA, VNM</t>
  </si>
  <si>
    <t xml:space="preserve">🇱🇦</t>
  </si>
  <si>
    <t xml:space="preserve">Latvia</t>
  </si>
  <si>
    <t xml:space="preserve">Republic of Latvia</t>
  </si>
  <si>
    <t xml:space="preserve">LV</t>
  </si>
  <si>
    <t xml:space="preserve">LVA</t>
  </si>
  <si>
    <t xml:space="preserve">BLR, EST, LTU, RUS</t>
  </si>
  <si>
    <t xml:space="preserve">🇱🇻</t>
  </si>
  <si>
    <t xml:space="preserve">Lebanese Republic</t>
  </si>
  <si>
    <t xml:space="preserve">LBN</t>
  </si>
  <si>
    <t xml:space="preserve">ISR, SYR</t>
  </si>
  <si>
    <t xml:space="preserve">🇱🇧</t>
  </si>
  <si>
    <t xml:space="preserve">Lesotho</t>
  </si>
  <si>
    <t xml:space="preserve">Kingdom of Lesotho</t>
  </si>
  <si>
    <t xml:space="preserve">LS</t>
  </si>
  <si>
    <t xml:space="preserve">LSO</t>
  </si>
  <si>
    <t xml:space="preserve">ZAF</t>
  </si>
  <si>
    <t xml:space="preserve">🇱🇸</t>
  </si>
  <si>
    <t xml:space="preserve">Liberia</t>
  </si>
  <si>
    <t xml:space="preserve">Republic of Liberia</t>
  </si>
  <si>
    <t xml:space="preserve">LR</t>
  </si>
  <si>
    <t xml:space="preserve">LBR</t>
  </si>
  <si>
    <t xml:space="preserve">GIN, CIV, SLE</t>
  </si>
  <si>
    <t xml:space="preserve">🇱🇷</t>
  </si>
  <si>
    <t xml:space="preserve">Libya</t>
  </si>
  <si>
    <t xml:space="preserve">State of Libya</t>
  </si>
  <si>
    <t xml:space="preserve">LY</t>
  </si>
  <si>
    <t xml:space="preserve">LBY</t>
  </si>
  <si>
    <t xml:space="preserve">DZA, TCD, EGY, NER, SDN, TUN</t>
  </si>
  <si>
    <t xml:space="preserve">🇱🇾</t>
  </si>
  <si>
    <t xml:space="preserve">Liechtenstein</t>
  </si>
  <si>
    <t xml:space="preserve">Principality of Liechtenstein</t>
  </si>
  <si>
    <t xml:space="preserve">LI</t>
  </si>
  <si>
    <t xml:space="preserve">LIE</t>
  </si>
  <si>
    <t xml:space="preserve">AUT, CHE</t>
  </si>
  <si>
    <t xml:space="preserve">🇱🇮</t>
  </si>
  <si>
    <t xml:space="preserve">Lithuania</t>
  </si>
  <si>
    <t xml:space="preserve">Republic of Lithuania</t>
  </si>
  <si>
    <t xml:space="preserve">LT</t>
  </si>
  <si>
    <t xml:space="preserve">LTU</t>
  </si>
  <si>
    <t xml:space="preserve">BLR, LVA, POL, RUS</t>
  </si>
  <si>
    <t xml:space="preserve">🇱🇹</t>
  </si>
  <si>
    <t xml:space="preserve">Luxembourg</t>
  </si>
  <si>
    <t xml:space="preserve">Grand Duchy of Luxembourg</t>
  </si>
  <si>
    <t xml:space="preserve">LU</t>
  </si>
  <si>
    <t xml:space="preserve">LUX</t>
  </si>
  <si>
    <t xml:space="preserve">BEL, FRA, DEU</t>
  </si>
  <si>
    <t xml:space="preserve">🇱🇺</t>
  </si>
  <si>
    <t xml:space="preserve">Macau</t>
  </si>
  <si>
    <t xml:space="preserve">Macao Special Administrative Region of the People's Republic of China</t>
  </si>
  <si>
    <t xml:space="preserve">MO</t>
  </si>
  <si>
    <t xml:space="preserve">MAC</t>
  </si>
  <si>
    <t xml:space="preserve">🇲🇴</t>
  </si>
  <si>
    <t xml:space="preserve">Republic of Madagascar</t>
  </si>
  <si>
    <t xml:space="preserve">MDG</t>
  </si>
  <si>
    <t xml:space="preserve">🇲🇬</t>
  </si>
  <si>
    <t xml:space="preserve">Malawi</t>
  </si>
  <si>
    <t xml:space="preserve">Republic of Malawi</t>
  </si>
  <si>
    <t xml:space="preserve">MW</t>
  </si>
  <si>
    <t xml:space="preserve">MWI</t>
  </si>
  <si>
    <t xml:space="preserve">MOZ, TZA, ZMB</t>
  </si>
  <si>
    <t xml:space="preserve">🇲🇼</t>
  </si>
  <si>
    <t xml:space="preserve">BRN, IDN, THA</t>
  </si>
  <si>
    <t xml:space="preserve">🇲🇾</t>
  </si>
  <si>
    <t xml:space="preserve">Maldives</t>
  </si>
  <si>
    <t xml:space="preserve">Republic of the Maldives</t>
  </si>
  <si>
    <t xml:space="preserve">MV</t>
  </si>
  <si>
    <t xml:space="preserve">MDV</t>
  </si>
  <si>
    <t xml:space="preserve">🇲🇻</t>
  </si>
  <si>
    <t xml:space="preserve">Mali</t>
  </si>
  <si>
    <t xml:space="preserve">Republic of Mali</t>
  </si>
  <si>
    <t xml:space="preserve">ML</t>
  </si>
  <si>
    <t xml:space="preserve">MLI</t>
  </si>
  <si>
    <t xml:space="preserve">DZA, BFA, GIN, CIV, MRT, NER, SEN</t>
  </si>
  <si>
    <t xml:space="preserve">🇲🇱</t>
  </si>
  <si>
    <t xml:space="preserve">Malta</t>
  </si>
  <si>
    <t xml:space="preserve">Republic of Malta</t>
  </si>
  <si>
    <t xml:space="preserve">MT</t>
  </si>
  <si>
    <t xml:space="preserve">MLT</t>
  </si>
  <si>
    <t xml:space="preserve">🇲🇹</t>
  </si>
  <si>
    <t xml:space="preserve">Marshall Islands</t>
  </si>
  <si>
    <t xml:space="preserve">Republic of the Marshall Islands</t>
  </si>
  <si>
    <t xml:space="preserve">MH</t>
  </si>
  <si>
    <t xml:space="preserve">MHL</t>
  </si>
  <si>
    <t xml:space="preserve">🇲🇭</t>
  </si>
  <si>
    <t xml:space="preserve">Martinique</t>
  </si>
  <si>
    <t xml:space="preserve">MQ</t>
  </si>
  <si>
    <t xml:space="preserve">MTQ</t>
  </si>
  <si>
    <t xml:space="preserve">🇲🇶</t>
  </si>
  <si>
    <t xml:space="preserve">Mauritania</t>
  </si>
  <si>
    <t xml:space="preserve">Islamic Republic of Mauritania</t>
  </si>
  <si>
    <t xml:space="preserve">MR</t>
  </si>
  <si>
    <t xml:space="preserve">MRT</t>
  </si>
  <si>
    <t xml:space="preserve">DZA, MLI, SEN, ESH</t>
  </si>
  <si>
    <t xml:space="preserve">🇲🇷</t>
  </si>
  <si>
    <t xml:space="preserve">Mauritius</t>
  </si>
  <si>
    <t xml:space="preserve">Republic of Mauritius</t>
  </si>
  <si>
    <t xml:space="preserve">MU</t>
  </si>
  <si>
    <t xml:space="preserve">MUS</t>
  </si>
  <si>
    <t xml:space="preserve">🇲🇺</t>
  </si>
  <si>
    <t xml:space="preserve">Mayotte</t>
  </si>
  <si>
    <t xml:space="preserve">Department of Mayotte</t>
  </si>
  <si>
    <t xml:space="preserve">YT</t>
  </si>
  <si>
    <t xml:space="preserve">MYT</t>
  </si>
  <si>
    <t xml:space="preserve">🇾🇹</t>
  </si>
  <si>
    <t xml:space="preserve">United Mexican States</t>
  </si>
  <si>
    <t xml:space="preserve">MEX</t>
  </si>
  <si>
    <t xml:space="preserve">BLZ, GTM, USA</t>
  </si>
  <si>
    <t xml:space="preserve">🇲🇽</t>
  </si>
  <si>
    <t xml:space="preserve">Federated States of Micronesia</t>
  </si>
  <si>
    <t xml:space="preserve">FM</t>
  </si>
  <si>
    <t xml:space="preserve">FSM</t>
  </si>
  <si>
    <t xml:space="preserve">🇫🇲</t>
  </si>
  <si>
    <t xml:space="preserve">Moldova</t>
  </si>
  <si>
    <t xml:space="preserve">Republic of Moldova</t>
  </si>
  <si>
    <t xml:space="preserve">MD</t>
  </si>
  <si>
    <t xml:space="preserve">MDA</t>
  </si>
  <si>
    <t xml:space="preserve">ROU, UKR</t>
  </si>
  <si>
    <t xml:space="preserve">🇲🇩</t>
  </si>
  <si>
    <t xml:space="preserve">Monaco</t>
  </si>
  <si>
    <t xml:space="preserve">Principality of Monaco</t>
  </si>
  <si>
    <t xml:space="preserve">MC</t>
  </si>
  <si>
    <t xml:space="preserve">MCO</t>
  </si>
  <si>
    <t xml:space="preserve">🇲🇨</t>
  </si>
  <si>
    <t xml:space="preserve">MNG</t>
  </si>
  <si>
    <t xml:space="preserve">CHN, RUS</t>
  </si>
  <si>
    <t xml:space="preserve">🇲🇳</t>
  </si>
  <si>
    <t xml:space="preserve">Montenegro</t>
  </si>
  <si>
    <t xml:space="preserve">ME</t>
  </si>
  <si>
    <t xml:space="preserve">MNE</t>
  </si>
  <si>
    <t xml:space="preserve">ALB, BIH, HRV, UNK, SRB</t>
  </si>
  <si>
    <t xml:space="preserve">🇲🇪</t>
  </si>
  <si>
    <t xml:space="preserve">Montserrat</t>
  </si>
  <si>
    <t xml:space="preserve">MS</t>
  </si>
  <si>
    <t xml:space="preserve">MSR</t>
  </si>
  <si>
    <t xml:space="preserve">🇲🇸</t>
  </si>
  <si>
    <t xml:space="preserve">Kingdom of Morocco</t>
  </si>
  <si>
    <t xml:space="preserve">MAR</t>
  </si>
  <si>
    <t xml:space="preserve">DZA, ESH, ESP</t>
  </si>
  <si>
    <t xml:space="preserve">🇲🇦</t>
  </si>
  <si>
    <t xml:space="preserve">Republic of Mozambique</t>
  </si>
  <si>
    <t xml:space="preserve">MOZ</t>
  </si>
  <si>
    <t xml:space="preserve">MWI, ZAF, SWZ, TZA, ZMB, ZWE</t>
  </si>
  <si>
    <t xml:space="preserve">🇲🇿</t>
  </si>
  <si>
    <t xml:space="preserve">Republic of the Union of Myanmar</t>
  </si>
  <si>
    <t xml:space="preserve">MMR</t>
  </si>
  <si>
    <t xml:space="preserve">BGD, CHN, IND, LAO, THA</t>
  </si>
  <si>
    <t xml:space="preserve">🇲🇲</t>
  </si>
  <si>
    <t xml:space="preserve">Namibia</t>
  </si>
  <si>
    <t xml:space="preserve">Republic of Namibia</t>
  </si>
  <si>
    <t xml:space="preserve">NA</t>
  </si>
  <si>
    <t xml:space="preserve">NAM</t>
  </si>
  <si>
    <t xml:space="preserve">AGO, BWA, ZAF, ZMB</t>
  </si>
  <si>
    <t xml:space="preserve">🇳🇦</t>
  </si>
  <si>
    <t xml:space="preserve">Nauru</t>
  </si>
  <si>
    <t xml:space="preserve">Republic of Nauru</t>
  </si>
  <si>
    <t xml:space="preserve">NR</t>
  </si>
  <si>
    <t xml:space="preserve">NRU</t>
  </si>
  <si>
    <t xml:space="preserve">🇳🇷</t>
  </si>
  <si>
    <t xml:space="preserve">Federal Democratic Republic of Nepal</t>
  </si>
  <si>
    <t xml:space="preserve">NPL</t>
  </si>
  <si>
    <t xml:space="preserve">🇳🇵</t>
  </si>
  <si>
    <t xml:space="preserve">Kingdom of the Netherlands</t>
  </si>
  <si>
    <t xml:space="preserve">NLD</t>
  </si>
  <si>
    <t xml:space="preserve">BEL, DEU</t>
  </si>
  <si>
    <t xml:space="preserve">🇳🇱</t>
  </si>
  <si>
    <t xml:space="preserve">New Caledonia</t>
  </si>
  <si>
    <t xml:space="preserve">NC</t>
  </si>
  <si>
    <t xml:space="preserve">NCL</t>
  </si>
  <si>
    <t xml:space="preserve">🇳🇨</t>
  </si>
  <si>
    <t xml:space="preserve">NZL</t>
  </si>
  <si>
    <t xml:space="preserve">🇳🇿</t>
  </si>
  <si>
    <t xml:space="preserve">Nicaragua</t>
  </si>
  <si>
    <t xml:space="preserve">Republic of Nicaragua</t>
  </si>
  <si>
    <t xml:space="preserve">NI</t>
  </si>
  <si>
    <t xml:space="preserve">NIC</t>
  </si>
  <si>
    <t xml:space="preserve">CRI, HND</t>
  </si>
  <si>
    <t xml:space="preserve">🇳🇮</t>
  </si>
  <si>
    <t xml:space="preserve">Niger</t>
  </si>
  <si>
    <t xml:space="preserve">Republic of Niger</t>
  </si>
  <si>
    <t xml:space="preserve">NE</t>
  </si>
  <si>
    <t xml:space="preserve">NER</t>
  </si>
  <si>
    <t xml:space="preserve">DZA, BEN, BFA, TCD, LBY, MLI, NGA</t>
  </si>
  <si>
    <t xml:space="preserve">🇳🇪</t>
  </si>
  <si>
    <t xml:space="preserve">Federal Republic of Nigeria</t>
  </si>
  <si>
    <t xml:space="preserve">NGA</t>
  </si>
  <si>
    <t xml:space="preserve">BEN, CMR, TCD, NER</t>
  </si>
  <si>
    <t xml:space="preserve">🇳🇬</t>
  </si>
  <si>
    <t xml:space="preserve">Niue</t>
  </si>
  <si>
    <t xml:space="preserve">NU</t>
  </si>
  <si>
    <t xml:space="preserve">NIU</t>
  </si>
  <si>
    <t xml:space="preserve">🇳🇺</t>
  </si>
  <si>
    <t xml:space="preserve">Norfolk Island</t>
  </si>
  <si>
    <t xml:space="preserve">Territory of Norfolk Island</t>
  </si>
  <si>
    <t xml:space="preserve">NF</t>
  </si>
  <si>
    <t xml:space="preserve">NFK</t>
  </si>
  <si>
    <t xml:space="preserve">🇳🇫</t>
  </si>
  <si>
    <t xml:space="preserve">North Korea</t>
  </si>
  <si>
    <t xml:space="preserve">Democratic People's Republic of Korea</t>
  </si>
  <si>
    <t xml:space="preserve">KP</t>
  </si>
  <si>
    <t xml:space="preserve">PRK</t>
  </si>
  <si>
    <t xml:space="preserve">CHN, KOR, RUS</t>
  </si>
  <si>
    <t xml:space="preserve">🇰🇵</t>
  </si>
  <si>
    <t xml:space="preserve">North Macedonia</t>
  </si>
  <si>
    <t xml:space="preserve">Republic of North Macedonia</t>
  </si>
  <si>
    <t xml:space="preserve">MK</t>
  </si>
  <si>
    <t xml:space="preserve">MKD</t>
  </si>
  <si>
    <t xml:space="preserve">ALB, BGR, GRC, UNK, SRB</t>
  </si>
  <si>
    <t xml:space="preserve">🇲🇰</t>
  </si>
  <si>
    <t xml:space="preserve">Northern Mariana Islands</t>
  </si>
  <si>
    <t xml:space="preserve">Commonwealth of the Northern Mariana Islands</t>
  </si>
  <si>
    <t xml:space="preserve">MP</t>
  </si>
  <si>
    <t xml:space="preserve">MNP</t>
  </si>
  <si>
    <t xml:space="preserve">🇲🇵</t>
  </si>
  <si>
    <t xml:space="preserve">Kingdom of Norway</t>
  </si>
  <si>
    <t xml:space="preserve">NOR</t>
  </si>
  <si>
    <t xml:space="preserve">FIN, SWE, RUS</t>
  </si>
  <si>
    <t xml:space="preserve">🇳🇴</t>
  </si>
  <si>
    <t xml:space="preserve">Oman</t>
  </si>
  <si>
    <t xml:space="preserve">Sultanate of Oman</t>
  </si>
  <si>
    <t xml:space="preserve">OM</t>
  </si>
  <si>
    <t xml:space="preserve">OMN</t>
  </si>
  <si>
    <t xml:space="preserve">SAU, ARE, YEM</t>
  </si>
  <si>
    <t xml:space="preserve">🇴🇲</t>
  </si>
  <si>
    <t xml:space="preserve">Islamic Republic of Pakistan</t>
  </si>
  <si>
    <t xml:space="preserve">PAK</t>
  </si>
  <si>
    <t xml:space="preserve">AFG, CHN, IND, IRN</t>
  </si>
  <si>
    <t xml:space="preserve">🇵🇰</t>
  </si>
  <si>
    <t xml:space="preserve">Palau</t>
  </si>
  <si>
    <t xml:space="preserve">Republic of Palau</t>
  </si>
  <si>
    <t xml:space="preserve">PW</t>
  </si>
  <si>
    <t xml:space="preserve">PLW</t>
  </si>
  <si>
    <t xml:space="preserve">🇵🇼</t>
  </si>
  <si>
    <t xml:space="preserve">State of Palestine</t>
  </si>
  <si>
    <t xml:space="preserve">PSE</t>
  </si>
  <si>
    <t xml:space="preserve">ISR, EGY, JOR</t>
  </si>
  <si>
    <t xml:space="preserve">🇵🇸</t>
  </si>
  <si>
    <t xml:space="preserve">Panama</t>
  </si>
  <si>
    <t xml:space="preserve">Republic of Panama</t>
  </si>
  <si>
    <t xml:space="preserve">PA</t>
  </si>
  <si>
    <t xml:space="preserve">PAN</t>
  </si>
  <si>
    <t xml:space="preserve">COL, CRI</t>
  </si>
  <si>
    <t xml:space="preserve">🇵🇦</t>
  </si>
  <si>
    <t xml:space="preserve">Papua New Guinea</t>
  </si>
  <si>
    <t xml:space="preserve">Independent State of Papua New Guinea</t>
  </si>
  <si>
    <t xml:space="preserve">PG</t>
  </si>
  <si>
    <t xml:space="preserve">PNG</t>
  </si>
  <si>
    <t xml:space="preserve">🇵🇬</t>
  </si>
  <si>
    <t xml:space="preserve">Paraguay</t>
  </si>
  <si>
    <t xml:space="preserve">Republic of Paraguay</t>
  </si>
  <si>
    <t xml:space="preserve">PY</t>
  </si>
  <si>
    <t xml:space="preserve">PRY</t>
  </si>
  <si>
    <t xml:space="preserve">ARG, BOL, BRA</t>
  </si>
  <si>
    <t xml:space="preserve">🇵🇾</t>
  </si>
  <si>
    <t xml:space="preserve">Republic of Peru</t>
  </si>
  <si>
    <t xml:space="preserve">PER</t>
  </si>
  <si>
    <t xml:space="preserve">BOL, BRA, CHL, COL, ECU</t>
  </si>
  <si>
    <t xml:space="preserve">🇵🇪</t>
  </si>
  <si>
    <t xml:space="preserve">Republic of the Philippines</t>
  </si>
  <si>
    <t xml:space="preserve">PHL</t>
  </si>
  <si>
    <t xml:space="preserve">🇵🇭</t>
  </si>
  <si>
    <t xml:space="preserve">Pitcairn Islands</t>
  </si>
  <si>
    <t xml:space="preserve">Pitcairn Group of Islands</t>
  </si>
  <si>
    <t xml:space="preserve">PN</t>
  </si>
  <si>
    <t xml:space="preserve">PCN</t>
  </si>
  <si>
    <t xml:space="preserve">🇵🇳</t>
  </si>
  <si>
    <t xml:space="preserve">Republic of Poland</t>
  </si>
  <si>
    <t xml:space="preserve">POL</t>
  </si>
  <si>
    <t xml:space="preserve">BLR, CZE, DEU, LTU, RUS, SVK, UKR</t>
  </si>
  <si>
    <t xml:space="preserve">🇵🇱</t>
  </si>
  <si>
    <t xml:space="preserve">Portuguese Republic</t>
  </si>
  <si>
    <t xml:space="preserve">PRT</t>
  </si>
  <si>
    <t xml:space="preserve">🇵🇹</t>
  </si>
  <si>
    <t xml:space="preserve">Commonwealth of Puerto Rico</t>
  </si>
  <si>
    <t xml:space="preserve">PRI</t>
  </si>
  <si>
    <t xml:space="preserve">🇵🇷</t>
  </si>
  <si>
    <t xml:space="preserve">Qatar</t>
  </si>
  <si>
    <t xml:space="preserve">State of Qatar</t>
  </si>
  <si>
    <t xml:space="preserve">QA</t>
  </si>
  <si>
    <t xml:space="preserve">QAT</t>
  </si>
  <si>
    <t xml:space="preserve">SAU</t>
  </si>
  <si>
    <t xml:space="preserve">🇶🇦</t>
  </si>
  <si>
    <t xml:space="preserve">ROU</t>
  </si>
  <si>
    <t xml:space="preserve">BGR, HUN, MDA, SRB, UKR</t>
  </si>
  <si>
    <t xml:space="preserve">🇷🇴</t>
  </si>
  <si>
    <t xml:space="preserve">Russian Federation</t>
  </si>
  <si>
    <t xml:space="preserve">RUS</t>
  </si>
  <si>
    <t xml:space="preserve">AZE, BLR, CHN, EST, FIN, GEO, KAZ, PRK, LVA, LTU, MNG, NOR, POL, UKR</t>
  </si>
  <si>
    <t xml:space="preserve">🇷🇺</t>
  </si>
  <si>
    <t xml:space="preserve">Rwanda</t>
  </si>
  <si>
    <t xml:space="preserve">Republic of Rwanda</t>
  </si>
  <si>
    <t xml:space="preserve">RW</t>
  </si>
  <si>
    <t xml:space="preserve">RWA</t>
  </si>
  <si>
    <t xml:space="preserve">BDI, COD, TZA, UGA</t>
  </si>
  <si>
    <t xml:space="preserve">🇷🇼</t>
  </si>
  <si>
    <t xml:space="preserve">Réunion</t>
  </si>
  <si>
    <t xml:space="preserve">Réunion Island</t>
  </si>
  <si>
    <t xml:space="preserve">RE</t>
  </si>
  <si>
    <t xml:space="preserve">REU</t>
  </si>
  <si>
    <t xml:space="preserve">🇷🇪</t>
  </si>
  <si>
    <t xml:space="preserve">Saint Barthélemy</t>
  </si>
  <si>
    <t xml:space="preserve">Collectivity of Saint Barthélemy</t>
  </si>
  <si>
    <t xml:space="preserve">BL</t>
  </si>
  <si>
    <t xml:space="preserve">BLM</t>
  </si>
  <si>
    <t xml:space="preserve">🇧🇱</t>
  </si>
  <si>
    <t xml:space="preserve">Saint Helena, Ascension and Tristan da Cunha</t>
  </si>
  <si>
    <t xml:space="preserve">SH</t>
  </si>
  <si>
    <t xml:space="preserve">SHN</t>
  </si>
  <si>
    <t xml:space="preserve">🇸🇭</t>
  </si>
  <si>
    <t xml:space="preserve">Saint Kitts and Nevis</t>
  </si>
  <si>
    <t xml:space="preserve">Federation of Saint Christopher and Nevis</t>
  </si>
  <si>
    <t xml:space="preserve">KN</t>
  </si>
  <si>
    <t xml:space="preserve">KNA</t>
  </si>
  <si>
    <t xml:space="preserve">🇰🇳</t>
  </si>
  <si>
    <t xml:space="preserve">Saint Lucia</t>
  </si>
  <si>
    <t xml:space="preserve">LC</t>
  </si>
  <si>
    <t xml:space="preserve">LCA</t>
  </si>
  <si>
    <t xml:space="preserve">🇱🇨</t>
  </si>
  <si>
    <t xml:space="preserve">Saint Martin</t>
  </si>
  <si>
    <t xml:space="preserve">MF</t>
  </si>
  <si>
    <t xml:space="preserve">MAF</t>
  </si>
  <si>
    <t xml:space="preserve">SXM</t>
  </si>
  <si>
    <t xml:space="preserve">🇲🇫</t>
  </si>
  <si>
    <t xml:space="preserve">Saint Pierre and Miquelon</t>
  </si>
  <si>
    <t xml:space="preserve">PM</t>
  </si>
  <si>
    <t xml:space="preserve">SPM</t>
  </si>
  <si>
    <t xml:space="preserve">🇵🇲</t>
  </si>
  <si>
    <t xml:space="preserve">Saint Vincent and the Grenadines</t>
  </si>
  <si>
    <t xml:space="preserve">VC</t>
  </si>
  <si>
    <t xml:space="preserve">VCT</t>
  </si>
  <si>
    <t xml:space="preserve">🇻🇨</t>
  </si>
  <si>
    <t xml:space="preserve">Samoa</t>
  </si>
  <si>
    <t xml:space="preserve">Independent State of Samoa</t>
  </si>
  <si>
    <t xml:space="preserve">WS</t>
  </si>
  <si>
    <t xml:space="preserve">WSM</t>
  </si>
  <si>
    <t xml:space="preserve">🇼🇸</t>
  </si>
  <si>
    <t xml:space="preserve">San Marino</t>
  </si>
  <si>
    <t xml:space="preserve">Most Serene Republic of San Marino</t>
  </si>
  <si>
    <t xml:space="preserve">SM</t>
  </si>
  <si>
    <t xml:space="preserve">SMR</t>
  </si>
  <si>
    <t xml:space="preserve">🇸🇲</t>
  </si>
  <si>
    <t xml:space="preserve">Kingdom of Saudi Arabia</t>
  </si>
  <si>
    <t xml:space="preserve">IRQ, JOR, KWT, OMN, QAT, ARE, YEM</t>
  </si>
  <si>
    <t xml:space="preserve">🇸🇦</t>
  </si>
  <si>
    <t xml:space="preserve">Republic of Senegal</t>
  </si>
  <si>
    <t xml:space="preserve">GMB, GIN, GNB, MLI, MRT</t>
  </si>
  <si>
    <t xml:space="preserve">🇸🇳</t>
  </si>
  <si>
    <t xml:space="preserve">Republic of Serbia</t>
  </si>
  <si>
    <t xml:space="preserve">SRB</t>
  </si>
  <si>
    <t xml:space="preserve">BIH, BGR, HRV, HUN, UNK, MKD, MNE, ROU</t>
  </si>
  <si>
    <t xml:space="preserve">🇷🇸</t>
  </si>
  <si>
    <t xml:space="preserve">Seychelles</t>
  </si>
  <si>
    <t xml:space="preserve">Republic of Seychelles</t>
  </si>
  <si>
    <t xml:space="preserve">SC</t>
  </si>
  <si>
    <t xml:space="preserve">SYC</t>
  </si>
  <si>
    <t xml:space="preserve">🇸🇨</t>
  </si>
  <si>
    <t xml:space="preserve">Sierra Leone</t>
  </si>
  <si>
    <t xml:space="preserve">Republic of Sierra Leone</t>
  </si>
  <si>
    <t xml:space="preserve">SL</t>
  </si>
  <si>
    <t xml:space="preserve">SLE</t>
  </si>
  <si>
    <t xml:space="preserve">GIN, LBR</t>
  </si>
  <si>
    <t xml:space="preserve">🇸🇱</t>
  </si>
  <si>
    <t xml:space="preserve">Republic of Singapore</t>
  </si>
  <si>
    <t xml:space="preserve">SGP</t>
  </si>
  <si>
    <t xml:space="preserve">🇸🇬</t>
  </si>
  <si>
    <t xml:space="preserve">Sint Maarten</t>
  </si>
  <si>
    <t xml:space="preserve">SX</t>
  </si>
  <si>
    <t xml:space="preserve">🇸🇽</t>
  </si>
  <si>
    <t xml:space="preserve">Slovakia</t>
  </si>
  <si>
    <t xml:space="preserve">Slovak Republic</t>
  </si>
  <si>
    <t xml:space="preserve">SK</t>
  </si>
  <si>
    <t xml:space="preserve">SVK</t>
  </si>
  <si>
    <t xml:space="preserve">AUT, CZE, HUN, POL, UKR</t>
  </si>
  <si>
    <t xml:space="preserve">🇸🇰</t>
  </si>
  <si>
    <t xml:space="preserve">Slovenia</t>
  </si>
  <si>
    <t xml:space="preserve">Republic of Slovenia</t>
  </si>
  <si>
    <t xml:space="preserve">SI</t>
  </si>
  <si>
    <t xml:space="preserve">SVN</t>
  </si>
  <si>
    <t xml:space="preserve">AUT, HRV, ITA, HUN</t>
  </si>
  <si>
    <t xml:space="preserve">🇸🇮</t>
  </si>
  <si>
    <t xml:space="preserve">Solomon Islands</t>
  </si>
  <si>
    <t xml:space="preserve">SB</t>
  </si>
  <si>
    <t xml:space="preserve">SLB</t>
  </si>
  <si>
    <t xml:space="preserve">🇸🇧</t>
  </si>
  <si>
    <t xml:space="preserve">Somalia</t>
  </si>
  <si>
    <t xml:space="preserve">Federal Republic of Somalia</t>
  </si>
  <si>
    <t xml:space="preserve">SO</t>
  </si>
  <si>
    <t xml:space="preserve">SOM</t>
  </si>
  <si>
    <t xml:space="preserve">DJI, ETH, KEN</t>
  </si>
  <si>
    <t xml:space="preserve">🇸🇴</t>
  </si>
  <si>
    <t xml:space="preserve">Republic of South Africa</t>
  </si>
  <si>
    <t xml:space="preserve">BWA, LSO, MOZ, NAM, SWZ, ZWE</t>
  </si>
  <si>
    <t xml:space="preserve">🇿🇦</t>
  </si>
  <si>
    <t xml:space="preserve">South Georgia</t>
  </si>
  <si>
    <t xml:space="preserve">South Georgia and the South Sandwich Islands</t>
  </si>
  <si>
    <t xml:space="preserve">GS</t>
  </si>
  <si>
    <t xml:space="preserve">SGS</t>
  </si>
  <si>
    <t xml:space="preserve">🇬🇸</t>
  </si>
  <si>
    <t xml:space="preserve">Republic of Korea</t>
  </si>
  <si>
    <t xml:space="preserve">KOR</t>
  </si>
  <si>
    <t xml:space="preserve">🇰🇷</t>
  </si>
  <si>
    <t xml:space="preserve">South Sudan</t>
  </si>
  <si>
    <t xml:space="preserve">Republic of South Sudan</t>
  </si>
  <si>
    <t xml:space="preserve">SS</t>
  </si>
  <si>
    <t xml:space="preserve">SSD</t>
  </si>
  <si>
    <t xml:space="preserve">CAF, COD, ETH, KEN, SDN, UGA</t>
  </si>
  <si>
    <t xml:space="preserve">🇸🇸</t>
  </si>
  <si>
    <t xml:space="preserve">Kingdom of Spain</t>
  </si>
  <si>
    <t xml:space="preserve">AND, FRA, GIB, PRT, MAR</t>
  </si>
  <si>
    <t xml:space="preserve">🇪🇸</t>
  </si>
  <si>
    <t xml:space="preserve">Democratic Socialist Republic of Sri Lanka</t>
  </si>
  <si>
    <t xml:space="preserve">LKA</t>
  </si>
  <si>
    <t xml:space="preserve">🇱🇰</t>
  </si>
  <si>
    <t xml:space="preserve">Sudan</t>
  </si>
  <si>
    <t xml:space="preserve">Republic of the Sudan</t>
  </si>
  <si>
    <t xml:space="preserve">SD</t>
  </si>
  <si>
    <t xml:space="preserve">SDN</t>
  </si>
  <si>
    <t xml:space="preserve">CAF, TCD, EGY, ERI, ETH, LBY, SSD</t>
  </si>
  <si>
    <t xml:space="preserve">🇸🇩</t>
  </si>
  <si>
    <t xml:space="preserve">Suriname</t>
  </si>
  <si>
    <t xml:space="preserve">Republic of Suriname</t>
  </si>
  <si>
    <t xml:space="preserve">SR</t>
  </si>
  <si>
    <t xml:space="preserve">SUR</t>
  </si>
  <si>
    <t xml:space="preserve">BRA, GUF, GUY</t>
  </si>
  <si>
    <t xml:space="preserve">🇸🇷</t>
  </si>
  <si>
    <t xml:space="preserve">Svalbard and Jan Mayen</t>
  </si>
  <si>
    <t xml:space="preserve">Svalbard og Jan Mayen</t>
  </si>
  <si>
    <t xml:space="preserve">SJ</t>
  </si>
  <si>
    <t xml:space="preserve">SJM</t>
  </si>
  <si>
    <t xml:space="preserve">🇸🇯</t>
  </si>
  <si>
    <t xml:space="preserve">Kingdom of Sweden</t>
  </si>
  <si>
    <t xml:space="preserve">SWE</t>
  </si>
  <si>
    <t xml:space="preserve">FIN, NOR</t>
  </si>
  <si>
    <t xml:space="preserve">🇸🇪</t>
  </si>
  <si>
    <t xml:space="preserve">Swiss Confederation</t>
  </si>
  <si>
    <t xml:space="preserve">CHE</t>
  </si>
  <si>
    <t xml:space="preserve">AUT, FRA, ITA, LIE, DEU</t>
  </si>
  <si>
    <t xml:space="preserve">🇨🇭</t>
  </si>
  <si>
    <t xml:space="preserve">Syrian Arab Republic</t>
  </si>
  <si>
    <t xml:space="preserve">SYR</t>
  </si>
  <si>
    <t xml:space="preserve">IRQ, ISR, JOR, LBN, TUR</t>
  </si>
  <si>
    <t xml:space="preserve">🇸🇾</t>
  </si>
  <si>
    <t xml:space="preserve">São Tomé and Príncipe</t>
  </si>
  <si>
    <t xml:space="preserve">Democratic Republic of São Tomé and Príncipe</t>
  </si>
  <si>
    <t xml:space="preserve">ST</t>
  </si>
  <si>
    <t xml:space="preserve">STP</t>
  </si>
  <si>
    <t xml:space="preserve">🇸🇹</t>
  </si>
  <si>
    <t xml:space="preserve">Republic of China (Taiwan)</t>
  </si>
  <si>
    <t xml:space="preserve">TWN</t>
  </si>
  <si>
    <t xml:space="preserve">🇹🇼</t>
  </si>
  <si>
    <t xml:space="preserve">Tajikistan</t>
  </si>
  <si>
    <t xml:space="preserve">Republic of Tajikistan</t>
  </si>
  <si>
    <t xml:space="preserve">TJ</t>
  </si>
  <si>
    <t xml:space="preserve">TJK</t>
  </si>
  <si>
    <t xml:space="preserve">AFG, CHN, KGZ, UZB</t>
  </si>
  <si>
    <t xml:space="preserve">🇹🇯</t>
  </si>
  <si>
    <t xml:space="preserve">United Republic of Tanzania</t>
  </si>
  <si>
    <t xml:space="preserve">TZA</t>
  </si>
  <si>
    <t xml:space="preserve">BDI, COD, KEN, MWI, MOZ, RWA, UGA, ZMB</t>
  </si>
  <si>
    <t xml:space="preserve">🇹🇿</t>
  </si>
  <si>
    <t xml:space="preserve">Kingdom of Thailand</t>
  </si>
  <si>
    <t xml:space="preserve">THA</t>
  </si>
  <si>
    <t xml:space="preserve">MMR, KHM, LAO, MYS</t>
  </si>
  <si>
    <t xml:space="preserve">🇹🇭</t>
  </si>
  <si>
    <t xml:space="preserve">Timor-Leste</t>
  </si>
  <si>
    <t xml:space="preserve">Democratic Republic of Timor-Leste</t>
  </si>
  <si>
    <t xml:space="preserve">TL</t>
  </si>
  <si>
    <t xml:space="preserve">TLS</t>
  </si>
  <si>
    <t xml:space="preserve">🇹🇱</t>
  </si>
  <si>
    <t xml:space="preserve">Togo</t>
  </si>
  <si>
    <t xml:space="preserve">Togolese Republic</t>
  </si>
  <si>
    <t xml:space="preserve">TG</t>
  </si>
  <si>
    <t xml:space="preserve">TGO</t>
  </si>
  <si>
    <t xml:space="preserve">BEN, BFA, GHA</t>
  </si>
  <si>
    <t xml:space="preserve">🇹🇬</t>
  </si>
  <si>
    <t xml:space="preserve">Tokelau</t>
  </si>
  <si>
    <t xml:space="preserve">TK</t>
  </si>
  <si>
    <t xml:space="preserve">TKL</t>
  </si>
  <si>
    <t xml:space="preserve">🇹🇰</t>
  </si>
  <si>
    <t xml:space="preserve">Tonga</t>
  </si>
  <si>
    <t xml:space="preserve">Kingdom of Tonga</t>
  </si>
  <si>
    <t xml:space="preserve">TO</t>
  </si>
  <si>
    <t xml:space="preserve">TON</t>
  </si>
  <si>
    <t xml:space="preserve">🇹🇴</t>
  </si>
  <si>
    <t xml:space="preserve">Republic of Trinidad and Tobago</t>
  </si>
  <si>
    <t xml:space="preserve">TTO</t>
  </si>
  <si>
    <t xml:space="preserve">🇹🇹</t>
  </si>
  <si>
    <t xml:space="preserve">Tunisian Republic</t>
  </si>
  <si>
    <t xml:space="preserve">TUN</t>
  </si>
  <si>
    <t xml:space="preserve">DZA, LBY</t>
  </si>
  <si>
    <t xml:space="preserve">🇹🇳</t>
  </si>
  <si>
    <t xml:space="preserve">Turkmenistan</t>
  </si>
  <si>
    <t xml:space="preserve">TM</t>
  </si>
  <si>
    <t xml:space="preserve">TKM</t>
  </si>
  <si>
    <t xml:space="preserve">AFG, IRN, KAZ, UZB</t>
  </si>
  <si>
    <t xml:space="preserve">🇹🇲</t>
  </si>
  <si>
    <t xml:space="preserve">Turks and Caicos Islands</t>
  </si>
  <si>
    <t xml:space="preserve">TC</t>
  </si>
  <si>
    <t xml:space="preserve">TCA</t>
  </si>
  <si>
    <t xml:space="preserve">🇹🇨</t>
  </si>
  <si>
    <t xml:space="preserve">Tuvalu</t>
  </si>
  <si>
    <t xml:space="preserve">TV</t>
  </si>
  <si>
    <t xml:space="preserve">TUV</t>
  </si>
  <si>
    <t xml:space="preserve">🇹🇻</t>
  </si>
  <si>
    <t xml:space="preserve">Türkiye</t>
  </si>
  <si>
    <t xml:space="preserve">Republic of Türkiye</t>
  </si>
  <si>
    <t xml:space="preserve">TUR</t>
  </si>
  <si>
    <t xml:space="preserve">ARM, AZE, BGR, GEO, GRC, IRN, IRQ, SYR</t>
  </si>
  <si>
    <t xml:space="preserve">🇹🇷</t>
  </si>
  <si>
    <t xml:space="preserve">Republic of Uganda</t>
  </si>
  <si>
    <t xml:space="preserve">UGA</t>
  </si>
  <si>
    <t xml:space="preserve">COD, KEN, RWA, SSD, TZA</t>
  </si>
  <si>
    <t xml:space="preserve">🇺🇬</t>
  </si>
  <si>
    <t xml:space="preserve">UKR</t>
  </si>
  <si>
    <t xml:space="preserve">BLR, HUN, MDA, POL, ROU, RUS, SVK</t>
  </si>
  <si>
    <t xml:space="preserve">🇺🇦</t>
  </si>
  <si>
    <t xml:space="preserve">ARE</t>
  </si>
  <si>
    <t xml:space="preserve">OMN, SAU</t>
  </si>
  <si>
    <t xml:space="preserve">🇦🇪</t>
  </si>
  <si>
    <t xml:space="preserve">United Kingdom of Great Britain and Northern Ireland</t>
  </si>
  <si>
    <t xml:space="preserve">🇬🇧</t>
  </si>
  <si>
    <t xml:space="preserve">United States of America</t>
  </si>
  <si>
    <t xml:space="preserve">CAN, MEX</t>
  </si>
  <si>
    <t xml:space="preserve">🇺🇸</t>
  </si>
  <si>
    <t xml:space="preserve">United States Minor Outlying Islands</t>
  </si>
  <si>
    <t xml:space="preserve">UM</t>
  </si>
  <si>
    <t xml:space="preserve">UMI</t>
  </si>
  <si>
    <t xml:space="preserve">🇺🇲</t>
  </si>
  <si>
    <t xml:space="preserve">United States Virgin Islands</t>
  </si>
  <si>
    <t xml:space="preserve">Virgin Islands of the United States</t>
  </si>
  <si>
    <t xml:space="preserve">VI</t>
  </si>
  <si>
    <t xml:space="preserve">VIR</t>
  </si>
  <si>
    <t xml:space="preserve">🇻🇮</t>
  </si>
  <si>
    <t xml:space="preserve">Oriental Republic of Uruguay</t>
  </si>
  <si>
    <t xml:space="preserve">URY</t>
  </si>
  <si>
    <t xml:space="preserve">ARG, BRA</t>
  </si>
  <si>
    <t xml:space="preserve">🇺🇾</t>
  </si>
  <si>
    <t xml:space="preserve">Republic of Uzbekistan</t>
  </si>
  <si>
    <t xml:space="preserve">UZB</t>
  </si>
  <si>
    <t xml:space="preserve">AFG, KAZ, KGZ, TJK, TKM</t>
  </si>
  <si>
    <t xml:space="preserve">🇺🇿</t>
  </si>
  <si>
    <t xml:space="preserve">Vanuatu</t>
  </si>
  <si>
    <t xml:space="preserve">Republic of Vanuatu</t>
  </si>
  <si>
    <t xml:space="preserve">VU</t>
  </si>
  <si>
    <t xml:space="preserve">VUT</t>
  </si>
  <si>
    <t xml:space="preserve">🇻🇺</t>
  </si>
  <si>
    <t xml:space="preserve">Vatican City</t>
  </si>
  <si>
    <t xml:space="preserve">Vatican City State</t>
  </si>
  <si>
    <t xml:space="preserve">VA</t>
  </si>
  <si>
    <t xml:space="preserve">VAT</t>
  </si>
  <si>
    <t xml:space="preserve">🇻🇦</t>
  </si>
  <si>
    <t xml:space="preserve">Bolivarian Republic of Venezuela</t>
  </si>
  <si>
    <t xml:space="preserve">VEN</t>
  </si>
  <si>
    <t xml:space="preserve">BRA, COL, GUY</t>
  </si>
  <si>
    <t xml:space="preserve">🇻🇪</t>
  </si>
  <si>
    <t xml:space="preserve">Socialist Republic of Vietnam</t>
  </si>
  <si>
    <t xml:space="preserve">VNM</t>
  </si>
  <si>
    <t xml:space="preserve">KHM, CHN, LAO</t>
  </si>
  <si>
    <t xml:space="preserve">🇻🇳</t>
  </si>
  <si>
    <t xml:space="preserve">Wallis and Futuna</t>
  </si>
  <si>
    <t xml:space="preserve">Territory of the Wallis and Futuna Islands</t>
  </si>
  <si>
    <t xml:space="preserve">WF</t>
  </si>
  <si>
    <t xml:space="preserve">WLF</t>
  </si>
  <si>
    <t xml:space="preserve">🇼🇫</t>
  </si>
  <si>
    <t xml:space="preserve">Western Sahara</t>
  </si>
  <si>
    <t xml:space="preserve">Sahrawi Arab Democratic Republic</t>
  </si>
  <si>
    <t xml:space="preserve">EH</t>
  </si>
  <si>
    <t xml:space="preserve">ESH</t>
  </si>
  <si>
    <t xml:space="preserve">DZA, MRT, MAR</t>
  </si>
  <si>
    <t xml:space="preserve">🇪🇭</t>
  </si>
  <si>
    <t xml:space="preserve">Republic of Yemen</t>
  </si>
  <si>
    <t xml:space="preserve">YEM</t>
  </si>
  <si>
    <t xml:space="preserve">🇾🇪</t>
  </si>
  <si>
    <t xml:space="preserve">Zambia</t>
  </si>
  <si>
    <t xml:space="preserve">Republic of Zambia</t>
  </si>
  <si>
    <t xml:space="preserve">ZM</t>
  </si>
  <si>
    <t xml:space="preserve">ZMB</t>
  </si>
  <si>
    <t xml:space="preserve">AGO, BWA, COD, MWI, MOZ, NAM, TZA, ZWE</t>
  </si>
  <si>
    <t xml:space="preserve">🇿🇲</t>
  </si>
  <si>
    <t xml:space="preserve">Zimbabwe</t>
  </si>
  <si>
    <t xml:space="preserve">Republic of Zimbabwe</t>
  </si>
  <si>
    <t xml:space="preserve">ZW</t>
  </si>
  <si>
    <t xml:space="preserve">ZWE</t>
  </si>
  <si>
    <t xml:space="preserve">BWA, MOZ, ZAF, ZMB</t>
  </si>
  <si>
    <t xml:space="preserve">🇿🇼</t>
  </si>
  <si>
    <t xml:space="preserve">Åland Islands</t>
  </si>
  <si>
    <t xml:space="preserve">AX</t>
  </si>
  <si>
    <t xml:space="preserve">ALA</t>
  </si>
  <si>
    <t xml:space="preserve">🇦🇽</t>
  </si>
  <si>
    <t xml:space="preserve">Day</t>
  </si>
  <si>
    <t xml:space="preserve">Date (placeholder)</t>
  </si>
  <si>
    <t xml:space="preserve">Weekday</t>
  </si>
  <si>
    <t xml:space="preserve">Global dish (ID)</t>
  </si>
  <si>
    <t xml:space="preserve">Global dish</t>
  </si>
  <si>
    <t xml:space="preserve">India dish (ID)</t>
  </si>
  <si>
    <t xml:space="preserve">India dish</t>
  </si>
  <si>
    <t xml:space="preserve">India state</t>
  </si>
  <si>
    <t xml:space="preserve">Drink (ID)</t>
  </si>
  <si>
    <t xml:space="preserve">Cuisine mode clue dish (ID)</t>
  </si>
  <si>
    <t xml:space="preserve">Cuisine mode answer (country)</t>
  </si>
  <si>
    <t xml:space="preserve">State mode clue dish (ID)</t>
  </si>
  <si>
    <t xml:space="preserve">State mode answer</t>
  </si>
  <si>
    <t xml:space="preserve">2026-11-02</t>
  </si>
  <si>
    <t xml:space="preserve">Monday</t>
  </si>
  <si>
    <t xml:space="preserve">2026-11-03</t>
  </si>
  <si>
    <t xml:space="preserve">Tuesday</t>
  </si>
  <si>
    <t xml:space="preserve">2026-11-04</t>
  </si>
  <si>
    <t xml:space="preserve">Wednesday</t>
  </si>
  <si>
    <t xml:space="preserve">2026-11-05</t>
  </si>
  <si>
    <t xml:space="preserve">Thursday</t>
  </si>
  <si>
    <t xml:space="preserve">2026-11-06</t>
  </si>
  <si>
    <t xml:space="preserve">Friday</t>
  </si>
  <si>
    <t xml:space="preserve">2026-11-07</t>
  </si>
  <si>
    <t xml:space="preserve">Saturday</t>
  </si>
  <si>
    <t xml:space="preserve">2026-11-08</t>
  </si>
  <si>
    <t xml:space="preserve">Sunday</t>
  </si>
  <si>
    <t xml:space="preserve">2026-11-09</t>
  </si>
  <si>
    <t xml:space="preserve">2026-11-10</t>
  </si>
  <si>
    <t xml:space="preserve">2026-11-11</t>
  </si>
  <si>
    <t xml:space="preserve">2026-11-12</t>
  </si>
  <si>
    <t xml:space="preserve">2026-11-13</t>
  </si>
  <si>
    <t xml:space="preserve">2026-11-14</t>
  </si>
  <si>
    <t xml:space="preserve">2026-11-15</t>
  </si>
  <si>
    <t xml:space="preserve">2026-11-16</t>
  </si>
  <si>
    <t xml:space="preserve">2026-11-17</t>
  </si>
  <si>
    <t xml:space="preserve">2026-11-18</t>
  </si>
  <si>
    <t xml:space="preserve">2026-11-19</t>
  </si>
  <si>
    <t xml:space="preserve">2026-11-20</t>
  </si>
  <si>
    <t xml:space="preserve">2026-11-21</t>
  </si>
  <si>
    <t xml:space="preserve">2026-11-22</t>
  </si>
  <si>
    <t xml:space="preserve">2026-11-23</t>
  </si>
  <si>
    <t xml:space="preserve">2026-11-24</t>
  </si>
  <si>
    <t xml:space="preserve">2026-11-25</t>
  </si>
  <si>
    <t xml:space="preserve">2026-11-26</t>
  </si>
  <si>
    <t xml:space="preserve">2026-11-27</t>
  </si>
  <si>
    <t xml:space="preserve">2026-11-28</t>
  </si>
  <si>
    <t xml:space="preserve">2026-11-29</t>
  </si>
  <si>
    <t xml:space="preserve">2026-11-30</t>
  </si>
  <si>
    <t xml:space="preserve">2026-12-01</t>
  </si>
  <si>
    <t xml:space="preserve">2026-12-02</t>
  </si>
  <si>
    <t xml:space="preserve">2026-12-03</t>
  </si>
  <si>
    <t xml:space="preserve">2026-12-04</t>
  </si>
  <si>
    <t xml:space="preserve">2026-12-05</t>
  </si>
  <si>
    <t xml:space="preserve">2026-12-06</t>
  </si>
  <si>
    <t xml:space="preserve">2026-12-07</t>
  </si>
  <si>
    <t xml:space="preserve">2026-12-08</t>
  </si>
  <si>
    <t xml:space="preserve">2026-12-09</t>
  </si>
  <si>
    <t xml:space="preserve">2026-12-10</t>
  </si>
  <si>
    <t xml:space="preserve">2026-12-11</t>
  </si>
  <si>
    <t xml:space="preserve">2026-12-12</t>
  </si>
  <si>
    <t xml:space="preserve">2026-12-13</t>
  </si>
  <si>
    <t xml:space="preserve">2026-12-14</t>
  </si>
  <si>
    <t xml:space="preserve">2026-12-15</t>
  </si>
  <si>
    <t xml:space="preserve">2026-12-16</t>
  </si>
  <si>
    <t xml:space="preserve">2026-12-17</t>
  </si>
  <si>
    <t xml:space="preserve">2026-12-18</t>
  </si>
  <si>
    <t xml:space="preserve">2026-12-19</t>
  </si>
  <si>
    <t xml:space="preserve">2026-12-20</t>
  </si>
  <si>
    <t xml:space="preserve">2026-12-21</t>
  </si>
  <si>
    <t xml:space="preserve">2026-12-22</t>
  </si>
  <si>
    <t xml:space="preserve">2026-12-23</t>
  </si>
  <si>
    <t xml:space="preserve">2026-12-24</t>
  </si>
  <si>
    <t xml:space="preserve">2026-12-25</t>
  </si>
  <si>
    <t xml:space="preserve">2026-12-26</t>
  </si>
  <si>
    <t xml:space="preserve">2026-12-27</t>
  </si>
  <si>
    <t xml:space="preserve">2026-12-28</t>
  </si>
  <si>
    <t xml:space="preserve">2026-12-29</t>
  </si>
  <si>
    <t xml:space="preserve">2026-12-30</t>
  </si>
  <si>
    <t xml:space="preserve">2026-12-31</t>
  </si>
  <si>
    <t xml:space="preserve">2027-01-01</t>
  </si>
  <si>
    <t xml:space="preserve">2027-01-02</t>
  </si>
  <si>
    <t xml:space="preserve">2027-01-03</t>
  </si>
  <si>
    <t xml:space="preserve">2027-01-04</t>
  </si>
  <si>
    <t xml:space="preserve">2027-01-05</t>
  </si>
  <si>
    <t xml:space="preserve">2027-01-06</t>
  </si>
  <si>
    <t xml:space="preserve">2027-01-07</t>
  </si>
  <si>
    <t xml:space="preserve">2027-01-08</t>
  </si>
  <si>
    <t xml:space="preserve">2027-01-09</t>
  </si>
  <si>
    <t xml:space="preserve">2027-01-10</t>
  </si>
  <si>
    <t xml:space="preserve">2027-01-11</t>
  </si>
  <si>
    <t xml:space="preserve">2027-01-12</t>
  </si>
  <si>
    <t xml:space="preserve">2027-01-13</t>
  </si>
  <si>
    <t xml:space="preserve">2027-01-14</t>
  </si>
  <si>
    <t xml:space="preserve">2027-01-15</t>
  </si>
  <si>
    <t xml:space="preserve">2027-01-16</t>
  </si>
  <si>
    <t xml:space="preserve">2027-01-17</t>
  </si>
  <si>
    <t xml:space="preserve">2027-01-18</t>
  </si>
  <si>
    <t xml:space="preserve">2027-01-19</t>
  </si>
  <si>
    <t xml:space="preserve">2027-01-20</t>
  </si>
  <si>
    <t xml:space="preserve">2027-01-21</t>
  </si>
  <si>
    <t xml:space="preserve">2027-01-22</t>
  </si>
  <si>
    <t xml:space="preserve">2027-01-23</t>
  </si>
  <si>
    <t xml:space="preserve">2027-01-24</t>
  </si>
  <si>
    <t xml:space="preserve">2027-01-25</t>
  </si>
  <si>
    <t xml:space="preserve">2027-01-26</t>
  </si>
  <si>
    <t xml:space="preserve">2027-01-27</t>
  </si>
  <si>
    <t xml:space="preserve">2027-01-28</t>
  </si>
  <si>
    <t xml:space="preserve">2027-01-29</t>
  </si>
  <si>
    <t xml:space="preserve">2027-01-30</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</si>
</sst>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name val="Arial"/>
      <family val="0"/>
      <charset val="1"/>
    </font>
    <font>
      <b val="true"/>
      <sz val="10"/>
      <name val="Arial"/>
      <family val="0"/>
      <charset val="1"/>
    </font>
    <font>
      <b val="true"/>
      <sz val="12"/>
      <color rgb="FF1F3864"/>
      <name val="Arial"/>
      <family val="0"/>
      <charset val="1"/>
    </font>
    <font>
      <b val="true"/>
      <sz val="10"/>
      <color rgb="FF0000FF"/>
      <name val="Arial"/>
      <family val="0"/>
      <charset val="1"/>
    </font>
    <font>
      <b val="true"/>
      <sz val="10"/>
      <color rgb="FF00800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sz val="10"/>
      <name val="WenQuanYi Zen Hei"/>
      <family val="2"/>
    </font>
    <font>
      <sz val="10"/>
      <name val="Arial"/>
      <family val="2"/>
    </font>
  </fonts>
  <fills count="5">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2F2F2"/>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CE4D6"/>
          <bgColor rgb="FF000000"/>
        </patternFill>
      </fill>
    </dxf>
    <dxf>
      <fill>
        <patternFill>
          <bgColor rgb="FFE2EFDA"/>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B458"/>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6AAA64"/>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9.7"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t="s">
        <v>3</v>
      </c>
      <c r="B3" s="2" t="s">
        <v>4</v>
      </c>
    </row>
    <row r="4" customFormat="false" ht="15" hidden="false" customHeight="false" outlineLevel="0" collapsed="false">
      <c r="A4" s="3" t="s">
        <v>5</v>
      </c>
      <c r="B4" s="2" t="s">
        <v>6</v>
      </c>
    </row>
    <row r="5" customFormat="false" ht="15" hidden="false" customHeight="false" outlineLevel="0" collapsed="false">
      <c r="A5" s="3"/>
      <c r="B5" s="2"/>
    </row>
    <row r="6" customFormat="false" ht="15" hidden="false" customHeight="false" outlineLevel="0" collapsed="false">
      <c r="A6" s="4" t="s">
        <v>7</v>
      </c>
      <c r="B6" s="2"/>
    </row>
    <row r="7" customFormat="false" ht="23.85" hidden="false" customHeight="false" outlineLevel="0" collapsed="false">
      <c r="A7" s="3" t="s">
        <v>8</v>
      </c>
      <c r="B7" s="2" t="s">
        <v>9</v>
      </c>
    </row>
    <row r="8" customFormat="false" ht="23.85" hidden="false" customHeight="false" outlineLevel="0" collapsed="false">
      <c r="A8" s="3" t="s">
        <v>10</v>
      </c>
      <c r="B8" s="2" t="s">
        <v>11</v>
      </c>
    </row>
    <row r="9" customFormat="false" ht="23.85" hidden="false" customHeight="false" outlineLevel="0" collapsed="false">
      <c r="A9" s="3" t="s">
        <v>12</v>
      </c>
      <c r="B9" s="2" t="s">
        <v>13</v>
      </c>
    </row>
    <row r="10" customFormat="false" ht="23.85" hidden="false" customHeight="false" outlineLevel="0" collapsed="false">
      <c r="A10" s="3" t="s">
        <v>14</v>
      </c>
      <c r="B10" s="2" t="s">
        <v>15</v>
      </c>
    </row>
    <row r="11" customFormat="false" ht="15" hidden="false" customHeight="false" outlineLevel="0" collapsed="false">
      <c r="A11" s="3"/>
      <c r="B11" s="2"/>
    </row>
    <row r="12" customFormat="false" ht="15" hidden="false" customHeight="false" outlineLevel="0" collapsed="false">
      <c r="A12" s="4" t="s">
        <v>16</v>
      </c>
      <c r="B12" s="2"/>
    </row>
    <row r="13" customFormat="false" ht="15" hidden="false" customHeight="false" outlineLevel="0" collapsed="false">
      <c r="A13" s="3" t="s">
        <v>17</v>
      </c>
      <c r="B13" s="2" t="s">
        <v>18</v>
      </c>
    </row>
    <row r="14" customFormat="false" ht="23.85" hidden="false" customHeight="false" outlineLevel="0" collapsed="false">
      <c r="A14" s="3" t="s">
        <v>19</v>
      </c>
      <c r="B14" s="2" t="s">
        <v>20</v>
      </c>
    </row>
    <row r="15" customFormat="false" ht="15" hidden="false" customHeight="false" outlineLevel="0" collapsed="false">
      <c r="A15" s="3" t="s">
        <v>21</v>
      </c>
      <c r="B15" s="2" t="s">
        <v>22</v>
      </c>
    </row>
    <row r="16" customFormat="false" ht="15" hidden="false" customHeight="false" outlineLevel="0" collapsed="false">
      <c r="A16" s="3" t="s">
        <v>23</v>
      </c>
      <c r="B16" s="2" t="s">
        <v>24</v>
      </c>
    </row>
    <row r="17" customFormat="false" ht="15" hidden="false" customHeight="false" outlineLevel="0" collapsed="false">
      <c r="A17" s="3" t="s">
        <v>25</v>
      </c>
      <c r="B17" s="2" t="s">
        <v>26</v>
      </c>
    </row>
    <row r="18" customFormat="false" ht="15" hidden="false" customHeight="false" outlineLevel="0" collapsed="false">
      <c r="A18" s="3" t="s">
        <v>27</v>
      </c>
      <c r="B18" s="2" t="s">
        <v>28</v>
      </c>
    </row>
    <row r="19" customFormat="false" ht="15" hidden="false" customHeight="false" outlineLevel="0" collapsed="false">
      <c r="A19" s="3" t="s">
        <v>29</v>
      </c>
      <c r="B19" s="2" t="s">
        <v>30</v>
      </c>
    </row>
    <row r="20" customFormat="false" ht="15" hidden="false" customHeight="false" outlineLevel="0" collapsed="false">
      <c r="A20" s="3" t="s">
        <v>31</v>
      </c>
      <c r="B20" s="2" t="s">
        <v>32</v>
      </c>
    </row>
    <row r="21" customFormat="false" ht="15" hidden="false" customHeight="false" outlineLevel="0" collapsed="false">
      <c r="A21" s="3" t="s">
        <v>33</v>
      </c>
      <c r="B21" s="2" t="s">
        <v>34</v>
      </c>
    </row>
    <row r="22" customFormat="false" ht="15" hidden="false" customHeight="false" outlineLevel="0" collapsed="false">
      <c r="A22" s="3"/>
      <c r="B22" s="2"/>
    </row>
    <row r="23" customFormat="false" ht="15" hidden="false" customHeight="false" outlineLevel="0" collapsed="false">
      <c r="A23" s="4" t="s">
        <v>35</v>
      </c>
      <c r="B23" s="2"/>
    </row>
    <row r="24" customFormat="false" ht="15" hidden="false" customHeight="false" outlineLevel="0" collapsed="false">
      <c r="A24" s="3" t="s">
        <v>36</v>
      </c>
      <c r="B24" s="2" t="s">
        <v>37</v>
      </c>
    </row>
    <row r="25" customFormat="false" ht="15" hidden="false" customHeight="false" outlineLevel="0" collapsed="false">
      <c r="A25" s="3" t="s">
        <v>38</v>
      </c>
      <c r="B25" s="2" t="s">
        <v>39</v>
      </c>
    </row>
    <row r="26" customFormat="false" ht="23.85" hidden="false" customHeight="false" outlineLevel="0" collapsed="false">
      <c r="A26" s="3" t="s">
        <v>40</v>
      </c>
      <c r="B26" s="2" t="s">
        <v>41</v>
      </c>
    </row>
    <row r="27" customFormat="false" ht="15" hidden="false" customHeight="false" outlineLevel="0" collapsed="false">
      <c r="A27" s="3"/>
      <c r="B27" s="2"/>
    </row>
    <row r="28" customFormat="false" ht="15" hidden="false" customHeight="false" outlineLevel="0" collapsed="false">
      <c r="A28" s="4" t="s">
        <v>42</v>
      </c>
      <c r="B28" s="2"/>
    </row>
    <row r="29" customFormat="false" ht="15" hidden="false" customHeight="false" outlineLevel="0" collapsed="false">
      <c r="A29" s="5" t="s">
        <v>43</v>
      </c>
      <c r="B29" s="2" t="s">
        <v>44</v>
      </c>
    </row>
    <row r="30" customFormat="false" ht="15" hidden="false" customHeight="false" outlineLevel="0" collapsed="false">
      <c r="A30" s="6" t="s">
        <v>45</v>
      </c>
      <c r="B30" s="2" t="s">
        <v>46</v>
      </c>
    </row>
    <row r="31" customFormat="false" ht="15" hidden="false" customHeight="false" outlineLevel="0" collapsed="false">
      <c r="A31" s="7" t="s">
        <v>47</v>
      </c>
      <c r="B31" s="2" t="s">
        <v>48</v>
      </c>
    </row>
    <row r="32" customFormat="false" ht="15" hidden="false" customHeight="false" outlineLevel="0" collapsed="false">
      <c r="A32" s="3" t="s">
        <v>49</v>
      </c>
      <c r="B32" s="2" t="s">
        <v>50</v>
      </c>
    </row>
    <row r="33" customFormat="false" ht="15" hidden="false" customHeight="false" outlineLevel="0" collapsed="false">
      <c r="A33" s="3"/>
      <c r="B33" s="2"/>
    </row>
    <row r="34" customFormat="false" ht="15" hidden="false" customHeight="false" outlineLevel="0" collapsed="false">
      <c r="A34" s="4" t="s">
        <v>51</v>
      </c>
      <c r="B34" s="2"/>
    </row>
    <row r="35" customFormat="false" ht="23.85" hidden="false" customHeight="false" outlineLevel="0" collapsed="false">
      <c r="A35" s="3" t="s">
        <v>52</v>
      </c>
      <c r="B35" s="2" t="s">
        <v>53</v>
      </c>
    </row>
    <row r="36" customFormat="false" ht="15" hidden="false" customHeight="false" outlineLevel="0" collapsed="false">
      <c r="A36" s="3" t="s">
        <v>54</v>
      </c>
      <c r="B36" s="2" t="s">
        <v>55</v>
      </c>
    </row>
    <row r="37" customFormat="false" ht="23.85" hidden="false" customHeight="false" outlineLevel="0" collapsed="false">
      <c r="A37" s="3" t="s">
        <v>56</v>
      </c>
      <c r="B37" s="2"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A1:D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3"/>
  </cols>
  <sheetData>
    <row r="1" customFormat="false" ht="19.7" hidden="false" customHeight="false" outlineLevel="0" collapsed="false">
      <c r="A1" s="1" t="s">
        <v>58</v>
      </c>
    </row>
    <row r="2" customFormat="false" ht="15" hidden="false" customHeight="false" outlineLevel="0" collapsed="false">
      <c r="A2" s="8" t="s">
        <v>59</v>
      </c>
    </row>
    <row r="4" customFormat="false" ht="15" hidden="false" customHeight="false" outlineLevel="0" collapsed="false">
      <c r="A4" s="4" t="s">
        <v>60</v>
      </c>
    </row>
    <row r="5" customFormat="false" ht="15" hidden="false" customHeight="false" outlineLevel="0" collapsed="false">
      <c r="A5" s="9" t="s">
        <v>61</v>
      </c>
      <c r="B5" s="9" t="s">
        <v>62</v>
      </c>
      <c r="C5" s="9" t="s">
        <v>63</v>
      </c>
      <c r="D5" s="9" t="s">
        <v>64</v>
      </c>
    </row>
    <row r="6" customFormat="false" ht="15" hidden="false" customHeight="false" outlineLevel="0" collapsed="false">
      <c r="A6" s="8" t="s">
        <v>65</v>
      </c>
      <c r="B6" s="10" t="n">
        <v>911</v>
      </c>
      <c r="C6" s="8" t="n">
        <f aca="false">COUNTA(Dishes!A:A)-1</f>
        <v>609</v>
      </c>
      <c r="D6" s="11" t="n">
        <f aca="false">IF(B6=0,0,C6/B6)</f>
        <v>0.668496158068057</v>
      </c>
    </row>
    <row r="7" customFormat="false" ht="15" hidden="false" customHeight="false" outlineLevel="0" collapsed="false">
      <c r="A7" s="8" t="s">
        <v>66</v>
      </c>
      <c r="B7" s="10" t="n">
        <v>247</v>
      </c>
      <c r="C7" s="8" t="n">
        <f aca="false">COUNTA(Drinks!A:A)-1</f>
        <v>138</v>
      </c>
      <c r="D7" s="11" t="n">
        <f aca="false">IF(B7=0,0,C7/B7)</f>
        <v>0.558704453441296</v>
      </c>
    </row>
    <row r="8" customFormat="false" ht="15" hidden="false" customHeight="false" outlineLevel="0" collapsed="false">
      <c r="A8" s="8" t="s">
        <v>67</v>
      </c>
      <c r="B8" s="10" t="n">
        <v>1158</v>
      </c>
      <c r="C8" s="8" t="n">
        <f aca="false">C6+C7</f>
        <v>747</v>
      </c>
      <c r="D8" s="11" t="n">
        <f aca="false">IF(B8=0,0,C8/B8)</f>
        <v>0.645077720207254</v>
      </c>
    </row>
    <row r="10" customFormat="false" ht="15" hidden="false" customHeight="false" outlineLevel="0" collapsed="false">
      <c r="A10" s="4" t="s">
        <v>68</v>
      </c>
    </row>
    <row r="11" customFormat="false" ht="15" hidden="false" customHeight="false" outlineLevel="0" collapsed="false">
      <c r="A11" s="9" t="s">
        <v>69</v>
      </c>
      <c r="B11" s="9" t="s">
        <v>62</v>
      </c>
      <c r="C11" s="9" t="s">
        <v>63</v>
      </c>
      <c r="D11" s="9" t="s">
        <v>64</v>
      </c>
    </row>
    <row r="12" customFormat="false" ht="15" hidden="false" customHeight="false" outlineLevel="0" collapsed="false">
      <c r="A12" s="8" t="s">
        <v>70</v>
      </c>
      <c r="B12" s="10" t="n">
        <v>590</v>
      </c>
      <c r="C12" s="8" t="n">
        <f aca="false">COUNTIF(Dishes!F:F,"Asia")</f>
        <v>410</v>
      </c>
      <c r="D12" s="11" t="n">
        <f aca="false">IF(B12=0,0,C12/B12)</f>
        <v>0.694915254237288</v>
      </c>
    </row>
    <row r="13" customFormat="false" ht="15" hidden="false" customHeight="false" outlineLevel="0" collapsed="false">
      <c r="A13" s="8" t="s">
        <v>71</v>
      </c>
      <c r="B13" s="10" t="n">
        <v>186</v>
      </c>
      <c r="C13" s="8" t="n">
        <f aca="false">COUNTIF(Dishes!F:F,"Europe")</f>
        <v>119</v>
      </c>
      <c r="D13" s="11" t="n">
        <f aca="false">IF(B13=0,0,C13/B13)</f>
        <v>0.639784946236559</v>
      </c>
    </row>
    <row r="14" customFormat="false" ht="15" hidden="false" customHeight="false" outlineLevel="0" collapsed="false">
      <c r="A14" s="8" t="s">
        <v>72</v>
      </c>
      <c r="B14" s="10" t="n">
        <v>86</v>
      </c>
      <c r="C14" s="8" t="n">
        <f aca="false">COUNTIF(Dishes!F:F,"Americas")</f>
        <v>60</v>
      </c>
      <c r="D14" s="11" t="n">
        <f aca="false">IF(B14=0,0,C14/B14)</f>
        <v>0.697674418604651</v>
      </c>
    </row>
    <row r="15" customFormat="false" ht="15" hidden="false" customHeight="false" outlineLevel="0" collapsed="false">
      <c r="A15" s="8" t="s">
        <v>73</v>
      </c>
      <c r="B15" s="10" t="n">
        <v>39</v>
      </c>
      <c r="C15" s="8" t="n">
        <f aca="false">COUNTIF(Dishes!F:F,"Africa")</f>
        <v>16</v>
      </c>
      <c r="D15" s="11" t="n">
        <f aca="false">IF(B15=0,0,C15/B15)</f>
        <v>0.41025641025641</v>
      </c>
    </row>
    <row r="16" customFormat="false" ht="15" hidden="false" customHeight="false" outlineLevel="0" collapsed="false">
      <c r="A16" s="8" t="s">
        <v>74</v>
      </c>
      <c r="B16" s="10" t="n">
        <v>10</v>
      </c>
      <c r="C16" s="8" t="n">
        <f aca="false">COUNTIF(Dishes!F:F,"Oceania")</f>
        <v>4</v>
      </c>
      <c r="D16" s="11" t="n">
        <f aca="false">IF(B16=0,0,C16/B16)</f>
        <v>0.4</v>
      </c>
    </row>
    <row r="17" customFormat="false" ht="15" hidden="false" customHeight="false" outlineLevel="0" collapsed="false">
      <c r="A17" s="8" t="s">
        <v>75</v>
      </c>
      <c r="B17" s="10" t="n">
        <v>363</v>
      </c>
      <c r="C17" s="8" t="n">
        <f aca="false">COUNTIF(Dishes!D:D,"India")</f>
        <v>250</v>
      </c>
      <c r="D17" s="11" t="n">
        <f aca="false">IF(B17=0,0,C17/B17)</f>
        <v>0.68870523415978</v>
      </c>
    </row>
    <row r="19" customFormat="false" ht="15" hidden="false" customHeight="false" outlineLevel="0" collapsed="false">
      <c r="A19" s="4" t="s">
        <v>76</v>
      </c>
    </row>
    <row r="20" customFormat="false" ht="15" hidden="false" customHeight="false" outlineLevel="0" collapsed="false">
      <c r="A20" s="9" t="s">
        <v>77</v>
      </c>
      <c r="B20" s="9" t="s">
        <v>62</v>
      </c>
      <c r="C20" s="9" t="s">
        <v>63</v>
      </c>
      <c r="D20" s="9" t="s">
        <v>64</v>
      </c>
    </row>
    <row r="21" customFormat="false" ht="15" hidden="false" customHeight="false" outlineLevel="0" collapsed="false">
      <c r="A21" s="8" t="s">
        <v>78</v>
      </c>
      <c r="B21" s="10" t="n">
        <v>334</v>
      </c>
      <c r="C21" s="8" t="n">
        <f aca="false">COUNTIF(Dishes!H:H,"Main")</f>
        <v>221</v>
      </c>
      <c r="D21" s="11" t="n">
        <f aca="false">IF(B21=0,0,C21/B21)</f>
        <v>0.661676646706587</v>
      </c>
    </row>
    <row r="22" customFormat="false" ht="15" hidden="false" customHeight="false" outlineLevel="0" collapsed="false">
      <c r="A22" s="8" t="s">
        <v>79</v>
      </c>
      <c r="B22" s="10" t="n">
        <v>118</v>
      </c>
      <c r="C22" s="8" t="n">
        <f aca="false">COUNTIF(Dishes!H:H,"Snack")</f>
        <v>73</v>
      </c>
      <c r="D22" s="11" t="n">
        <f aca="false">IF(B22=0,0,C22/B22)</f>
        <v>0.61864406779661</v>
      </c>
    </row>
    <row r="23" customFormat="false" ht="15" hidden="false" customHeight="false" outlineLevel="0" collapsed="false">
      <c r="A23" s="8" t="s">
        <v>80</v>
      </c>
      <c r="B23" s="10" t="n">
        <v>87</v>
      </c>
      <c r="C23" s="8" t="n">
        <f aca="false">COUNTIF(Dishes!H:H,"Dessert")</f>
        <v>63</v>
      </c>
      <c r="D23" s="11" t="n">
        <f aca="false">IF(B23=0,0,C23/B23)</f>
        <v>0.724137931034483</v>
      </c>
    </row>
    <row r="24" customFormat="false" ht="15" hidden="false" customHeight="false" outlineLevel="0" collapsed="false">
      <c r="A24" s="8" t="s">
        <v>81</v>
      </c>
      <c r="B24" s="10" t="n">
        <v>67</v>
      </c>
      <c r="C24" s="8" t="n">
        <f aca="false">COUNTIF(Dishes!H:H,"Street")</f>
        <v>46</v>
      </c>
      <c r="D24" s="11" t="n">
        <f aca="false">IF(B24=0,0,C24/B24)</f>
        <v>0.686567164179105</v>
      </c>
    </row>
    <row r="25" customFormat="false" ht="15" hidden="false" customHeight="false" outlineLevel="0" collapsed="false">
      <c r="A25" s="8" t="s">
        <v>82</v>
      </c>
      <c r="B25" s="10" t="n">
        <v>59</v>
      </c>
      <c r="C25" s="8" t="n">
        <f aca="false">COUNTIF(Dishes!H:H,"Breakfast")</f>
        <v>48</v>
      </c>
      <c r="D25" s="11" t="n">
        <f aca="false">IF(B25=0,0,C25/B25)</f>
        <v>0.813559322033898</v>
      </c>
    </row>
    <row r="26" customFormat="false" ht="15" hidden="false" customHeight="false" outlineLevel="0" collapsed="false">
      <c r="A26" s="8" t="s">
        <v>83</v>
      </c>
      <c r="B26" s="10" t="n">
        <v>53</v>
      </c>
      <c r="C26" s="8" t="n">
        <f aca="false">COUNTIF(Dishes!H:H,"Soup")</f>
        <v>34</v>
      </c>
      <c r="D26" s="11" t="n">
        <f aca="false">IF(B26=0,0,C26/B26)</f>
        <v>0.641509433962264</v>
      </c>
    </row>
    <row r="27" customFormat="false" ht="15" hidden="false" customHeight="false" outlineLevel="0" collapsed="false">
      <c r="A27" s="8" t="s">
        <v>84</v>
      </c>
      <c r="B27" s="10" t="n">
        <v>51</v>
      </c>
      <c r="C27" s="8" t="n">
        <f aca="false">COUNTIF(Dishes!H:H,"Sweet")</f>
        <v>32</v>
      </c>
      <c r="D27" s="11" t="n">
        <f aca="false">IF(B27=0,0,C27/B27)</f>
        <v>0.627450980392157</v>
      </c>
    </row>
    <row r="28" customFormat="false" ht="15" hidden="false" customHeight="false" outlineLevel="0" collapsed="false">
      <c r="A28" s="8" t="s">
        <v>85</v>
      </c>
      <c r="B28" s="10" t="n">
        <v>51</v>
      </c>
      <c r="C28" s="8" t="n">
        <f aca="false">COUNTIF(Dishes!H:H,"Rice")</f>
        <v>39</v>
      </c>
      <c r="D28" s="11" t="n">
        <f aca="false">IF(B28=0,0,C28/B28)</f>
        <v>0.764705882352941</v>
      </c>
    </row>
    <row r="29" customFormat="false" ht="15" hidden="false" customHeight="false" outlineLevel="0" collapsed="false">
      <c r="A29" s="8" t="s">
        <v>86</v>
      </c>
      <c r="B29" s="10" t="n">
        <v>38</v>
      </c>
      <c r="C29" s="8" t="n">
        <f aca="false">COUNTIF(Dishes!H:H,"Side")</f>
        <v>17</v>
      </c>
      <c r="D29" s="11" t="n">
        <f aca="false">IF(B29=0,0,C29/B29)</f>
        <v>0.447368421052632</v>
      </c>
    </row>
    <row r="30" customFormat="false" ht="15" hidden="false" customHeight="false" outlineLevel="0" collapsed="false">
      <c r="A30" s="8" t="s">
        <v>87</v>
      </c>
      <c r="B30" s="10" t="n">
        <v>25</v>
      </c>
      <c r="C30" s="8" t="n">
        <f aca="false">COUNTIF(Dishes!H:H,"Bread")</f>
        <v>14</v>
      </c>
      <c r="D30" s="11" t="n">
        <f aca="false">IF(B30=0,0,C30/B30)</f>
        <v>0.56</v>
      </c>
    </row>
    <row r="31" customFormat="false" ht="15" hidden="false" customHeight="false" outlineLevel="0" collapsed="false">
      <c r="A31" s="8" t="s">
        <v>88</v>
      </c>
      <c r="B31" s="10" t="n">
        <v>14</v>
      </c>
      <c r="C31" s="8" t="n">
        <f aca="false">COUNTIF(Dishes!H:H,"Condiment")</f>
        <v>12</v>
      </c>
      <c r="D31" s="11" t="n">
        <f aca="false">IF(B31=0,0,C31/B31)</f>
        <v>0.857142857142857</v>
      </c>
    </row>
    <row r="32" customFormat="false" ht="15" hidden="false" customHeight="false" outlineLevel="0" collapsed="false">
      <c r="A32" s="8" t="s">
        <v>89</v>
      </c>
      <c r="B32" s="10" t="n">
        <v>14</v>
      </c>
      <c r="C32" s="8" t="n">
        <f aca="false">COUNTIF(Dishes!H:H,"Salad")</f>
        <v>10</v>
      </c>
      <c r="D32" s="11" t="n">
        <f aca="false">IF(B32=0,0,C32/B32)</f>
        <v>0.714285714285714</v>
      </c>
    </row>
    <row r="34" customFormat="false" ht="15" hidden="false" customHeight="false" outlineLevel="0" collapsed="false">
      <c r="A34" s="4" t="s">
        <v>90</v>
      </c>
    </row>
    <row r="35" customFormat="false" ht="15" hidden="false" customHeight="false" outlineLevel="0" collapsed="false">
      <c r="A35" s="9" t="s">
        <v>91</v>
      </c>
      <c r="B35" s="9" t="s">
        <v>62</v>
      </c>
      <c r="C35" s="9" t="s">
        <v>63</v>
      </c>
      <c r="D35" s="9" t="s">
        <v>64</v>
      </c>
    </row>
    <row r="36" customFormat="false" ht="15" hidden="false" customHeight="false" outlineLevel="0" collapsed="false">
      <c r="A36" s="8" t="s">
        <v>92</v>
      </c>
      <c r="B36" s="10" t="n">
        <v>79</v>
      </c>
      <c r="C36" s="8" t="n">
        <f aca="false">COUNTIF(Drinks!H:H,"Cocktail")</f>
        <v>44</v>
      </c>
      <c r="D36" s="11" t="n">
        <f aca="false">IF(B36=0,0,C36/B36)</f>
        <v>0.556962025316456</v>
      </c>
    </row>
    <row r="37" customFormat="false" ht="15" hidden="false" customHeight="false" outlineLevel="0" collapsed="false">
      <c r="A37" s="8" t="s">
        <v>93</v>
      </c>
      <c r="B37" s="10" t="n">
        <v>59</v>
      </c>
      <c r="C37" s="8" t="n">
        <f aca="false">COUNTIF(Drinks!H:H,"Cold")</f>
        <v>33</v>
      </c>
      <c r="D37" s="11" t="n">
        <f aca="false">IF(B37=0,0,C37/B37)</f>
        <v>0.559322033898305</v>
      </c>
    </row>
    <row r="38" customFormat="false" ht="15" hidden="false" customHeight="false" outlineLevel="0" collapsed="false">
      <c r="A38" s="8" t="s">
        <v>94</v>
      </c>
      <c r="B38" s="10" t="n">
        <v>40</v>
      </c>
      <c r="C38" s="8" t="n">
        <f aca="false">COUNTIF(Drinks!H:H,"Hot")</f>
        <v>28</v>
      </c>
      <c r="D38" s="11" t="n">
        <f aca="false">IF(B38=0,0,C38/B38)</f>
        <v>0.7</v>
      </c>
    </row>
    <row r="39" customFormat="false" ht="15" hidden="false" customHeight="false" outlineLevel="0" collapsed="false">
      <c r="A39" s="8" t="s">
        <v>95</v>
      </c>
      <c r="B39" s="10" t="n">
        <v>27</v>
      </c>
      <c r="C39" s="8" t="n">
        <f aca="false">COUNTIF(Drinks!H:H,"Spirit")</f>
        <v>18</v>
      </c>
      <c r="D39" s="11" t="n">
        <f aca="false">IF(B39=0,0,C39/B39)</f>
        <v>0.666666666666667</v>
      </c>
    </row>
    <row r="40" customFormat="false" ht="15" hidden="false" customHeight="false" outlineLevel="0" collapsed="false">
      <c r="A40" s="8" t="s">
        <v>96</v>
      </c>
      <c r="B40" s="10" t="n">
        <v>19</v>
      </c>
      <c r="C40" s="8" t="n">
        <f aca="false">COUNTIF(Drinks!H:H,"Fermented")</f>
        <v>7</v>
      </c>
      <c r="D40" s="11" t="n">
        <f aca="false">IF(B40=0,0,C40/B40)</f>
        <v>0.368421052631579</v>
      </c>
    </row>
    <row r="41" customFormat="false" ht="15" hidden="false" customHeight="false" outlineLevel="0" collapsed="false">
      <c r="A41" s="8" t="s">
        <v>97</v>
      </c>
      <c r="B41" s="10" t="n">
        <v>8</v>
      </c>
      <c r="C41" s="8" t="n">
        <f aca="false">COUNTIF(Drinks!H:H,"Beer")</f>
        <v>1</v>
      </c>
      <c r="D41" s="11" t="n">
        <f aca="false">IF(B41=0,0,C41/B41)</f>
        <v>0.125</v>
      </c>
    </row>
    <row r="42" customFormat="false" ht="15" hidden="false" customHeight="false" outlineLevel="0" collapsed="false">
      <c r="A42" s="8" t="s">
        <v>98</v>
      </c>
      <c r="B42" s="10" t="n">
        <v>7</v>
      </c>
      <c r="C42" s="8" t="n">
        <f aca="false">COUNTIF(Drinks!H:H,"Wine")</f>
        <v>4</v>
      </c>
      <c r="D42" s="11" t="n">
        <f aca="false">IF(B42=0,0,C42/B42)</f>
        <v>0.571428571428571</v>
      </c>
    </row>
    <row r="43" customFormat="false" ht="15" hidden="false" customHeight="false" outlineLevel="0" collapsed="false">
      <c r="A43" s="8" t="s">
        <v>99</v>
      </c>
      <c r="B43" s="10" t="n">
        <v>7</v>
      </c>
      <c r="C43" s="8" t="n">
        <f aca="false">COUNTIF(Drinks!H:H,"Mocktail")</f>
        <v>2</v>
      </c>
      <c r="D43" s="11" t="n">
        <f aca="false">IF(B43=0,0,C43/B43)</f>
        <v>0.285714285714286</v>
      </c>
    </row>
    <row r="44" customFormat="false" ht="15" hidden="false" customHeight="false" outlineLevel="0" collapsed="false">
      <c r="A44" s="8" t="s">
        <v>100</v>
      </c>
      <c r="B44" s="10" t="n">
        <v>1</v>
      </c>
      <c r="C44" s="8" t="n">
        <f aca="false">COUNTIF(Drinks!H:H,"Liqueur")</f>
        <v>1</v>
      </c>
      <c r="D44" s="11" t="n">
        <f aca="false">IF(B44=0,0,C44/B44)</f>
        <v>1</v>
      </c>
    </row>
    <row r="46" customFormat="false" ht="15" hidden="false" customHeight="false" outlineLevel="0" collapsed="false">
      <c r="A46" s="4" t="s">
        <v>101</v>
      </c>
    </row>
    <row r="47" customFormat="false" ht="15" hidden="false" customHeight="false" outlineLevel="0" collapsed="false">
      <c r="A47" s="9" t="s">
        <v>102</v>
      </c>
      <c r="B47" s="9" t="s">
        <v>62</v>
      </c>
      <c r="C47" s="9" t="s">
        <v>63</v>
      </c>
      <c r="D47" s="9" t="s">
        <v>64</v>
      </c>
    </row>
    <row r="48" customFormat="false" ht="15" hidden="false" customHeight="false" outlineLevel="0" collapsed="false">
      <c r="A48" s="8" t="s">
        <v>103</v>
      </c>
      <c r="B48" s="10" t="n">
        <v>117</v>
      </c>
      <c r="C48" s="8" t="n">
        <f aca="false">COUNTIFS(Dishes!E:E,"Pan-India",Dishes!D:D,"India")+COUNTIFS(Drinks!E:E,"Pan-India",Drinks!D:D,"India")</f>
        <v>87</v>
      </c>
      <c r="D48" s="11" t="n">
        <f aca="false">IF(B48=0,0,C48/B48)</f>
        <v>0.743589743589744</v>
      </c>
    </row>
    <row r="49" customFormat="false" ht="15" hidden="false" customHeight="false" outlineLevel="0" collapsed="false">
      <c r="A49" s="8" t="s">
        <v>104</v>
      </c>
      <c r="B49" s="10" t="n">
        <v>31</v>
      </c>
      <c r="C49" s="8" t="n">
        <f aca="false">COUNTIFS(Dishes!E:E,"Maharashtra",Dishes!D:D,"India")+COUNTIFS(Drinks!E:E,"Maharashtra",Drinks!D:D,"India")</f>
        <v>21</v>
      </c>
      <c r="D49" s="11" t="n">
        <f aca="false">IF(B49=0,0,C49/B49)</f>
        <v>0.67741935483871</v>
      </c>
    </row>
    <row r="50" customFormat="false" ht="15" hidden="false" customHeight="false" outlineLevel="0" collapsed="false">
      <c r="A50" s="8" t="s">
        <v>105</v>
      </c>
      <c r="B50" s="10" t="n">
        <v>28</v>
      </c>
      <c r="C50" s="8" t="n">
        <f aca="false">COUNTIFS(Dishes!E:E,"Tamil Nadu",Dishes!D:D,"India")+COUNTIFS(Drinks!E:E,"Tamil Nadu",Drinks!D:D,"India")</f>
        <v>21</v>
      </c>
      <c r="D50" s="11" t="n">
        <f aca="false">IF(B50=0,0,C50/B50)</f>
        <v>0.75</v>
      </c>
    </row>
    <row r="51" customFormat="false" ht="15" hidden="false" customHeight="false" outlineLevel="0" collapsed="false">
      <c r="A51" s="8" t="s">
        <v>106</v>
      </c>
      <c r="B51" s="10" t="n">
        <v>27</v>
      </c>
      <c r="C51" s="8" t="n">
        <f aca="false">COUNTIFS(Dishes!E:E,"West Bengal",Dishes!D:D,"India")+COUNTIFS(Drinks!E:E,"West Bengal",Drinks!D:D,"India")</f>
        <v>18</v>
      </c>
      <c r="D51" s="11" t="n">
        <f aca="false">IF(B51=0,0,C51/B51)</f>
        <v>0.666666666666667</v>
      </c>
    </row>
    <row r="52" customFormat="false" ht="15" hidden="false" customHeight="false" outlineLevel="0" collapsed="false">
      <c r="A52" s="8" t="s">
        <v>107</v>
      </c>
      <c r="B52" s="10" t="n">
        <v>22</v>
      </c>
      <c r="C52" s="8" t="n">
        <f aca="false">COUNTIFS(Dishes!E:E,"Kerala",Dishes!D:D,"India")+COUNTIFS(Drinks!E:E,"Kerala",Drinks!D:D,"India")</f>
        <v>19</v>
      </c>
      <c r="D52" s="11" t="n">
        <f aca="false">IF(B52=0,0,C52/B52)</f>
        <v>0.863636363636364</v>
      </c>
    </row>
    <row r="53" customFormat="false" ht="15" hidden="false" customHeight="false" outlineLevel="0" collapsed="false">
      <c r="A53" s="8" t="s">
        <v>108</v>
      </c>
      <c r="B53" s="10" t="n">
        <v>20</v>
      </c>
      <c r="C53" s="8" t="n">
        <f aca="false">COUNTIFS(Dishes!E:E,"Delhi",Dishes!D:D,"India")+COUNTIFS(Drinks!E:E,"Delhi",Drinks!D:D,"India")</f>
        <v>13</v>
      </c>
      <c r="D53" s="11" t="n">
        <f aca="false">IF(B53=0,0,C53/B53)</f>
        <v>0.65</v>
      </c>
    </row>
    <row r="54" customFormat="false" ht="15" hidden="false" customHeight="false" outlineLevel="0" collapsed="false">
      <c r="A54" s="8" t="s">
        <v>109</v>
      </c>
      <c r="B54" s="10" t="n">
        <v>20</v>
      </c>
      <c r="C54" s="8" t="n">
        <f aca="false">COUNTIFS(Dishes!E:E,"Karnataka",Dishes!D:D,"India")+COUNTIFS(Drinks!E:E,"Karnataka",Drinks!D:D,"India")</f>
        <v>13</v>
      </c>
      <c r="D54" s="11" t="n">
        <f aca="false">IF(B54=0,0,C54/B54)</f>
        <v>0.65</v>
      </c>
    </row>
    <row r="55" customFormat="false" ht="15" hidden="false" customHeight="false" outlineLevel="0" collapsed="false">
      <c r="A55" s="8" t="s">
        <v>110</v>
      </c>
      <c r="B55" s="10" t="n">
        <v>19</v>
      </c>
      <c r="C55" s="8" t="n">
        <f aca="false">COUNTIFS(Dishes!E:E,"Punjab",Dishes!D:D,"India")+COUNTIFS(Drinks!E:E,"Punjab",Drinks!D:D,"India")</f>
        <v>14</v>
      </c>
      <c r="D55" s="11" t="n">
        <f aca="false">IF(B55=0,0,C55/B55)</f>
        <v>0.736842105263158</v>
      </c>
    </row>
    <row r="56" customFormat="false" ht="15" hidden="false" customHeight="false" outlineLevel="0" collapsed="false">
      <c r="A56" s="8" t="s">
        <v>111</v>
      </c>
      <c r="B56" s="10" t="n">
        <v>18</v>
      </c>
      <c r="C56" s="8" t="n">
        <f aca="false">COUNTIFS(Dishes!E:E,"Gujarat",Dishes!D:D,"India")+COUNTIFS(Drinks!E:E,"Gujarat",Drinks!D:D,"India")</f>
        <v>13</v>
      </c>
      <c r="D56" s="11" t="n">
        <f aca="false">IF(B56=0,0,C56/B56)</f>
        <v>0.722222222222222</v>
      </c>
    </row>
    <row r="57" customFormat="false" ht="15" hidden="false" customHeight="false" outlineLevel="0" collapsed="false">
      <c r="A57" s="8" t="s">
        <v>112</v>
      </c>
      <c r="B57" s="10" t="n">
        <v>13</v>
      </c>
      <c r="C57" s="8" t="n">
        <f aca="false">COUNTIFS(Dishes!E:E,"Uttar Pradesh",Dishes!D:D,"India")+COUNTIFS(Drinks!E:E,"Uttar Pradesh",Drinks!D:D,"India")</f>
        <v>9</v>
      </c>
      <c r="D57" s="11" t="n">
        <f aca="false">IF(B57=0,0,C57/B57)</f>
        <v>0.692307692307692</v>
      </c>
    </row>
    <row r="58" customFormat="false" ht="15" hidden="false" customHeight="false" outlineLevel="0" collapsed="false">
      <c r="A58" s="8" t="s">
        <v>113</v>
      </c>
      <c r="B58" s="10" t="n">
        <v>11</v>
      </c>
      <c r="C58" s="8" t="n">
        <f aca="false">COUNTIFS(Dishes!E:E,"Andhra Pradesh",Dishes!D:D,"India")+COUNTIFS(Drinks!E:E,"Andhra Pradesh",Drinks!D:D,"India")</f>
        <v>6</v>
      </c>
      <c r="D58" s="11" t="n">
        <f aca="false">IF(B58=0,0,C58/B58)</f>
        <v>0.545454545454545</v>
      </c>
    </row>
    <row r="59" customFormat="false" ht="15" hidden="false" customHeight="false" outlineLevel="0" collapsed="false">
      <c r="A59" s="8" t="s">
        <v>114</v>
      </c>
      <c r="B59" s="10" t="n">
        <v>10</v>
      </c>
      <c r="C59" s="8" t="n">
        <f aca="false">COUNTIFS(Dishes!E:E,"Telangana",Dishes!D:D,"India")+COUNTIFS(Drinks!E:E,"Telangana",Drinks!D:D,"India")</f>
        <v>7</v>
      </c>
      <c r="D59" s="11" t="n">
        <f aca="false">IF(B59=0,0,C59/B59)</f>
        <v>0.7</v>
      </c>
    </row>
    <row r="60" customFormat="false" ht="15" hidden="false" customHeight="false" outlineLevel="0" collapsed="false">
      <c r="A60" s="8" t="s">
        <v>115</v>
      </c>
      <c r="B60" s="10" t="n">
        <v>9</v>
      </c>
      <c r="C60" s="8" t="n">
        <f aca="false">COUNTIFS(Dishes!E:E,"Rajasthan",Dishes!D:D,"India")+COUNTIFS(Drinks!E:E,"Rajasthan",Drinks!D:D,"India")</f>
        <v>8</v>
      </c>
      <c r="D60" s="11" t="n">
        <f aca="false">IF(B60=0,0,C60/B60)</f>
        <v>0.888888888888889</v>
      </c>
    </row>
    <row r="61" customFormat="false" ht="15" hidden="false" customHeight="false" outlineLevel="0" collapsed="false">
      <c r="A61" s="8" t="s">
        <v>116</v>
      </c>
      <c r="B61" s="10" t="n">
        <v>9</v>
      </c>
      <c r="C61" s="8" t="n">
        <f aca="false">COUNTIFS(Dishes!E:E,"Goa",Dishes!D:D,"India")+COUNTIFS(Drinks!E:E,"Goa",Drinks!D:D,"India")</f>
        <v>6</v>
      </c>
      <c r="D61" s="11" t="n">
        <f aca="false">IF(B61=0,0,C61/B61)</f>
        <v>0.666666666666667</v>
      </c>
    </row>
    <row r="62" customFormat="false" ht="15" hidden="false" customHeight="false" outlineLevel="0" collapsed="false">
      <c r="A62" s="8" t="s">
        <v>117</v>
      </c>
      <c r="B62" s="10" t="n">
        <v>9</v>
      </c>
      <c r="C62" s="8" t="n">
        <f aca="false">COUNTIFS(Dishes!E:E,"Jammu &amp; Kashmir",Dishes!D:D,"India")+COUNTIFS(Drinks!E:E,"Jammu &amp; Kashmir",Drinks!D:D,"India")</f>
        <v>6</v>
      </c>
      <c r="D62" s="11" t="n">
        <f aca="false">IF(B62=0,0,C62/B62)</f>
        <v>0.666666666666667</v>
      </c>
    </row>
    <row r="63" customFormat="false" ht="15" hidden="false" customHeight="false" outlineLevel="0" collapsed="false">
      <c r="A63" s="8" t="s">
        <v>118</v>
      </c>
      <c r="B63" s="10" t="n">
        <v>6</v>
      </c>
      <c r="C63" s="8" t="n">
        <f aca="false">COUNTIFS(Dishes!E:E,"Bihar",Dishes!D:D,"India")+COUNTIFS(Drinks!E:E,"Bihar",Drinks!D:D,"India")</f>
        <v>3</v>
      </c>
      <c r="D63" s="11" t="n">
        <f aca="false">IF(B63=0,0,C63/B63)</f>
        <v>0.5</v>
      </c>
    </row>
    <row r="64" customFormat="false" ht="15" hidden="false" customHeight="false" outlineLevel="0" collapsed="false">
      <c r="A64" s="8" t="s">
        <v>119</v>
      </c>
      <c r="B64" s="10" t="n">
        <v>6</v>
      </c>
      <c r="C64" s="8" t="n">
        <f aca="false">COUNTIFS(Dishes!E:E,"Odisha",Dishes!D:D,"India")+COUNTIFS(Drinks!E:E,"Odisha",Drinks!D:D,"India")</f>
        <v>3</v>
      </c>
      <c r="D64" s="11" t="n">
        <f aca="false">IF(B64=0,0,C64/B64)</f>
        <v>0.5</v>
      </c>
    </row>
    <row r="65" customFormat="false" ht="15" hidden="false" customHeight="false" outlineLevel="0" collapsed="false">
      <c r="A65" s="8" t="s">
        <v>120</v>
      </c>
      <c r="B65" s="10" t="n">
        <v>5</v>
      </c>
      <c r="C65" s="8" t="n">
        <f aca="false">COUNTIFS(Dishes!E:E,"Madhya Pradesh",Dishes!D:D,"India")+COUNTIFS(Drinks!E:E,"Madhya Pradesh",Drinks!D:D,"India")</f>
        <v>2</v>
      </c>
      <c r="D65" s="11" t="n">
        <f aca="false">IF(B65=0,0,C65/B65)</f>
        <v>0.4</v>
      </c>
    </row>
    <row r="66" customFormat="false" ht="15" hidden="false" customHeight="false" outlineLevel="0" collapsed="false">
      <c r="A66" s="8" t="s">
        <v>121</v>
      </c>
      <c r="B66" s="10" t="n">
        <v>4</v>
      </c>
      <c r="C66" s="8" t="n">
        <f aca="false">COUNTIFS(Dishes!E:E,"Assam",Dishes!D:D,"India")+COUNTIFS(Drinks!E:E,"Assam",Drinks!D:D,"India")</f>
        <v>2</v>
      </c>
      <c r="D66" s="11" t="n">
        <f aca="false">IF(B66=0,0,C66/B66)</f>
        <v>0.5</v>
      </c>
    </row>
    <row r="67" customFormat="false" ht="15" hidden="false" customHeight="false" outlineLevel="0" collapsed="false">
      <c r="A67" s="8" t="s">
        <v>122</v>
      </c>
      <c r="B67" s="10" t="n">
        <v>4</v>
      </c>
      <c r="C67" s="8" t="n">
        <f aca="false">COUNTIFS(Dishes!E:E,"Sikkim",Dishes!D:D,"India")+COUNTIFS(Drinks!E:E,"Sikkim",Drinks!D:D,"India")</f>
        <v>3</v>
      </c>
      <c r="D67" s="11" t="n">
        <f aca="false">IF(B67=0,0,C67/B67)</f>
        <v>0.75</v>
      </c>
    </row>
    <row r="68" customFormat="false" ht="15" hidden="false" customHeight="false" outlineLevel="0" collapsed="false">
      <c r="A68" s="8" t="s">
        <v>123</v>
      </c>
      <c r="B68" s="10" t="n">
        <v>4</v>
      </c>
      <c r="C68" s="8" t="n">
        <f aca="false">COUNTIFS(Dishes!E:E,"Uttarakhand",Dishes!D:D,"India")+COUNTIFS(Drinks!E:E,"Uttarakhand",Drinks!D:D,"India")</f>
        <v>1</v>
      </c>
      <c r="D68" s="11" t="n">
        <f aca="false">IF(B68=0,0,C68/B68)</f>
        <v>0.25</v>
      </c>
    </row>
    <row r="69" customFormat="false" ht="15" hidden="false" customHeight="false" outlineLevel="0" collapsed="false">
      <c r="A69" s="8" t="s">
        <v>124</v>
      </c>
      <c r="B69" s="10" t="n">
        <v>3</v>
      </c>
      <c r="C69" s="8" t="n">
        <f aca="false">COUNTIFS(Dishes!E:E,"Himachal Pradesh",Dishes!D:D,"India")+COUNTIFS(Drinks!E:E,"Himachal Pradesh",Drinks!D:D,"India")</f>
        <v>2</v>
      </c>
      <c r="D69" s="11" t="n">
        <f aca="false">IF(B69=0,0,C69/B69)</f>
        <v>0.666666666666667</v>
      </c>
    </row>
    <row r="70" customFormat="false" ht="15" hidden="false" customHeight="false" outlineLevel="0" collapsed="false">
      <c r="A70" s="8" t="s">
        <v>125</v>
      </c>
      <c r="B70" s="10" t="n">
        <v>2</v>
      </c>
      <c r="C70" s="8" t="n">
        <f aca="false">COUNTIFS(Dishes!E:E,"Manipur",Dishes!D:D,"India")+COUNTIFS(Drinks!E:E,"Manipur",Drinks!D:D,"India")</f>
        <v>0</v>
      </c>
      <c r="D70" s="11" t="n">
        <f aca="false">IF(B70=0,0,C70/B70)</f>
        <v>0</v>
      </c>
    </row>
    <row r="71" customFormat="false" ht="15" hidden="false" customHeight="false" outlineLevel="0" collapsed="false">
      <c r="A71" s="8" t="s">
        <v>126</v>
      </c>
      <c r="B71" s="10" t="n">
        <v>2</v>
      </c>
      <c r="C71" s="8" t="n">
        <f aca="false">COUNTIFS(Dishes!E:E,"Chhattisgarh",Dishes!D:D,"India")+COUNTIFS(Drinks!E:E,"Chhattisgarh",Drinks!D:D,"India")</f>
        <v>1</v>
      </c>
      <c r="D71" s="11" t="n">
        <f aca="false">IF(B71=0,0,C71/B71)</f>
        <v>0.5</v>
      </c>
    </row>
    <row r="72" customFormat="false" ht="15" hidden="false" customHeight="false" outlineLevel="0" collapsed="false">
      <c r="A72" s="8" t="s">
        <v>127</v>
      </c>
      <c r="B72" s="10" t="n">
        <v>1</v>
      </c>
      <c r="C72" s="8" t="n">
        <f aca="false">COUNTIFS(Dishes!E:E,"Nagaland",Dishes!D:D,"India")+COUNTIFS(Drinks!E:E,"Nagaland",Drinks!D:D,"India")</f>
        <v>1</v>
      </c>
      <c r="D72" s="11" t="n">
        <f aca="false">IF(B72=0,0,C72/B72)</f>
        <v>1</v>
      </c>
    </row>
    <row r="73" customFormat="false" ht="15" hidden="false" customHeight="false" outlineLevel="0" collapsed="false">
      <c r="A73" s="8" t="s">
        <v>128</v>
      </c>
      <c r="B73" s="10" t="n">
        <v>1</v>
      </c>
      <c r="C73" s="8" t="n">
        <f aca="false">COUNTIFS(Dishes!E:E,"Meghalaya",Dishes!D:D,"India")+COUNTIFS(Drinks!E:E,"Meghalaya",Drinks!D:D,"India")</f>
        <v>0</v>
      </c>
      <c r="D73" s="11" t="n">
        <f aca="false">IF(B73=0,0,C73/B73)</f>
        <v>0</v>
      </c>
    </row>
    <row r="74" customFormat="false" ht="15" hidden="false" customHeight="false" outlineLevel="0" collapsed="false">
      <c r="A74" s="8" t="s">
        <v>129</v>
      </c>
      <c r="B74" s="10" t="n">
        <v>1</v>
      </c>
      <c r="C74" s="8" t="n">
        <f aca="false">COUNTIFS(Dishes!E:E,"Mizoram",Dishes!D:D,"India")+COUNTIFS(Drinks!E:E,"Mizoram",Drinks!D:D,"India")</f>
        <v>0</v>
      </c>
      <c r="D74" s="11" t="n">
        <f aca="false">IF(B74=0,0,C74/B74)</f>
        <v>0</v>
      </c>
    </row>
    <row r="75" customFormat="false" ht="15" hidden="false" customHeight="false" outlineLevel="0" collapsed="false">
      <c r="A75" s="8" t="s">
        <v>130</v>
      </c>
      <c r="B75" s="10" t="n">
        <v>1</v>
      </c>
      <c r="C75" s="8" t="n">
        <f aca="false">COUNTIFS(Dishes!E:E,"Arunachal Pradesh",Dishes!D:D,"India")+COUNTIFS(Drinks!E:E,"Arunachal Pradesh",Drinks!D:D,"India")</f>
        <v>0</v>
      </c>
      <c r="D75" s="11" t="n">
        <f aca="false">IF(B75=0,0,C75/B75)</f>
        <v>0</v>
      </c>
    </row>
    <row r="76" customFormat="false" ht="15" hidden="false" customHeight="false" outlineLevel="0" collapsed="false">
      <c r="A76" s="8" t="s">
        <v>131</v>
      </c>
      <c r="B76" s="10" t="n">
        <v>1</v>
      </c>
      <c r="C76" s="8" t="n">
        <f aca="false">COUNTIFS(Dishes!E:E,"Tripura",Dishes!D:D,"India")+COUNTIFS(Drinks!E:E,"Tripura",Drinks!D:D,"India")</f>
        <v>0</v>
      </c>
      <c r="D76" s="11" t="n">
        <f aca="false">IF(B76=0,0,C76/B76)</f>
        <v>0</v>
      </c>
    </row>
    <row r="78" customFormat="false" ht="15" hidden="false" customHeight="false" outlineLevel="0" collapsed="false">
      <c r="A78" s="4" t="s">
        <v>132</v>
      </c>
    </row>
    <row r="79" customFormat="false" ht="15" hidden="false" customHeight="false" outlineLevel="0" collapsed="false">
      <c r="A79" s="9" t="s">
        <v>133</v>
      </c>
      <c r="B79" s="9" t="s">
        <v>62</v>
      </c>
      <c r="C79" s="9" t="s">
        <v>63</v>
      </c>
      <c r="D79" s="9" t="s">
        <v>64</v>
      </c>
    </row>
    <row r="80" customFormat="false" ht="15" hidden="false" customHeight="false" outlineLevel="0" collapsed="false">
      <c r="A80" s="8" t="s">
        <v>134</v>
      </c>
      <c r="B80" s="10" t="n">
        <v>613</v>
      </c>
      <c r="C80" s="8" t="n">
        <f aca="false">COUNTIF(Dishes!W:W,"Yes")</f>
        <v>480</v>
      </c>
      <c r="D80" s="11" t="n">
        <f aca="false">IF(B80=0,0,C80/B80)</f>
        <v>0.783034257748777</v>
      </c>
    </row>
    <row r="81" customFormat="false" ht="15" hidden="false" customHeight="false" outlineLevel="0" collapsed="false">
      <c r="A81" s="8" t="s">
        <v>135</v>
      </c>
      <c r="B81" s="10" t="n">
        <v>319</v>
      </c>
      <c r="C81" s="8" t="n">
        <f aca="false">COUNTIF(Dishes!X:X,"Yes")</f>
        <v>250</v>
      </c>
      <c r="D81" s="11" t="n">
        <f aca="false">IF(B81=0,0,C81/B81)</f>
        <v>0.783699059561129</v>
      </c>
    </row>
    <row r="82" customFormat="false" ht="15" hidden="false" customHeight="false" outlineLevel="0" collapsed="false">
      <c r="A82" s="8" t="s">
        <v>136</v>
      </c>
      <c r="B82" s="10" t="n">
        <v>111</v>
      </c>
      <c r="C82" s="8" t="n">
        <f aca="false">COUNTIF(Drinks!X:X,"Yes")</f>
        <v>117</v>
      </c>
      <c r="D82" s="11" t="n">
        <f aca="false">IF(B82=0,0,C82/B82)</f>
        <v>1.05405405405405</v>
      </c>
    </row>
    <row r="83" customFormat="false" ht="15" hidden="false" customHeight="false" outlineLevel="0" collapsed="false">
      <c r="A83" s="8" t="s">
        <v>137</v>
      </c>
      <c r="B83" s="10" t="n">
        <v>25</v>
      </c>
      <c r="C83" s="8" t="n">
        <f aca="false">COUNTIF(Drinks!Y:Y,"Yes")</f>
        <v>29</v>
      </c>
      <c r="D83" s="11" t="n">
        <f aca="false">IF(B83=0,0,C83/B83)</f>
        <v>1.16</v>
      </c>
    </row>
    <row r="84" customFormat="false" ht="15" hidden="false" customHeight="false" outlineLevel="0" collapsed="false">
      <c r="A84" s="8" t="s">
        <v>138</v>
      </c>
      <c r="B84" s="10" t="n">
        <v>447</v>
      </c>
      <c r="C84" s="8" t="n">
        <f aca="false">COUNTIFS(Dishes!Y:Y,"Yes",Dishes!D:D,"&lt;&gt;India")</f>
        <v>309</v>
      </c>
      <c r="D84" s="11" t="n">
        <f aca="false">IF(B84=0,0,C84/B84)</f>
        <v>0.691275167785235</v>
      </c>
    </row>
    <row r="85" customFormat="false" ht="15" hidden="false" customHeight="false" outlineLevel="0" collapsed="false">
      <c r="A85" s="8" t="s">
        <v>139</v>
      </c>
      <c r="B85" s="10" t="n">
        <v>244</v>
      </c>
      <c r="C85" s="8" t="n">
        <f aca="false">COUNTIFS(Dishes!Y:Y,"Yes",Dishes!D:D,"India",Dishes!E:E,"&lt;&gt;Pan-India")</f>
        <v>179</v>
      </c>
      <c r="D85" s="11" t="n">
        <f aca="false">IF(B85=0,0,C85/B85)</f>
        <v>0.733606557377049</v>
      </c>
    </row>
    <row r="86" customFormat="false" ht="15" hidden="false" customHeight="false" outlineLevel="0" collapsed="false">
      <c r="A86" s="8" t="s">
        <v>140</v>
      </c>
    </row>
    <row r="88" customFormat="false" ht="15" hidden="false" customHeight="false" outlineLevel="0" collapsed="false">
      <c r="A88" s="4" t="s">
        <v>141</v>
      </c>
    </row>
    <row r="89" customFormat="false" ht="15" hidden="false" customHeight="false" outlineLevel="0" collapsed="false">
      <c r="A89" s="9" t="s">
        <v>142</v>
      </c>
      <c r="B89" s="9" t="s">
        <v>143</v>
      </c>
      <c r="C89" s="9" t="s">
        <v>144</v>
      </c>
    </row>
    <row r="90" customFormat="false" ht="15" hidden="false" customHeight="false" outlineLevel="0" collapsed="false">
      <c r="A90" s="8" t="n">
        <v>5</v>
      </c>
      <c r="B90" s="8" t="n">
        <f aca="false">COUNTIFS('All Items'!H:H,5,'All Items'!R:R,"Keep")</f>
        <v>107</v>
      </c>
      <c r="C90" s="12" t="n">
        <f aca="false">IF(SUM($B$90:$B$93)=0,0,B90/SUM($B$90:$B$93))</f>
        <v>0.143239625167336</v>
      </c>
    </row>
    <row r="91" customFormat="false" ht="15" hidden="false" customHeight="false" outlineLevel="0" collapsed="false">
      <c r="A91" s="8" t="n">
        <v>4</v>
      </c>
      <c r="B91" s="8" t="n">
        <f aca="false">COUNTIFS('All Items'!H:H,4,'All Items'!R:R,"Keep")</f>
        <v>214</v>
      </c>
      <c r="C91" s="12" t="n">
        <f aca="false">IF(SUM($B$90:$B$93)=0,0,B91/SUM($B$90:$B$93))</f>
        <v>0.286479250334672</v>
      </c>
    </row>
    <row r="92" customFormat="false" ht="15" hidden="false" customHeight="false" outlineLevel="0" collapsed="false">
      <c r="A92" s="8" t="n">
        <v>3</v>
      </c>
      <c r="B92" s="8" t="n">
        <f aca="false">COUNTIFS('All Items'!H:H,3,'All Items'!R:R,"Keep")</f>
        <v>426</v>
      </c>
      <c r="C92" s="12" t="n">
        <f aca="false">IF(SUM($B$90:$B$93)=0,0,B92/SUM($B$90:$B$93))</f>
        <v>0.570281124497992</v>
      </c>
    </row>
    <row r="93" customFormat="false" ht="15" hidden="false" customHeight="false" outlineLevel="0" collapsed="false">
      <c r="A93" s="8" t="n">
        <v>2</v>
      </c>
      <c r="B93" s="8" t="n">
        <f aca="false">COUNTIFS('All Items'!H:H,2,'All Items'!R:R,"Keep")</f>
        <v>0</v>
      </c>
      <c r="C93" s="12" t="n">
        <f aca="false">IF(SUM($B$90:$B$93)=0,0,B93/SUM($B$90:$B$93))</f>
        <v>0</v>
      </c>
    </row>
    <row r="95" customFormat="false" ht="15" hidden="false" customHeight="false" outlineLevel="0" collapsed="false">
      <c r="A95" s="4" t="s">
        <v>145</v>
      </c>
    </row>
    <row r="96" customFormat="false" ht="15" hidden="false" customHeight="false" outlineLevel="0" collapsed="false">
      <c r="A96" s="9" t="s">
        <v>146</v>
      </c>
      <c r="B96" s="9" t="s">
        <v>65</v>
      </c>
      <c r="C96" s="9" t="s">
        <v>66</v>
      </c>
    </row>
    <row r="97" customFormat="false" ht="15" hidden="false" customHeight="false" outlineLevel="0" collapsed="false">
      <c r="A97" s="8" t="n">
        <v>6</v>
      </c>
      <c r="B97" s="8" t="n">
        <f aca="false">COUNTIF(Dishes!V:V,6)</f>
        <v>491</v>
      </c>
      <c r="C97" s="8" t="n">
        <f aca="false">COUNTIF(Drinks!W:W,6)</f>
        <v>92</v>
      </c>
    </row>
    <row r="98" customFormat="false" ht="15" hidden="false" customHeight="false" outlineLevel="0" collapsed="false">
      <c r="A98" s="8" t="n">
        <v>5</v>
      </c>
      <c r="B98" s="8" t="n">
        <f aca="false">COUNTIF(Dishes!V:V,5)</f>
        <v>118</v>
      </c>
      <c r="C98" s="8" t="n">
        <f aca="false">COUNTIF(Drinks!W:W,5)</f>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4" min="3" style="0" width="12"/>
    <col collapsed="false" customWidth="true" hidden="false" outlineLevel="0" max="5" min="5" style="0" width="90"/>
  </cols>
  <sheetData>
    <row r="1" customFormat="false" ht="19.7" hidden="false" customHeight="false" outlineLevel="0" collapsed="false">
      <c r="B1" s="1" t="s">
        <v>147</v>
      </c>
    </row>
    <row r="2" customFormat="false" ht="15" hidden="false" customHeight="false" outlineLevel="0" collapsed="false">
      <c r="B2" s="8" t="s">
        <v>148</v>
      </c>
    </row>
    <row r="4" customFormat="false" ht="15" hidden="false" customHeight="false" outlineLevel="0" collapsed="false">
      <c r="B4" s="9" t="s">
        <v>149</v>
      </c>
      <c r="C4" s="9" t="s">
        <v>150</v>
      </c>
      <c r="D4" s="9" t="s">
        <v>151</v>
      </c>
      <c r="E4" s="9" t="s">
        <v>152</v>
      </c>
    </row>
    <row r="5" customFormat="false" ht="43.5" hidden="false" customHeight="true" outlineLevel="0" collapsed="false">
      <c r="B5" s="8" t="s">
        <v>153</v>
      </c>
      <c r="C5" s="13" t="n">
        <v>1.3</v>
      </c>
      <c r="D5" s="8" t="n">
        <f aca="false">5*C5</f>
        <v>6.5</v>
      </c>
      <c r="E5" s="2" t="s">
        <v>154</v>
      </c>
    </row>
    <row r="6" customFormat="false" ht="43.5" hidden="false" customHeight="true" outlineLevel="0" collapsed="false">
      <c r="B6" s="8" t="s">
        <v>155</v>
      </c>
      <c r="C6" s="13" t="n">
        <v>2</v>
      </c>
      <c r="D6" s="8" t="n">
        <f aca="false">C6</f>
        <v>2</v>
      </c>
      <c r="E6" s="2" t="s">
        <v>156</v>
      </c>
    </row>
    <row r="7" customFormat="false" ht="43.5" hidden="false" customHeight="true" outlineLevel="0" collapsed="false">
      <c r="B7" s="8" t="s">
        <v>157</v>
      </c>
      <c r="C7" s="13" t="n">
        <v>0.5</v>
      </c>
      <c r="D7" s="8" t="n">
        <f aca="false">C7</f>
        <v>0.5</v>
      </c>
      <c r="E7" s="2" t="s">
        <v>158</v>
      </c>
    </row>
    <row r="8" customFormat="false" ht="43.5" hidden="false" customHeight="true" outlineLevel="0" collapsed="false">
      <c r="B8" s="8" t="s">
        <v>159</v>
      </c>
      <c r="C8" s="13" t="n">
        <v>1</v>
      </c>
      <c r="D8" s="8" t="n">
        <f aca="false">C8</f>
        <v>1</v>
      </c>
      <c r="E8" s="2" t="s">
        <v>160</v>
      </c>
    </row>
    <row r="9" customFormat="false" ht="15" hidden="false" customHeight="false" outlineLevel="0" collapsed="false">
      <c r="B9" s="3" t="s">
        <v>161</v>
      </c>
      <c r="D9" s="3" t="n">
        <f aca="false">SUM(D5:D8)</f>
        <v>10</v>
      </c>
    </row>
    <row r="10" customFormat="false" ht="23.85" hidden="false" customHeight="false" outlineLevel="0" collapsed="false">
      <c r="B10" s="3" t="s">
        <v>162</v>
      </c>
      <c r="C10" s="14" t="n">
        <v>6.5</v>
      </c>
      <c r="E10" s="2" t="s">
        <v>163</v>
      </c>
    </row>
    <row r="12" customFormat="false" ht="15" hidden="false" customHeight="false" outlineLevel="0" collapsed="false">
      <c r="B12" s="4" t="s">
        <v>164</v>
      </c>
    </row>
    <row r="13" customFormat="false" ht="15" hidden="false" customHeight="false" outlineLevel="0" collapsed="false">
      <c r="B13" s="8" t="s">
        <v>165</v>
      </c>
      <c r="C13" s="8" t="n">
        <f aca="false">COUNTA('All Items'!A:A)-1</f>
        <v>1158</v>
      </c>
    </row>
    <row r="14" customFormat="false" ht="15" hidden="false" customHeight="false" outlineLevel="0" collapsed="false">
      <c r="B14" s="8" t="s">
        <v>166</v>
      </c>
      <c r="C14" s="8" t="n">
        <f aca="false">COUNTIF('All Items'!R:R,"Keep")</f>
        <v>747</v>
      </c>
    </row>
    <row r="15" customFormat="false" ht="15" hidden="false" customHeight="false" outlineLevel="0" collapsed="false">
      <c r="B15" s="8" t="s">
        <v>23</v>
      </c>
      <c r="C15" s="8" t="n">
        <f aca="false">COUNTIF('All Items'!R:R,"Remove")</f>
        <v>411</v>
      </c>
    </row>
    <row r="16" customFormat="false" ht="15" hidden="false" customHeight="false" outlineLevel="0" collapsed="false">
      <c r="B16" s="8" t="s">
        <v>64</v>
      </c>
      <c r="C16" s="15" t="n">
        <f aca="false">IF(C13=0,0,C14/C13)</f>
        <v>0.645077720207254</v>
      </c>
    </row>
    <row r="17" customFormat="false" ht="15" hidden="false" customHeight="false" outlineLevel="0" collapsed="false">
      <c r="B17" s="8" t="s">
        <v>167</v>
      </c>
      <c r="C17" s="8" t="n">
        <f aca="false">COUNTIFS('All Items'!C:C,"Dish",'All Items'!R:R,"Keep")</f>
        <v>609</v>
      </c>
    </row>
    <row r="18" customFormat="false" ht="15" hidden="false" customHeight="false" outlineLevel="0" collapsed="false">
      <c r="B18" s="8" t="s">
        <v>168</v>
      </c>
      <c r="C18" s="8" t="n">
        <f aca="false">COUNTIFS('All Items'!C:C,"Drink",'All Items'!R:R,"Keep")</f>
        <v>138</v>
      </c>
    </row>
    <row r="19" customFormat="false" ht="15" hidden="false" customHeight="false" outlineLevel="0" collapsed="false">
      <c r="B19" s="8" t="s">
        <v>169</v>
      </c>
      <c r="C19" s="16" t="n">
        <f aca="false">IFERROR(AVERAGEIF('All Items'!R:R,"Keep",'All Items'!Q:Q),0)</f>
        <v>7.91091030789826</v>
      </c>
    </row>
    <row r="21" customFormat="false" ht="15" hidden="false" customHeight="false" outlineLevel="0" collapsed="false">
      <c r="B21" s="4" t="s">
        <v>170</v>
      </c>
    </row>
    <row r="22" customFormat="false" ht="15" hidden="false" customHeight="false" outlineLevel="0" collapsed="false">
      <c r="B22" s="8" t="n">
        <v>5</v>
      </c>
      <c r="E22" s="8" t="s">
        <v>171</v>
      </c>
    </row>
    <row r="23" customFormat="false" ht="15" hidden="false" customHeight="false" outlineLevel="0" collapsed="false">
      <c r="B23" s="8" t="n">
        <v>4</v>
      </c>
      <c r="E23" s="8" t="s">
        <v>172</v>
      </c>
    </row>
    <row r="24" customFormat="false" ht="15" hidden="false" customHeight="false" outlineLevel="0" collapsed="false">
      <c r="B24" s="8" t="n">
        <v>3</v>
      </c>
      <c r="E24" s="8" t="s">
        <v>173</v>
      </c>
    </row>
    <row r="25" customFormat="false" ht="15" hidden="false" customHeight="false" outlineLevel="0" collapsed="false">
      <c r="B25" s="8" t="n">
        <v>2</v>
      </c>
      <c r="E25" s="8" t="s">
        <v>174</v>
      </c>
    </row>
    <row r="26" customFormat="false" ht="15" hidden="false" customHeight="false" outlineLevel="0" collapsed="false">
      <c r="B26" s="8" t="n">
        <v>1</v>
      </c>
      <c r="E26" s="8" t="s">
        <v>175</v>
      </c>
    </row>
    <row r="28" customFormat="false" ht="15" hidden="false" customHeight="false" outlineLevel="0" collapsed="false">
      <c r="B28" s="8"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8"/>
    <col collapsed="false" customWidth="true" hidden="false" outlineLevel="0" max="5" min="4" style="0" width="14"/>
    <col collapsed="false" customWidth="true" hidden="false" outlineLevel="0" max="6" min="6" style="0" width="10"/>
    <col collapsed="false" customWidth="true" hidden="false" outlineLevel="0" max="7" min="7" style="0" width="16"/>
    <col collapsed="false" customWidth="true" hidden="false" outlineLevel="0" max="8" min="8" style="0" width="10"/>
    <col collapsed="false" customWidth="true" hidden="false" outlineLevel="0" max="10" min="9" style="0" width="8"/>
    <col collapsed="false" customWidth="true" hidden="false" outlineLevel="0" max="11" min="11" style="0" width="10"/>
    <col collapsed="false" customWidth="true" hidden="false" outlineLevel="0" max="12" min="12" style="0" width="8"/>
    <col collapsed="false" customWidth="true" hidden="false" outlineLevel="0" max="18" min="13" style="0" width="20"/>
    <col collapsed="false" customWidth="true" hidden="false" outlineLevel="0" max="19" min="19" style="0" width="52"/>
    <col collapsed="false" customWidth="true" hidden="false" outlineLevel="0" max="20" min="20" style="0" width="30"/>
    <col collapsed="false" customWidth="true" hidden="false" outlineLevel="0" max="21" min="21" style="0" width="20"/>
    <col collapsed="false" customWidth="true" hidden="false" outlineLevel="0" max="25" min="22" style="0" width="8"/>
    <col collapsed="false" customWidth="true" hidden="false" outlineLevel="0" max="26" min="26" style="0" width="28"/>
    <col collapsed="false" customWidth="true" hidden="false" outlineLevel="0" max="27" min="27" style="0" width="16"/>
    <col collapsed="false" customWidth="true" hidden="false" outlineLevel="0" max="28" min="28" style="0" width="30"/>
    <col collapsed="false" customWidth="true" hidden="false" outlineLevel="0" max="29" min="29" style="0" width="14"/>
    <col collapsed="false" customWidth="true" hidden="false" outlineLevel="0" max="30" min="30" style="0" width="18"/>
    <col collapsed="false" customWidth="true" hidden="false" outlineLevel="0" max="31" min="31" style="0" width="16"/>
    <col collapsed="false" customWidth="true" hidden="false" outlineLevel="0" max="32" min="32" style="0" width="20"/>
  </cols>
  <sheetData>
    <row r="1" customFormat="false" ht="30" hidden="false" customHeight="true" outlineLevel="0" collapsed="false">
      <c r="A1" s="17" t="s">
        <v>177</v>
      </c>
      <c r="B1" s="17" t="s">
        <v>178</v>
      </c>
      <c r="C1" s="17" t="s">
        <v>179</v>
      </c>
      <c r="D1" s="17" t="s">
        <v>180</v>
      </c>
      <c r="E1" s="17" t="s">
        <v>102</v>
      </c>
      <c r="F1" s="17" t="s">
        <v>69</v>
      </c>
      <c r="G1" s="17" t="s">
        <v>181</v>
      </c>
      <c r="H1" s="17" t="s">
        <v>77</v>
      </c>
      <c r="I1" s="17" t="s">
        <v>182</v>
      </c>
      <c r="J1" s="17" t="s">
        <v>183</v>
      </c>
      <c r="K1" s="17" t="s">
        <v>153</v>
      </c>
      <c r="L1" s="17" t="s">
        <v>184</v>
      </c>
      <c r="M1" s="17" t="s">
        <v>185</v>
      </c>
      <c r="N1" s="17" t="s">
        <v>186</v>
      </c>
      <c r="O1" s="17" t="s">
        <v>187</v>
      </c>
      <c r="P1" s="17" t="s">
        <v>188</v>
      </c>
      <c r="Q1" s="17" t="s">
        <v>189</v>
      </c>
      <c r="R1" s="17" t="s">
        <v>190</v>
      </c>
      <c r="S1" s="17" t="s">
        <v>38</v>
      </c>
      <c r="T1" s="17" t="s">
        <v>191</v>
      </c>
      <c r="U1" s="17" t="s">
        <v>192</v>
      </c>
      <c r="V1" s="17" t="s">
        <v>193</v>
      </c>
      <c r="W1" s="17" t="s">
        <v>194</v>
      </c>
      <c r="X1" s="17" t="s">
        <v>195</v>
      </c>
      <c r="Y1" s="17" t="s">
        <v>196</v>
      </c>
      <c r="Z1" s="17" t="s">
        <v>197</v>
      </c>
      <c r="AA1" s="17" t="s">
        <v>198</v>
      </c>
      <c r="AB1" s="17" t="s">
        <v>199</v>
      </c>
      <c r="AC1" s="17" t="s">
        <v>200</v>
      </c>
      <c r="AD1" s="17" t="s">
        <v>201</v>
      </c>
      <c r="AE1" s="17" t="s">
        <v>202</v>
      </c>
      <c r="AF1" s="17" t="s">
        <v>5</v>
      </c>
    </row>
    <row r="2" customFormat="false" ht="15" hidden="false" customHeight="false" outlineLevel="0" collapsed="false">
      <c r="A2" s="8" t="s">
        <v>203</v>
      </c>
      <c r="B2" s="8" t="s">
        <v>204</v>
      </c>
      <c r="C2" s="8" t="s">
        <v>205</v>
      </c>
      <c r="D2" s="8" t="s">
        <v>206</v>
      </c>
      <c r="E2" s="8" t="s">
        <v>108</v>
      </c>
      <c r="F2" s="8" t="s">
        <v>70</v>
      </c>
      <c r="G2" s="8" t="s">
        <v>207</v>
      </c>
      <c r="H2" s="8" t="s">
        <v>78</v>
      </c>
      <c r="I2" s="8" t="s">
        <v>208</v>
      </c>
      <c r="J2" s="8" t="n">
        <v>1</v>
      </c>
      <c r="K2" s="8" t="n">
        <v>5</v>
      </c>
      <c r="L2" s="18" t="n">
        <f aca="false">INDEX('All Items'!$Q:$Q,MATCH($A2,'All Items'!$A:$A,0))</f>
        <v>10</v>
      </c>
      <c r="M2" s="8" t="s">
        <v>209</v>
      </c>
      <c r="N2" s="8" t="s">
        <v>210</v>
      </c>
      <c r="O2" s="8" t="s">
        <v>211</v>
      </c>
      <c r="P2" s="8" t="s">
        <v>212</v>
      </c>
      <c r="Q2" s="8" t="s">
        <v>213</v>
      </c>
      <c r="R2" s="8" t="s">
        <v>214</v>
      </c>
      <c r="S2" s="19" t="s">
        <v>215</v>
      </c>
      <c r="T2" s="8" t="s">
        <v>216</v>
      </c>
      <c r="U2" s="8" t="s">
        <v>217</v>
      </c>
      <c r="V2" s="8" t="n">
        <f aca="false">COUNTA(M2:R2)</f>
        <v>6</v>
      </c>
      <c r="W2" s="8" t="s">
        <v>218</v>
      </c>
      <c r="X2" s="8" t="s">
        <v>218</v>
      </c>
      <c r="Y2" s="8" t="s">
        <v>218</v>
      </c>
      <c r="Z2" s="8"/>
      <c r="AA2" s="8" t="s">
        <v>219</v>
      </c>
      <c r="AB2" s="20" t="s">
        <v>220</v>
      </c>
      <c r="AC2" s="20" t="s">
        <v>221</v>
      </c>
      <c r="AD2" s="20" t="s">
        <v>222</v>
      </c>
      <c r="AE2" s="8" t="s">
        <v>223</v>
      </c>
      <c r="AF2" s="8" t="s">
        <v>224</v>
      </c>
    </row>
    <row r="3" customFormat="false" ht="15" hidden="false" customHeight="false" outlineLevel="0" collapsed="false">
      <c r="A3" s="8" t="s">
        <v>225</v>
      </c>
      <c r="B3" s="8" t="s">
        <v>226</v>
      </c>
      <c r="C3" s="8"/>
      <c r="D3" s="8" t="s">
        <v>206</v>
      </c>
      <c r="E3" s="8" t="s">
        <v>110</v>
      </c>
      <c r="F3" s="8" t="s">
        <v>70</v>
      </c>
      <c r="G3" s="8" t="s">
        <v>207</v>
      </c>
      <c r="H3" s="8" t="s">
        <v>78</v>
      </c>
      <c r="I3" s="8" t="s">
        <v>227</v>
      </c>
      <c r="J3" s="8" t="n">
        <v>1</v>
      </c>
      <c r="K3" s="8" t="n">
        <v>5</v>
      </c>
      <c r="L3" s="18" t="n">
        <f aca="false">INDEX('All Items'!$Q:$Q,MATCH($A3,'All Items'!$A:$A,0))</f>
        <v>9.75</v>
      </c>
      <c r="M3" s="8" t="s">
        <v>228</v>
      </c>
      <c r="N3" s="8" t="s">
        <v>229</v>
      </c>
      <c r="O3" s="8" t="s">
        <v>230</v>
      </c>
      <c r="P3" s="8" t="s">
        <v>231</v>
      </c>
      <c r="Q3" s="8" t="s">
        <v>232</v>
      </c>
      <c r="R3" s="8" t="s">
        <v>233</v>
      </c>
      <c r="S3" s="19" t="s">
        <v>234</v>
      </c>
      <c r="T3" s="8" t="s">
        <v>235</v>
      </c>
      <c r="U3" s="8"/>
      <c r="V3" s="8" t="n">
        <f aca="false">COUNTA(M3:R3)</f>
        <v>6</v>
      </c>
      <c r="W3" s="8" t="s">
        <v>218</v>
      </c>
      <c r="X3" s="8" t="s">
        <v>218</v>
      </c>
      <c r="Y3" s="8" t="s">
        <v>218</v>
      </c>
      <c r="Z3" s="8"/>
      <c r="AA3" s="8" t="s">
        <v>236</v>
      </c>
      <c r="AB3" s="20"/>
      <c r="AC3" s="20"/>
      <c r="AD3" s="20"/>
      <c r="AE3" s="8" t="s">
        <v>237</v>
      </c>
      <c r="AF3" s="8" t="s">
        <v>224</v>
      </c>
    </row>
    <row r="4" customFormat="false" ht="15" hidden="false" customHeight="false" outlineLevel="0" collapsed="false">
      <c r="A4" s="8" t="s">
        <v>238</v>
      </c>
      <c r="B4" s="8" t="s">
        <v>239</v>
      </c>
      <c r="C4" s="8"/>
      <c r="D4" s="8" t="s">
        <v>206</v>
      </c>
      <c r="E4" s="8" t="s">
        <v>110</v>
      </c>
      <c r="F4" s="8" t="s">
        <v>70</v>
      </c>
      <c r="G4" s="8" t="s">
        <v>207</v>
      </c>
      <c r="H4" s="8" t="s">
        <v>78</v>
      </c>
      <c r="I4" s="8" t="s">
        <v>227</v>
      </c>
      <c r="J4" s="8" t="n">
        <v>1</v>
      </c>
      <c r="K4" s="8" t="n">
        <v>4</v>
      </c>
      <c r="L4" s="18" t="n">
        <f aca="false">INDEX('All Items'!$Q:$Q,MATCH($A4,'All Items'!$A:$A,0))</f>
        <v>8.2</v>
      </c>
      <c r="M4" s="8" t="s">
        <v>240</v>
      </c>
      <c r="N4" s="8" t="s">
        <v>241</v>
      </c>
      <c r="O4" s="8" t="s">
        <v>242</v>
      </c>
      <c r="P4" s="8" t="s">
        <v>243</v>
      </c>
      <c r="Q4" s="8" t="s">
        <v>244</v>
      </c>
      <c r="R4" s="8" t="s">
        <v>245</v>
      </c>
      <c r="S4" s="19" t="s">
        <v>246</v>
      </c>
      <c r="T4" s="8" t="s">
        <v>247</v>
      </c>
      <c r="U4" s="8"/>
      <c r="V4" s="8" t="n">
        <f aca="false">COUNTA(M4:R4)</f>
        <v>6</v>
      </c>
      <c r="W4" s="8" t="s">
        <v>218</v>
      </c>
      <c r="X4" s="8" t="s">
        <v>218</v>
      </c>
      <c r="Y4" s="8" t="s">
        <v>218</v>
      </c>
      <c r="Z4" s="8"/>
      <c r="AA4" s="8" t="s">
        <v>248</v>
      </c>
      <c r="AB4" s="20"/>
      <c r="AC4" s="20"/>
      <c r="AD4" s="20"/>
      <c r="AE4" s="8" t="s">
        <v>237</v>
      </c>
      <c r="AF4" s="8" t="s">
        <v>224</v>
      </c>
    </row>
    <row r="5" customFormat="false" ht="15" hidden="false" customHeight="false" outlineLevel="0" collapsed="false">
      <c r="A5" s="8" t="s">
        <v>249</v>
      </c>
      <c r="B5" s="8" t="s">
        <v>250</v>
      </c>
      <c r="C5" s="8"/>
      <c r="D5" s="8" t="s">
        <v>206</v>
      </c>
      <c r="E5" s="8" t="s">
        <v>110</v>
      </c>
      <c r="F5" s="8" t="s">
        <v>70</v>
      </c>
      <c r="G5" s="8" t="s">
        <v>207</v>
      </c>
      <c r="H5" s="8" t="s">
        <v>87</v>
      </c>
      <c r="I5" s="8" t="s">
        <v>227</v>
      </c>
      <c r="J5" s="8" t="n">
        <v>2</v>
      </c>
      <c r="K5" s="8" t="n">
        <v>3</v>
      </c>
      <c r="L5" s="18" t="n">
        <f aca="false">INDEX('All Items'!$Q:$Q,MATCH($A5,'All Items'!$A:$A,0))</f>
        <v>7.15</v>
      </c>
      <c r="M5" s="8" t="s">
        <v>251</v>
      </c>
      <c r="N5" s="8" t="s">
        <v>252</v>
      </c>
      <c r="O5" s="8" t="s">
        <v>253</v>
      </c>
      <c r="P5" s="8" t="s">
        <v>254</v>
      </c>
      <c r="Q5" s="8" t="s">
        <v>255</v>
      </c>
      <c r="R5" s="8" t="s">
        <v>256</v>
      </c>
      <c r="S5" s="19" t="s">
        <v>257</v>
      </c>
      <c r="T5" s="8" t="s">
        <v>258</v>
      </c>
      <c r="U5" s="8"/>
      <c r="V5" s="8" t="n">
        <f aca="false">COUNTA(M5:R5)</f>
        <v>6</v>
      </c>
      <c r="W5" s="8" t="s">
        <v>259</v>
      </c>
      <c r="X5" s="8" t="s">
        <v>218</v>
      </c>
      <c r="Y5" s="8" t="s">
        <v>218</v>
      </c>
      <c r="Z5" s="8"/>
      <c r="AA5" s="8" t="s">
        <v>260</v>
      </c>
      <c r="AB5" s="20"/>
      <c r="AC5" s="20"/>
      <c r="AD5" s="20"/>
      <c r="AE5" s="8" t="s">
        <v>237</v>
      </c>
      <c r="AF5" s="8" t="s">
        <v>224</v>
      </c>
    </row>
    <row r="6" customFormat="false" ht="15" hidden="false" customHeight="false" outlineLevel="0" collapsed="false">
      <c r="A6" s="8" t="s">
        <v>261</v>
      </c>
      <c r="B6" s="8" t="s">
        <v>262</v>
      </c>
      <c r="C6" s="8"/>
      <c r="D6" s="8" t="s">
        <v>206</v>
      </c>
      <c r="E6" s="8" t="s">
        <v>110</v>
      </c>
      <c r="F6" s="8" t="s">
        <v>70</v>
      </c>
      <c r="G6" s="8" t="s">
        <v>207</v>
      </c>
      <c r="H6" s="8" t="s">
        <v>78</v>
      </c>
      <c r="I6" s="8" t="s">
        <v>227</v>
      </c>
      <c r="J6" s="8" t="n">
        <v>1</v>
      </c>
      <c r="K6" s="8" t="n">
        <v>5</v>
      </c>
      <c r="L6" s="18" t="n">
        <f aca="false">INDEX('All Items'!$Q:$Q,MATCH($A6,'All Items'!$A:$A,0))</f>
        <v>10</v>
      </c>
      <c r="M6" s="8" t="s">
        <v>214</v>
      </c>
      <c r="N6" s="8" t="s">
        <v>263</v>
      </c>
      <c r="O6" s="8" t="s">
        <v>264</v>
      </c>
      <c r="P6" s="8" t="s">
        <v>265</v>
      </c>
      <c r="Q6" s="8" t="s">
        <v>266</v>
      </c>
      <c r="R6" s="8" t="s">
        <v>267</v>
      </c>
      <c r="S6" s="19" t="s">
        <v>268</v>
      </c>
      <c r="T6" s="8" t="s">
        <v>269</v>
      </c>
      <c r="U6" s="8" t="s">
        <v>267</v>
      </c>
      <c r="V6" s="8" t="n">
        <f aca="false">COUNTA(M6:R6)</f>
        <v>6</v>
      </c>
      <c r="W6" s="8" t="s">
        <v>218</v>
      </c>
      <c r="X6" s="8" t="s">
        <v>218</v>
      </c>
      <c r="Y6" s="8" t="s">
        <v>218</v>
      </c>
      <c r="Z6" s="8"/>
      <c r="AA6" s="8" t="s">
        <v>270</v>
      </c>
      <c r="AB6" s="20"/>
      <c r="AC6" s="20"/>
      <c r="AD6" s="20"/>
      <c r="AE6" s="8" t="s">
        <v>237</v>
      </c>
      <c r="AF6" s="8" t="s">
        <v>224</v>
      </c>
    </row>
    <row r="7" customFormat="false" ht="15" hidden="false" customHeight="false" outlineLevel="0" collapsed="false">
      <c r="A7" s="8" t="s">
        <v>271</v>
      </c>
      <c r="B7" s="8" t="s">
        <v>272</v>
      </c>
      <c r="C7" s="8"/>
      <c r="D7" s="8" t="s">
        <v>206</v>
      </c>
      <c r="E7" s="8" t="s">
        <v>110</v>
      </c>
      <c r="F7" s="8" t="s">
        <v>70</v>
      </c>
      <c r="G7" s="8" t="s">
        <v>207</v>
      </c>
      <c r="H7" s="8" t="s">
        <v>78</v>
      </c>
      <c r="I7" s="8" t="s">
        <v>273</v>
      </c>
      <c r="J7" s="8" t="n">
        <v>1</v>
      </c>
      <c r="K7" s="8" t="n">
        <v>5</v>
      </c>
      <c r="L7" s="18" t="n">
        <f aca="false">INDEX('All Items'!$Q:$Q,MATCH($A7,'All Items'!$A:$A,0))</f>
        <v>9.5</v>
      </c>
      <c r="M7" s="8" t="s">
        <v>274</v>
      </c>
      <c r="N7" s="8" t="s">
        <v>275</v>
      </c>
      <c r="O7" s="8" t="s">
        <v>263</v>
      </c>
      <c r="P7" s="8" t="s">
        <v>276</v>
      </c>
      <c r="Q7" s="8" t="s">
        <v>277</v>
      </c>
      <c r="R7" s="8" t="s">
        <v>278</v>
      </c>
      <c r="S7" s="19" t="s">
        <v>279</v>
      </c>
      <c r="T7" s="8" t="s">
        <v>280</v>
      </c>
      <c r="U7" s="8"/>
      <c r="V7" s="8" t="n">
        <f aca="false">COUNTA(M7:R7)</f>
        <v>6</v>
      </c>
      <c r="W7" s="8" t="s">
        <v>218</v>
      </c>
      <c r="X7" s="8" t="s">
        <v>218</v>
      </c>
      <c r="Y7" s="8" t="s">
        <v>218</v>
      </c>
      <c r="Z7" s="8"/>
      <c r="AA7" s="8" t="s">
        <v>281</v>
      </c>
      <c r="AB7" s="20"/>
      <c r="AC7" s="20"/>
      <c r="AD7" s="20"/>
      <c r="AE7" s="8" t="s">
        <v>237</v>
      </c>
      <c r="AF7" s="8" t="s">
        <v>224</v>
      </c>
    </row>
    <row r="8" customFormat="false" ht="15" hidden="false" customHeight="false" outlineLevel="0" collapsed="false">
      <c r="A8" s="8" t="s">
        <v>282</v>
      </c>
      <c r="B8" s="8" t="s">
        <v>283</v>
      </c>
      <c r="C8" s="8"/>
      <c r="D8" s="8" t="s">
        <v>206</v>
      </c>
      <c r="E8" s="8" t="s">
        <v>110</v>
      </c>
      <c r="F8" s="8" t="s">
        <v>70</v>
      </c>
      <c r="G8" s="8" t="s">
        <v>207</v>
      </c>
      <c r="H8" s="8" t="s">
        <v>79</v>
      </c>
      <c r="I8" s="8" t="s">
        <v>227</v>
      </c>
      <c r="J8" s="8" t="n">
        <v>1</v>
      </c>
      <c r="K8" s="8" t="n">
        <v>5</v>
      </c>
      <c r="L8" s="18" t="n">
        <f aca="false">INDEX('All Items'!$Q:$Q,MATCH($A8,'All Items'!$A:$A,0))</f>
        <v>10</v>
      </c>
      <c r="M8" s="8" t="s">
        <v>284</v>
      </c>
      <c r="N8" s="8" t="s">
        <v>285</v>
      </c>
      <c r="O8" s="8" t="s">
        <v>286</v>
      </c>
      <c r="P8" s="8" t="s">
        <v>287</v>
      </c>
      <c r="Q8" s="8" t="s">
        <v>288</v>
      </c>
      <c r="R8" s="8" t="s">
        <v>289</v>
      </c>
      <c r="S8" s="19" t="s">
        <v>290</v>
      </c>
      <c r="T8" s="8" t="s">
        <v>291</v>
      </c>
      <c r="U8" s="8" t="s">
        <v>289</v>
      </c>
      <c r="V8" s="8" t="n">
        <f aca="false">COUNTA(M8:R8)</f>
        <v>6</v>
      </c>
      <c r="W8" s="8" t="s">
        <v>218</v>
      </c>
      <c r="X8" s="8" t="s">
        <v>218</v>
      </c>
      <c r="Y8" s="8" t="s">
        <v>218</v>
      </c>
      <c r="Z8" s="8"/>
      <c r="AA8" s="8" t="s">
        <v>292</v>
      </c>
      <c r="AB8" s="20" t="s">
        <v>293</v>
      </c>
      <c r="AC8" s="20" t="s">
        <v>221</v>
      </c>
      <c r="AD8" s="20" t="s">
        <v>294</v>
      </c>
      <c r="AE8" s="8" t="s">
        <v>223</v>
      </c>
      <c r="AF8" s="8" t="s">
        <v>224</v>
      </c>
    </row>
    <row r="9" customFormat="false" ht="15" hidden="false" customHeight="false" outlineLevel="0" collapsed="false">
      <c r="A9" s="8" t="s">
        <v>295</v>
      </c>
      <c r="B9" s="8" t="s">
        <v>296</v>
      </c>
      <c r="C9" s="8"/>
      <c r="D9" s="8" t="s">
        <v>206</v>
      </c>
      <c r="E9" s="8" t="s">
        <v>110</v>
      </c>
      <c r="F9" s="8" t="s">
        <v>70</v>
      </c>
      <c r="G9" s="8" t="s">
        <v>207</v>
      </c>
      <c r="H9" s="8" t="s">
        <v>78</v>
      </c>
      <c r="I9" s="8" t="s">
        <v>208</v>
      </c>
      <c r="J9" s="8" t="n">
        <v>1</v>
      </c>
      <c r="K9" s="8" t="n">
        <v>5</v>
      </c>
      <c r="L9" s="18" t="n">
        <f aca="false">INDEX('All Items'!$Q:$Q,MATCH($A9,'All Items'!$A:$A,0))</f>
        <v>10</v>
      </c>
      <c r="M9" s="8" t="s">
        <v>297</v>
      </c>
      <c r="N9" s="8" t="s">
        <v>253</v>
      </c>
      <c r="O9" s="8" t="s">
        <v>298</v>
      </c>
      <c r="P9" s="8" t="s">
        <v>299</v>
      </c>
      <c r="Q9" s="8" t="s">
        <v>300</v>
      </c>
      <c r="R9" s="8" t="s">
        <v>213</v>
      </c>
      <c r="S9" s="19" t="s">
        <v>301</v>
      </c>
      <c r="T9" s="8" t="s">
        <v>302</v>
      </c>
      <c r="U9" s="8" t="s">
        <v>213</v>
      </c>
      <c r="V9" s="8" t="n">
        <f aca="false">COUNTA(M9:R9)</f>
        <v>6</v>
      </c>
      <c r="W9" s="8" t="s">
        <v>218</v>
      </c>
      <c r="X9" s="8" t="s">
        <v>218</v>
      </c>
      <c r="Y9" s="8" t="s">
        <v>218</v>
      </c>
      <c r="Z9" s="8"/>
      <c r="AA9" s="8" t="s">
        <v>303</v>
      </c>
      <c r="AB9" s="20"/>
      <c r="AC9" s="20"/>
      <c r="AD9" s="20"/>
      <c r="AE9" s="8" t="s">
        <v>237</v>
      </c>
      <c r="AF9" s="8" t="s">
        <v>224</v>
      </c>
    </row>
    <row r="10" customFormat="false" ht="15" hidden="false" customHeight="false" outlineLevel="0" collapsed="false">
      <c r="A10" s="8" t="s">
        <v>304</v>
      </c>
      <c r="B10" s="8" t="s">
        <v>305</v>
      </c>
      <c r="C10" s="8"/>
      <c r="D10" s="8" t="s">
        <v>206</v>
      </c>
      <c r="E10" s="8" t="s">
        <v>110</v>
      </c>
      <c r="F10" s="8" t="s">
        <v>70</v>
      </c>
      <c r="G10" s="8" t="s">
        <v>207</v>
      </c>
      <c r="H10" s="8" t="s">
        <v>79</v>
      </c>
      <c r="I10" s="8" t="s">
        <v>208</v>
      </c>
      <c r="J10" s="8" t="n">
        <v>2</v>
      </c>
      <c r="K10" s="8" t="n">
        <v>3</v>
      </c>
      <c r="L10" s="18" t="n">
        <f aca="false">INDEX('All Items'!$Q:$Q,MATCH($A10,'All Items'!$A:$A,0))</f>
        <v>7.4</v>
      </c>
      <c r="M10" s="8" t="s">
        <v>306</v>
      </c>
      <c r="N10" s="8" t="s">
        <v>307</v>
      </c>
      <c r="O10" s="8" t="s">
        <v>308</v>
      </c>
      <c r="P10" s="8" t="s">
        <v>309</v>
      </c>
      <c r="Q10" s="8" t="s">
        <v>310</v>
      </c>
      <c r="R10" s="8" t="s">
        <v>311</v>
      </c>
      <c r="S10" s="19" t="s">
        <v>312</v>
      </c>
      <c r="T10" s="8" t="s">
        <v>313</v>
      </c>
      <c r="U10" s="8" t="s">
        <v>311</v>
      </c>
      <c r="V10" s="8" t="n">
        <f aca="false">COUNTA(M10:R10)</f>
        <v>6</v>
      </c>
      <c r="W10" s="8" t="s">
        <v>259</v>
      </c>
      <c r="X10" s="8" t="s">
        <v>218</v>
      </c>
      <c r="Y10" s="8" t="s">
        <v>218</v>
      </c>
      <c r="Z10" s="8"/>
      <c r="AA10" s="8" t="s">
        <v>314</v>
      </c>
      <c r="AB10" s="20"/>
      <c r="AC10" s="20"/>
      <c r="AD10" s="20"/>
      <c r="AE10" s="8" t="s">
        <v>237</v>
      </c>
      <c r="AF10" s="8" t="s">
        <v>224</v>
      </c>
    </row>
    <row r="11" customFormat="false" ht="15" hidden="false" customHeight="false" outlineLevel="0" collapsed="false">
      <c r="A11" s="8" t="s">
        <v>315</v>
      </c>
      <c r="B11" s="8" t="s">
        <v>316</v>
      </c>
      <c r="C11" s="8"/>
      <c r="D11" s="8" t="s">
        <v>206</v>
      </c>
      <c r="E11" s="8" t="s">
        <v>110</v>
      </c>
      <c r="F11" s="8" t="s">
        <v>70</v>
      </c>
      <c r="G11" s="8" t="s">
        <v>207</v>
      </c>
      <c r="H11" s="8" t="s">
        <v>82</v>
      </c>
      <c r="I11" s="8" t="s">
        <v>227</v>
      </c>
      <c r="J11" s="8" t="n">
        <v>1</v>
      </c>
      <c r="K11" s="8" t="n">
        <v>5</v>
      </c>
      <c r="L11" s="18" t="n">
        <f aca="false">INDEX('All Items'!$Q:$Q,MATCH($A11,'All Items'!$A:$A,0))</f>
        <v>9</v>
      </c>
      <c r="M11" s="8" t="s">
        <v>251</v>
      </c>
      <c r="N11" s="8" t="s">
        <v>254</v>
      </c>
      <c r="O11" s="8" t="s">
        <v>317</v>
      </c>
      <c r="P11" s="8" t="s">
        <v>318</v>
      </c>
      <c r="Q11" s="8" t="s">
        <v>319</v>
      </c>
      <c r="R11" s="8"/>
      <c r="S11" s="19" t="s">
        <v>320</v>
      </c>
      <c r="T11" s="8" t="s">
        <v>251</v>
      </c>
      <c r="U11" s="8"/>
      <c r="V11" s="8" t="n">
        <f aca="false">COUNTA(M11:R11)</f>
        <v>5</v>
      </c>
      <c r="W11" s="8" t="s">
        <v>218</v>
      </c>
      <c r="X11" s="8" t="s">
        <v>218</v>
      </c>
      <c r="Y11" s="8" t="s">
        <v>218</v>
      </c>
      <c r="Z11" s="8"/>
      <c r="AA11" s="8" t="s">
        <v>321</v>
      </c>
      <c r="AB11" s="20"/>
      <c r="AC11" s="20"/>
      <c r="AD11" s="20"/>
      <c r="AE11" s="8" t="s">
        <v>237</v>
      </c>
      <c r="AF11" s="8" t="s">
        <v>224</v>
      </c>
    </row>
    <row r="12" customFormat="false" ht="15" hidden="false" customHeight="false" outlineLevel="0" collapsed="false">
      <c r="A12" s="8" t="s">
        <v>322</v>
      </c>
      <c r="B12" s="8" t="s">
        <v>323</v>
      </c>
      <c r="C12" s="8"/>
      <c r="D12" s="8" t="s">
        <v>206</v>
      </c>
      <c r="E12" s="8" t="s">
        <v>110</v>
      </c>
      <c r="F12" s="8" t="s">
        <v>70</v>
      </c>
      <c r="G12" s="8" t="s">
        <v>207</v>
      </c>
      <c r="H12" s="8" t="s">
        <v>78</v>
      </c>
      <c r="I12" s="8" t="s">
        <v>227</v>
      </c>
      <c r="J12" s="8" t="n">
        <v>1</v>
      </c>
      <c r="K12" s="8" t="n">
        <v>4</v>
      </c>
      <c r="L12" s="18" t="n">
        <f aca="false">INDEX('All Items'!$Q:$Q,MATCH($A12,'All Items'!$A:$A,0))</f>
        <v>8.45</v>
      </c>
      <c r="M12" s="8" t="s">
        <v>324</v>
      </c>
      <c r="N12" s="8" t="s">
        <v>325</v>
      </c>
      <c r="O12" s="8" t="s">
        <v>307</v>
      </c>
      <c r="P12" s="8" t="s">
        <v>326</v>
      </c>
      <c r="Q12" s="8" t="s">
        <v>327</v>
      </c>
      <c r="R12" s="8" t="s">
        <v>328</v>
      </c>
      <c r="S12" s="19" t="s">
        <v>329</v>
      </c>
      <c r="T12" s="8" t="s">
        <v>330</v>
      </c>
      <c r="U12" s="8"/>
      <c r="V12" s="8" t="n">
        <f aca="false">COUNTA(M12:R12)</f>
        <v>6</v>
      </c>
      <c r="W12" s="8" t="s">
        <v>218</v>
      </c>
      <c r="X12" s="8" t="s">
        <v>218</v>
      </c>
      <c r="Y12" s="8" t="s">
        <v>218</v>
      </c>
      <c r="Z12" s="8"/>
      <c r="AA12" s="8" t="s">
        <v>331</v>
      </c>
      <c r="AB12" s="20"/>
      <c r="AC12" s="20"/>
      <c r="AD12" s="20"/>
      <c r="AE12" s="8" t="s">
        <v>237</v>
      </c>
      <c r="AF12" s="8" t="s">
        <v>224</v>
      </c>
    </row>
    <row r="13" customFormat="false" ht="15" hidden="false" customHeight="false" outlineLevel="0" collapsed="false">
      <c r="A13" s="8" t="s">
        <v>332</v>
      </c>
      <c r="B13" s="8" t="s">
        <v>333</v>
      </c>
      <c r="C13" s="8"/>
      <c r="D13" s="8" t="s">
        <v>206</v>
      </c>
      <c r="E13" s="8" t="s">
        <v>108</v>
      </c>
      <c r="F13" s="8" t="s">
        <v>70</v>
      </c>
      <c r="G13" s="8" t="s">
        <v>207</v>
      </c>
      <c r="H13" s="8" t="s">
        <v>78</v>
      </c>
      <c r="I13" s="8" t="s">
        <v>227</v>
      </c>
      <c r="J13" s="8" t="n">
        <v>1</v>
      </c>
      <c r="K13" s="8" t="n">
        <v>5</v>
      </c>
      <c r="L13" s="18" t="n">
        <f aca="false">INDEX('All Items'!$Q:$Q,MATCH($A13,'All Items'!$A:$A,0))</f>
        <v>10</v>
      </c>
      <c r="M13" s="8" t="s">
        <v>209</v>
      </c>
      <c r="N13" s="8" t="s">
        <v>334</v>
      </c>
      <c r="O13" s="8" t="s">
        <v>335</v>
      </c>
      <c r="P13" s="8" t="s">
        <v>336</v>
      </c>
      <c r="Q13" s="8" t="s">
        <v>289</v>
      </c>
      <c r="R13" s="8" t="s">
        <v>214</v>
      </c>
      <c r="S13" s="19" t="s">
        <v>337</v>
      </c>
      <c r="T13" s="8" t="s">
        <v>338</v>
      </c>
      <c r="U13" s="8" t="s">
        <v>339</v>
      </c>
      <c r="V13" s="8" t="n">
        <f aca="false">COUNTA(M13:R13)</f>
        <v>6</v>
      </c>
      <c r="W13" s="8" t="s">
        <v>218</v>
      </c>
      <c r="X13" s="8" t="s">
        <v>218</v>
      </c>
      <c r="Y13" s="8" t="s">
        <v>218</v>
      </c>
      <c r="Z13" s="8"/>
      <c r="AA13" s="8" t="s">
        <v>340</v>
      </c>
      <c r="AB13" s="20" t="s">
        <v>341</v>
      </c>
      <c r="AC13" s="20" t="s">
        <v>221</v>
      </c>
      <c r="AD13" s="20" t="s">
        <v>342</v>
      </c>
      <c r="AE13" s="8" t="s">
        <v>223</v>
      </c>
      <c r="AF13" s="8" t="s">
        <v>224</v>
      </c>
    </row>
    <row r="14" customFormat="false" ht="15" hidden="false" customHeight="false" outlineLevel="0" collapsed="false">
      <c r="A14" s="8" t="s">
        <v>343</v>
      </c>
      <c r="B14" s="8" t="s">
        <v>344</v>
      </c>
      <c r="C14" s="8"/>
      <c r="D14" s="8" t="s">
        <v>206</v>
      </c>
      <c r="E14" s="8" t="s">
        <v>108</v>
      </c>
      <c r="F14" s="8" t="s">
        <v>70</v>
      </c>
      <c r="G14" s="8" t="s">
        <v>207</v>
      </c>
      <c r="H14" s="8" t="s">
        <v>78</v>
      </c>
      <c r="I14" s="8" t="s">
        <v>227</v>
      </c>
      <c r="J14" s="8" t="n">
        <v>1</v>
      </c>
      <c r="K14" s="8" t="n">
        <v>4</v>
      </c>
      <c r="L14" s="18" t="n">
        <f aca="false">INDEX('All Items'!$Q:$Q,MATCH($A14,'All Items'!$A:$A,0))</f>
        <v>8.7</v>
      </c>
      <c r="M14" s="8" t="s">
        <v>345</v>
      </c>
      <c r="N14" s="8" t="s">
        <v>346</v>
      </c>
      <c r="O14" s="8" t="s">
        <v>347</v>
      </c>
      <c r="P14" s="8" t="s">
        <v>348</v>
      </c>
      <c r="Q14" s="8" t="s">
        <v>349</v>
      </c>
      <c r="R14" s="8" t="s">
        <v>289</v>
      </c>
      <c r="S14" s="19" t="s">
        <v>350</v>
      </c>
      <c r="T14" s="8" t="s">
        <v>351</v>
      </c>
      <c r="U14" s="8" t="s">
        <v>289</v>
      </c>
      <c r="V14" s="8" t="n">
        <f aca="false">COUNTA(M14:R14)</f>
        <v>6</v>
      </c>
      <c r="W14" s="8" t="s">
        <v>218</v>
      </c>
      <c r="X14" s="8" t="s">
        <v>218</v>
      </c>
      <c r="Y14" s="8" t="s">
        <v>218</v>
      </c>
      <c r="Z14" s="8"/>
      <c r="AA14" s="8" t="s">
        <v>352</v>
      </c>
      <c r="AB14" s="20"/>
      <c r="AC14" s="20"/>
      <c r="AD14" s="20"/>
      <c r="AE14" s="8" t="s">
        <v>237</v>
      </c>
      <c r="AF14" s="8" t="s">
        <v>224</v>
      </c>
    </row>
    <row r="15" customFormat="false" ht="15" hidden="false" customHeight="false" outlineLevel="0" collapsed="false">
      <c r="A15" s="8" t="s">
        <v>353</v>
      </c>
      <c r="B15" s="8" t="s">
        <v>354</v>
      </c>
      <c r="C15" s="8"/>
      <c r="D15" s="8" t="s">
        <v>206</v>
      </c>
      <c r="E15" s="8" t="s">
        <v>110</v>
      </c>
      <c r="F15" s="8" t="s">
        <v>70</v>
      </c>
      <c r="G15" s="8" t="s">
        <v>207</v>
      </c>
      <c r="H15" s="8" t="s">
        <v>78</v>
      </c>
      <c r="I15" s="8" t="s">
        <v>227</v>
      </c>
      <c r="J15" s="8" t="n">
        <v>1</v>
      </c>
      <c r="K15" s="8" t="n">
        <v>4</v>
      </c>
      <c r="L15" s="18" t="n">
        <f aca="false">INDEX('All Items'!$Q:$Q,MATCH($A15,'All Items'!$A:$A,0))</f>
        <v>8.7</v>
      </c>
      <c r="M15" s="8" t="s">
        <v>355</v>
      </c>
      <c r="N15" s="8" t="s">
        <v>356</v>
      </c>
      <c r="O15" s="8" t="s">
        <v>357</v>
      </c>
      <c r="P15" s="8" t="s">
        <v>358</v>
      </c>
      <c r="Q15" s="8" t="s">
        <v>289</v>
      </c>
      <c r="R15" s="8" t="s">
        <v>359</v>
      </c>
      <c r="S15" s="19" t="s">
        <v>360</v>
      </c>
      <c r="T15" s="8" t="s">
        <v>361</v>
      </c>
      <c r="U15" s="8" t="s">
        <v>362</v>
      </c>
      <c r="V15" s="8" t="n">
        <f aca="false">COUNTA(M15:R15)</f>
        <v>6</v>
      </c>
      <c r="W15" s="8" t="s">
        <v>218</v>
      </c>
      <c r="X15" s="8" t="s">
        <v>218</v>
      </c>
      <c r="Y15" s="8" t="s">
        <v>218</v>
      </c>
      <c r="Z15" s="8"/>
      <c r="AA15" s="8" t="s">
        <v>363</v>
      </c>
      <c r="AB15" s="20"/>
      <c r="AC15" s="20"/>
      <c r="AD15" s="20"/>
      <c r="AE15" s="8" t="s">
        <v>237</v>
      </c>
      <c r="AF15" s="8" t="s">
        <v>224</v>
      </c>
    </row>
    <row r="16" customFormat="false" ht="15" hidden="false" customHeight="false" outlineLevel="0" collapsed="false">
      <c r="A16" s="8" t="s">
        <v>364</v>
      </c>
      <c r="B16" s="8" t="s">
        <v>365</v>
      </c>
      <c r="C16" s="8"/>
      <c r="D16" s="8" t="s">
        <v>206</v>
      </c>
      <c r="E16" s="8" t="s">
        <v>108</v>
      </c>
      <c r="F16" s="8" t="s">
        <v>70</v>
      </c>
      <c r="G16" s="8" t="s">
        <v>207</v>
      </c>
      <c r="H16" s="8" t="s">
        <v>78</v>
      </c>
      <c r="I16" s="8" t="s">
        <v>227</v>
      </c>
      <c r="J16" s="8" t="n">
        <v>1</v>
      </c>
      <c r="K16" s="8" t="n">
        <v>5</v>
      </c>
      <c r="L16" s="18" t="n">
        <f aca="false">INDEX('All Items'!$Q:$Q,MATCH($A16,'All Items'!$A:$A,0))</f>
        <v>10</v>
      </c>
      <c r="M16" s="8" t="s">
        <v>346</v>
      </c>
      <c r="N16" s="8" t="s">
        <v>366</v>
      </c>
      <c r="O16" s="8" t="s">
        <v>367</v>
      </c>
      <c r="P16" s="8" t="s">
        <v>368</v>
      </c>
      <c r="Q16" s="8" t="s">
        <v>369</v>
      </c>
      <c r="R16" s="8" t="s">
        <v>370</v>
      </c>
      <c r="S16" s="19" t="s">
        <v>371</v>
      </c>
      <c r="T16" s="8" t="s">
        <v>372</v>
      </c>
      <c r="U16" s="8"/>
      <c r="V16" s="8" t="n">
        <f aca="false">COUNTA(M16:R16)</f>
        <v>6</v>
      </c>
      <c r="W16" s="8" t="s">
        <v>218</v>
      </c>
      <c r="X16" s="8" t="s">
        <v>218</v>
      </c>
      <c r="Y16" s="8" t="s">
        <v>218</v>
      </c>
      <c r="Z16" s="8"/>
      <c r="AA16" s="8" t="s">
        <v>373</v>
      </c>
      <c r="AB16" s="20"/>
      <c r="AC16" s="20"/>
      <c r="AD16" s="20"/>
      <c r="AE16" s="8" t="s">
        <v>237</v>
      </c>
      <c r="AF16" s="8" t="s">
        <v>224</v>
      </c>
    </row>
    <row r="17" customFormat="false" ht="15" hidden="false" customHeight="false" outlineLevel="0" collapsed="false">
      <c r="A17" s="8" t="s">
        <v>374</v>
      </c>
      <c r="B17" s="8" t="s">
        <v>375</v>
      </c>
      <c r="C17" s="8"/>
      <c r="D17" s="8" t="s">
        <v>206</v>
      </c>
      <c r="E17" s="8" t="s">
        <v>110</v>
      </c>
      <c r="F17" s="8" t="s">
        <v>70</v>
      </c>
      <c r="G17" s="8" t="s">
        <v>207</v>
      </c>
      <c r="H17" s="8" t="s">
        <v>78</v>
      </c>
      <c r="I17" s="8" t="s">
        <v>208</v>
      </c>
      <c r="J17" s="8" t="n">
        <v>1</v>
      </c>
      <c r="K17" s="8" t="n">
        <v>5</v>
      </c>
      <c r="L17" s="18" t="n">
        <f aca="false">INDEX('All Items'!$Q:$Q,MATCH($A17,'All Items'!$A:$A,0))</f>
        <v>9.75</v>
      </c>
      <c r="M17" s="8" t="s">
        <v>345</v>
      </c>
      <c r="N17" s="8" t="s">
        <v>274</v>
      </c>
      <c r="O17" s="8" t="s">
        <v>324</v>
      </c>
      <c r="P17" s="8" t="s">
        <v>376</v>
      </c>
      <c r="Q17" s="8" t="s">
        <v>377</v>
      </c>
      <c r="R17" s="8" t="s">
        <v>378</v>
      </c>
      <c r="S17" s="19" t="s">
        <v>379</v>
      </c>
      <c r="T17" s="8" t="s">
        <v>380</v>
      </c>
      <c r="U17" s="8" t="s">
        <v>378</v>
      </c>
      <c r="V17" s="8" t="n">
        <f aca="false">COUNTA(M17:R17)</f>
        <v>6</v>
      </c>
      <c r="W17" s="8" t="s">
        <v>218</v>
      </c>
      <c r="X17" s="8" t="s">
        <v>218</v>
      </c>
      <c r="Y17" s="8" t="s">
        <v>259</v>
      </c>
      <c r="Z17" s="8" t="s">
        <v>381</v>
      </c>
      <c r="AA17" s="8" t="s">
        <v>382</v>
      </c>
      <c r="AB17" s="20" t="s">
        <v>383</v>
      </c>
      <c r="AC17" s="20" t="s">
        <v>384</v>
      </c>
      <c r="AD17" s="20" t="s">
        <v>385</v>
      </c>
      <c r="AE17" s="8" t="s">
        <v>223</v>
      </c>
      <c r="AF17" s="8" t="s">
        <v>224</v>
      </c>
    </row>
    <row r="18" customFormat="false" ht="15" hidden="false" customHeight="false" outlineLevel="0" collapsed="false">
      <c r="A18" s="8" t="s">
        <v>386</v>
      </c>
      <c r="B18" s="8" t="s">
        <v>387</v>
      </c>
      <c r="C18" s="8"/>
      <c r="D18" s="8" t="s">
        <v>206</v>
      </c>
      <c r="E18" s="8" t="s">
        <v>108</v>
      </c>
      <c r="F18" s="8" t="s">
        <v>70</v>
      </c>
      <c r="G18" s="8" t="s">
        <v>207</v>
      </c>
      <c r="H18" s="8" t="s">
        <v>79</v>
      </c>
      <c r="I18" s="8" t="s">
        <v>208</v>
      </c>
      <c r="J18" s="8" t="n">
        <v>1</v>
      </c>
      <c r="K18" s="8" t="n">
        <v>4</v>
      </c>
      <c r="L18" s="18" t="n">
        <f aca="false">INDEX('All Items'!$Q:$Q,MATCH($A18,'All Items'!$A:$A,0))</f>
        <v>8.2</v>
      </c>
      <c r="M18" s="8" t="s">
        <v>388</v>
      </c>
      <c r="N18" s="8" t="s">
        <v>285</v>
      </c>
      <c r="O18" s="8" t="s">
        <v>389</v>
      </c>
      <c r="P18" s="8" t="s">
        <v>390</v>
      </c>
      <c r="Q18" s="8" t="s">
        <v>391</v>
      </c>
      <c r="R18" s="8" t="s">
        <v>392</v>
      </c>
      <c r="S18" s="19" t="s">
        <v>393</v>
      </c>
      <c r="T18" s="8" t="s">
        <v>394</v>
      </c>
      <c r="U18" s="8"/>
      <c r="V18" s="8" t="n">
        <f aca="false">COUNTA(M18:R18)</f>
        <v>6</v>
      </c>
      <c r="W18" s="8" t="s">
        <v>218</v>
      </c>
      <c r="X18" s="8" t="s">
        <v>218</v>
      </c>
      <c r="Y18" s="8" t="s">
        <v>218</v>
      </c>
      <c r="Z18" s="8"/>
      <c r="AA18" s="8" t="s">
        <v>395</v>
      </c>
      <c r="AB18" s="20" t="s">
        <v>396</v>
      </c>
      <c r="AC18" s="20" t="s">
        <v>384</v>
      </c>
      <c r="AD18" s="20" t="s">
        <v>397</v>
      </c>
      <c r="AE18" s="8" t="s">
        <v>223</v>
      </c>
      <c r="AF18" s="8" t="s">
        <v>224</v>
      </c>
    </row>
    <row r="19" customFormat="false" ht="15" hidden="false" customHeight="false" outlineLevel="0" collapsed="false">
      <c r="A19" s="8" t="s">
        <v>398</v>
      </c>
      <c r="B19" s="8" t="s">
        <v>399</v>
      </c>
      <c r="C19" s="8"/>
      <c r="D19" s="8" t="s">
        <v>206</v>
      </c>
      <c r="E19" s="8" t="s">
        <v>108</v>
      </c>
      <c r="F19" s="8" t="s">
        <v>70</v>
      </c>
      <c r="G19" s="8" t="s">
        <v>207</v>
      </c>
      <c r="H19" s="8" t="s">
        <v>78</v>
      </c>
      <c r="I19" s="8" t="s">
        <v>208</v>
      </c>
      <c r="J19" s="8" t="n">
        <v>1</v>
      </c>
      <c r="K19" s="8" t="n">
        <v>4</v>
      </c>
      <c r="L19" s="18" t="n">
        <f aca="false">INDEX('All Items'!$Q:$Q,MATCH($A19,'All Items'!$A:$A,0))</f>
        <v>8.7</v>
      </c>
      <c r="M19" s="8" t="s">
        <v>400</v>
      </c>
      <c r="N19" s="8" t="s">
        <v>401</v>
      </c>
      <c r="O19" s="8" t="s">
        <v>402</v>
      </c>
      <c r="P19" s="8" t="s">
        <v>403</v>
      </c>
      <c r="Q19" s="8" t="s">
        <v>404</v>
      </c>
      <c r="R19" s="8" t="s">
        <v>405</v>
      </c>
      <c r="S19" s="19" t="s">
        <v>406</v>
      </c>
      <c r="T19" s="8" t="s">
        <v>407</v>
      </c>
      <c r="U19" s="8" t="s">
        <v>405</v>
      </c>
      <c r="V19" s="8" t="n">
        <f aca="false">COUNTA(M19:R19)</f>
        <v>6</v>
      </c>
      <c r="W19" s="8" t="s">
        <v>218</v>
      </c>
      <c r="X19" s="8" t="s">
        <v>218</v>
      </c>
      <c r="Y19" s="8" t="s">
        <v>218</v>
      </c>
      <c r="Z19" s="8"/>
      <c r="AA19" s="8" t="s">
        <v>408</v>
      </c>
      <c r="AB19" s="20"/>
      <c r="AC19" s="20"/>
      <c r="AD19" s="20"/>
      <c r="AE19" s="8" t="s">
        <v>237</v>
      </c>
      <c r="AF19" s="8" t="s">
        <v>224</v>
      </c>
    </row>
    <row r="20" customFormat="false" ht="15" hidden="false" customHeight="false" outlineLevel="0" collapsed="false">
      <c r="A20" s="8" t="s">
        <v>409</v>
      </c>
      <c r="B20" s="8" t="s">
        <v>410</v>
      </c>
      <c r="C20" s="8"/>
      <c r="D20" s="8" t="s">
        <v>206</v>
      </c>
      <c r="E20" s="8" t="s">
        <v>108</v>
      </c>
      <c r="F20" s="8" t="s">
        <v>70</v>
      </c>
      <c r="G20" s="8" t="s">
        <v>207</v>
      </c>
      <c r="H20" s="8" t="s">
        <v>81</v>
      </c>
      <c r="I20" s="8" t="s">
        <v>227</v>
      </c>
      <c r="J20" s="8" t="n">
        <v>1</v>
      </c>
      <c r="K20" s="8" t="n">
        <v>5</v>
      </c>
      <c r="L20" s="18" t="n">
        <f aca="false">INDEX('All Items'!$Q:$Q,MATCH($A20,'All Items'!$A:$A,0))</f>
        <v>10</v>
      </c>
      <c r="M20" s="8" t="s">
        <v>411</v>
      </c>
      <c r="N20" s="8" t="s">
        <v>412</v>
      </c>
      <c r="O20" s="8" t="s">
        <v>413</v>
      </c>
      <c r="P20" s="8" t="s">
        <v>414</v>
      </c>
      <c r="Q20" s="8" t="s">
        <v>415</v>
      </c>
      <c r="R20" s="8" t="s">
        <v>416</v>
      </c>
      <c r="S20" s="19" t="s">
        <v>417</v>
      </c>
      <c r="T20" s="8" t="s">
        <v>418</v>
      </c>
      <c r="U20" s="8"/>
      <c r="V20" s="8" t="n">
        <f aca="false">COUNTA(M20:R20)</f>
        <v>6</v>
      </c>
      <c r="W20" s="8" t="s">
        <v>218</v>
      </c>
      <c r="X20" s="8" t="s">
        <v>218</v>
      </c>
      <c r="Y20" s="8" t="s">
        <v>218</v>
      </c>
      <c r="Z20" s="8"/>
      <c r="AA20" s="8" t="s">
        <v>419</v>
      </c>
      <c r="AB20" s="20"/>
      <c r="AC20" s="20"/>
      <c r="AD20" s="20"/>
      <c r="AE20" s="8" t="s">
        <v>237</v>
      </c>
      <c r="AF20" s="8" t="s">
        <v>224</v>
      </c>
    </row>
    <row r="21" customFormat="false" ht="15" hidden="false" customHeight="false" outlineLevel="0" collapsed="false">
      <c r="A21" s="8" t="s">
        <v>420</v>
      </c>
      <c r="B21" s="8" t="s">
        <v>421</v>
      </c>
      <c r="C21" s="8"/>
      <c r="D21" s="8" t="s">
        <v>206</v>
      </c>
      <c r="E21" s="8" t="s">
        <v>108</v>
      </c>
      <c r="F21" s="8" t="s">
        <v>70</v>
      </c>
      <c r="G21" s="8" t="s">
        <v>207</v>
      </c>
      <c r="H21" s="8" t="s">
        <v>81</v>
      </c>
      <c r="I21" s="8" t="s">
        <v>227</v>
      </c>
      <c r="J21" s="8" t="n">
        <v>1</v>
      </c>
      <c r="K21" s="8" t="n">
        <v>4</v>
      </c>
      <c r="L21" s="18" t="n">
        <f aca="false">INDEX('All Items'!$Q:$Q,MATCH($A21,'All Items'!$A:$A,0))</f>
        <v>8.7</v>
      </c>
      <c r="M21" s="8" t="s">
        <v>411</v>
      </c>
      <c r="N21" s="8" t="s">
        <v>422</v>
      </c>
      <c r="O21" s="8" t="s">
        <v>415</v>
      </c>
      <c r="P21" s="8" t="s">
        <v>423</v>
      </c>
      <c r="Q21" s="8" t="s">
        <v>424</v>
      </c>
      <c r="R21" s="8" t="s">
        <v>425</v>
      </c>
      <c r="S21" s="19" t="s">
        <v>426</v>
      </c>
      <c r="T21" s="8" t="s">
        <v>427</v>
      </c>
      <c r="U21" s="8" t="s">
        <v>428</v>
      </c>
      <c r="V21" s="8" t="n">
        <f aca="false">COUNTA(M21:R21)</f>
        <v>6</v>
      </c>
      <c r="W21" s="8" t="s">
        <v>218</v>
      </c>
      <c r="X21" s="8" t="s">
        <v>218</v>
      </c>
      <c r="Y21" s="8" t="s">
        <v>218</v>
      </c>
      <c r="Z21" s="8"/>
      <c r="AA21" s="8" t="s">
        <v>429</v>
      </c>
      <c r="AB21" s="20"/>
      <c r="AC21" s="20"/>
      <c r="AD21" s="20"/>
      <c r="AE21" s="8" t="s">
        <v>237</v>
      </c>
      <c r="AF21" s="8" t="s">
        <v>224</v>
      </c>
    </row>
    <row r="22" customFormat="false" ht="15" hidden="false" customHeight="false" outlineLevel="0" collapsed="false">
      <c r="A22" s="8" t="s">
        <v>430</v>
      </c>
      <c r="B22" s="8" t="s">
        <v>431</v>
      </c>
      <c r="C22" s="8"/>
      <c r="D22" s="8" t="s">
        <v>206</v>
      </c>
      <c r="E22" s="8" t="s">
        <v>108</v>
      </c>
      <c r="F22" s="8" t="s">
        <v>70</v>
      </c>
      <c r="G22" s="8" t="s">
        <v>207</v>
      </c>
      <c r="H22" s="8" t="s">
        <v>81</v>
      </c>
      <c r="I22" s="8" t="s">
        <v>227</v>
      </c>
      <c r="J22" s="8" t="n">
        <v>1</v>
      </c>
      <c r="K22" s="8" t="n">
        <v>4</v>
      </c>
      <c r="L22" s="18" t="n">
        <f aca="false">INDEX('All Items'!$Q:$Q,MATCH($A22,'All Items'!$A:$A,0))</f>
        <v>8.7</v>
      </c>
      <c r="M22" s="8" t="s">
        <v>411</v>
      </c>
      <c r="N22" s="8" t="s">
        <v>432</v>
      </c>
      <c r="O22" s="8" t="s">
        <v>433</v>
      </c>
      <c r="P22" s="8" t="s">
        <v>434</v>
      </c>
      <c r="Q22" s="8" t="s">
        <v>435</v>
      </c>
      <c r="R22" s="8" t="s">
        <v>436</v>
      </c>
      <c r="S22" s="19" t="s">
        <v>437</v>
      </c>
      <c r="T22" s="8" t="s">
        <v>438</v>
      </c>
      <c r="U22" s="8"/>
      <c r="V22" s="8" t="n">
        <f aca="false">COUNTA(M22:R22)</f>
        <v>6</v>
      </c>
      <c r="W22" s="8" t="s">
        <v>218</v>
      </c>
      <c r="X22" s="8" t="s">
        <v>218</v>
      </c>
      <c r="Y22" s="8" t="s">
        <v>218</v>
      </c>
      <c r="Z22" s="8"/>
      <c r="AA22" s="8" t="s">
        <v>439</v>
      </c>
      <c r="AB22" s="20"/>
      <c r="AC22" s="20"/>
      <c r="AD22" s="20"/>
      <c r="AE22" s="8" t="s">
        <v>237</v>
      </c>
      <c r="AF22" s="8" t="s">
        <v>224</v>
      </c>
    </row>
    <row r="23" customFormat="false" ht="15" hidden="false" customHeight="false" outlineLevel="0" collapsed="false">
      <c r="A23" s="8" t="s">
        <v>440</v>
      </c>
      <c r="B23" s="8" t="s">
        <v>441</v>
      </c>
      <c r="C23" s="8"/>
      <c r="D23" s="8" t="s">
        <v>206</v>
      </c>
      <c r="E23" s="8" t="s">
        <v>108</v>
      </c>
      <c r="F23" s="8" t="s">
        <v>70</v>
      </c>
      <c r="G23" s="8" t="s">
        <v>207</v>
      </c>
      <c r="H23" s="8" t="s">
        <v>81</v>
      </c>
      <c r="I23" s="8" t="s">
        <v>273</v>
      </c>
      <c r="J23" s="8" t="n">
        <v>2</v>
      </c>
      <c r="K23" s="8" t="n">
        <v>3</v>
      </c>
      <c r="L23" s="18" t="n">
        <f aca="false">INDEX('All Items'!$Q:$Q,MATCH($A23,'All Items'!$A:$A,0))</f>
        <v>7.15</v>
      </c>
      <c r="M23" s="8" t="s">
        <v>442</v>
      </c>
      <c r="N23" s="8" t="s">
        <v>229</v>
      </c>
      <c r="O23" s="8" t="s">
        <v>443</v>
      </c>
      <c r="P23" s="8" t="s">
        <v>444</v>
      </c>
      <c r="Q23" s="8" t="s">
        <v>445</v>
      </c>
      <c r="R23" s="8" t="s">
        <v>446</v>
      </c>
      <c r="S23" s="19" t="s">
        <v>447</v>
      </c>
      <c r="T23" s="8" t="s">
        <v>448</v>
      </c>
      <c r="U23" s="8"/>
      <c r="V23" s="8" t="n">
        <f aca="false">COUNTA(M23:R23)</f>
        <v>6</v>
      </c>
      <c r="W23" s="8" t="s">
        <v>259</v>
      </c>
      <c r="X23" s="8" t="s">
        <v>218</v>
      </c>
      <c r="Y23" s="8" t="s">
        <v>218</v>
      </c>
      <c r="Z23" s="8"/>
      <c r="AA23" s="8" t="s">
        <v>449</v>
      </c>
      <c r="AB23" s="20"/>
      <c r="AC23" s="20"/>
      <c r="AD23" s="20"/>
      <c r="AE23" s="8" t="s">
        <v>237</v>
      </c>
      <c r="AF23" s="8" t="s">
        <v>224</v>
      </c>
    </row>
    <row r="24" customFormat="false" ht="15" hidden="false" customHeight="false" outlineLevel="0" collapsed="false">
      <c r="A24" s="8" t="s">
        <v>450</v>
      </c>
      <c r="B24" s="8" t="s">
        <v>451</v>
      </c>
      <c r="C24" s="8"/>
      <c r="D24" s="8" t="s">
        <v>206</v>
      </c>
      <c r="E24" s="8" t="s">
        <v>108</v>
      </c>
      <c r="F24" s="8" t="s">
        <v>70</v>
      </c>
      <c r="G24" s="8" t="s">
        <v>207</v>
      </c>
      <c r="H24" s="8" t="s">
        <v>84</v>
      </c>
      <c r="I24" s="8" t="s">
        <v>227</v>
      </c>
      <c r="J24" s="8" t="n">
        <v>1</v>
      </c>
      <c r="K24" s="8" t="n">
        <v>5</v>
      </c>
      <c r="L24" s="18" t="n">
        <f aca="false">INDEX('All Items'!$Q:$Q,MATCH($A24,'All Items'!$A:$A,0))</f>
        <v>9.25</v>
      </c>
      <c r="M24" s="8" t="s">
        <v>347</v>
      </c>
      <c r="N24" s="8" t="s">
        <v>452</v>
      </c>
      <c r="O24" s="8" t="s">
        <v>453</v>
      </c>
      <c r="P24" s="8" t="s">
        <v>454</v>
      </c>
      <c r="Q24" s="8" t="s">
        <v>455</v>
      </c>
      <c r="R24" s="8"/>
      <c r="S24" s="19" t="s">
        <v>456</v>
      </c>
      <c r="T24" s="8" t="s">
        <v>347</v>
      </c>
      <c r="U24" s="8"/>
      <c r="V24" s="8" t="n">
        <f aca="false">COUNTA(M24:R24)</f>
        <v>5</v>
      </c>
      <c r="W24" s="8" t="s">
        <v>218</v>
      </c>
      <c r="X24" s="8" t="s">
        <v>218</v>
      </c>
      <c r="Y24" s="8" t="s">
        <v>259</v>
      </c>
      <c r="Z24" s="8" t="s">
        <v>457</v>
      </c>
      <c r="AA24" s="8" t="s">
        <v>458</v>
      </c>
      <c r="AB24" s="20" t="s">
        <v>459</v>
      </c>
      <c r="AC24" s="20" t="s">
        <v>221</v>
      </c>
      <c r="AD24" s="20" t="s">
        <v>460</v>
      </c>
      <c r="AE24" s="8" t="s">
        <v>223</v>
      </c>
      <c r="AF24" s="8" t="s">
        <v>224</v>
      </c>
    </row>
    <row r="25" customFormat="false" ht="15" hidden="false" customHeight="false" outlineLevel="0" collapsed="false">
      <c r="A25" s="8" t="s">
        <v>461</v>
      </c>
      <c r="B25" s="8" t="s">
        <v>462</v>
      </c>
      <c r="C25" s="8"/>
      <c r="D25" s="8" t="s">
        <v>206</v>
      </c>
      <c r="E25" s="8" t="s">
        <v>112</v>
      </c>
      <c r="F25" s="8" t="s">
        <v>70</v>
      </c>
      <c r="G25" s="8" t="s">
        <v>207</v>
      </c>
      <c r="H25" s="8" t="s">
        <v>84</v>
      </c>
      <c r="I25" s="8" t="s">
        <v>227</v>
      </c>
      <c r="J25" s="8" t="n">
        <v>2</v>
      </c>
      <c r="K25" s="8" t="n">
        <v>3</v>
      </c>
      <c r="L25" s="18" t="n">
        <f aca="false">INDEX('All Items'!$Q:$Q,MATCH($A25,'All Items'!$A:$A,0))</f>
        <v>7.15</v>
      </c>
      <c r="M25" s="8" t="s">
        <v>463</v>
      </c>
      <c r="N25" s="8" t="s">
        <v>347</v>
      </c>
      <c r="O25" s="8" t="s">
        <v>464</v>
      </c>
      <c r="P25" s="8" t="s">
        <v>465</v>
      </c>
      <c r="Q25" s="8" t="s">
        <v>466</v>
      </c>
      <c r="R25" s="8" t="s">
        <v>467</v>
      </c>
      <c r="S25" s="19" t="s">
        <v>468</v>
      </c>
      <c r="T25" s="8" t="s">
        <v>469</v>
      </c>
      <c r="U25" s="8"/>
      <c r="V25" s="8" t="n">
        <f aca="false">COUNTA(M25:R25)</f>
        <v>6</v>
      </c>
      <c r="W25" s="8" t="s">
        <v>259</v>
      </c>
      <c r="X25" s="8" t="s">
        <v>218</v>
      </c>
      <c r="Y25" s="8" t="s">
        <v>218</v>
      </c>
      <c r="Z25" s="8"/>
      <c r="AA25" s="8" t="s">
        <v>470</v>
      </c>
      <c r="AB25" s="20" t="s">
        <v>471</v>
      </c>
      <c r="AC25" s="20" t="s">
        <v>221</v>
      </c>
      <c r="AD25" s="20" t="s">
        <v>472</v>
      </c>
      <c r="AE25" s="8" t="s">
        <v>223</v>
      </c>
      <c r="AF25" s="8" t="s">
        <v>224</v>
      </c>
    </row>
    <row r="26" customFormat="false" ht="15" hidden="false" customHeight="false" outlineLevel="0" collapsed="false">
      <c r="A26" s="8" t="s">
        <v>473</v>
      </c>
      <c r="B26" s="8" t="s">
        <v>474</v>
      </c>
      <c r="C26" s="8"/>
      <c r="D26" s="8" t="s">
        <v>206</v>
      </c>
      <c r="E26" s="8" t="s">
        <v>115</v>
      </c>
      <c r="F26" s="8" t="s">
        <v>70</v>
      </c>
      <c r="G26" s="8" t="s">
        <v>207</v>
      </c>
      <c r="H26" s="8" t="s">
        <v>79</v>
      </c>
      <c r="I26" s="8" t="s">
        <v>273</v>
      </c>
      <c r="J26" s="8" t="n">
        <v>1</v>
      </c>
      <c r="K26" s="8" t="n">
        <v>4</v>
      </c>
      <c r="L26" s="18" t="n">
        <f aca="false">INDEX('All Items'!$Q:$Q,MATCH($A26,'All Items'!$A:$A,0))</f>
        <v>8.45</v>
      </c>
      <c r="M26" s="8" t="s">
        <v>475</v>
      </c>
      <c r="N26" s="8" t="s">
        <v>476</v>
      </c>
      <c r="O26" s="8" t="s">
        <v>477</v>
      </c>
      <c r="P26" s="8" t="s">
        <v>478</v>
      </c>
      <c r="Q26" s="8" t="s">
        <v>479</v>
      </c>
      <c r="R26" s="8" t="s">
        <v>480</v>
      </c>
      <c r="S26" s="19" t="s">
        <v>481</v>
      </c>
      <c r="T26" s="8" t="s">
        <v>482</v>
      </c>
      <c r="U26" s="8"/>
      <c r="V26" s="8" t="n">
        <f aca="false">COUNTA(M26:R26)</f>
        <v>6</v>
      </c>
      <c r="W26" s="8" t="s">
        <v>218</v>
      </c>
      <c r="X26" s="8" t="s">
        <v>218</v>
      </c>
      <c r="Y26" s="8" t="s">
        <v>218</v>
      </c>
      <c r="Z26" s="8"/>
      <c r="AA26" s="8" t="s">
        <v>483</v>
      </c>
      <c r="AB26" s="20"/>
      <c r="AC26" s="20"/>
      <c r="AD26" s="20"/>
      <c r="AE26" s="8" t="s">
        <v>237</v>
      </c>
      <c r="AF26" s="8" t="s">
        <v>224</v>
      </c>
    </row>
    <row r="27" customFormat="false" ht="15" hidden="false" customHeight="false" outlineLevel="0" collapsed="false">
      <c r="A27" s="8" t="s">
        <v>484</v>
      </c>
      <c r="B27" s="8" t="s">
        <v>485</v>
      </c>
      <c r="C27" s="8" t="s">
        <v>486</v>
      </c>
      <c r="D27" s="8" t="s">
        <v>206</v>
      </c>
      <c r="E27" s="8" t="s">
        <v>112</v>
      </c>
      <c r="F27" s="8" t="s">
        <v>70</v>
      </c>
      <c r="G27" s="8" t="s">
        <v>207</v>
      </c>
      <c r="H27" s="8" t="s">
        <v>85</v>
      </c>
      <c r="I27" s="8" t="s">
        <v>208</v>
      </c>
      <c r="J27" s="8" t="n">
        <v>1</v>
      </c>
      <c r="K27" s="8" t="n">
        <v>4</v>
      </c>
      <c r="L27" s="18" t="n">
        <f aca="false">INDEX('All Items'!$Q:$Q,MATCH($A27,'All Items'!$A:$A,0))</f>
        <v>8.7</v>
      </c>
      <c r="M27" s="8" t="s">
        <v>347</v>
      </c>
      <c r="N27" s="8" t="s">
        <v>487</v>
      </c>
      <c r="O27" s="8" t="s">
        <v>488</v>
      </c>
      <c r="P27" s="8" t="s">
        <v>489</v>
      </c>
      <c r="Q27" s="8" t="s">
        <v>490</v>
      </c>
      <c r="R27" s="8" t="s">
        <v>491</v>
      </c>
      <c r="S27" s="19" t="s">
        <v>492</v>
      </c>
      <c r="T27" s="8" t="s">
        <v>493</v>
      </c>
      <c r="U27" s="8"/>
      <c r="V27" s="8" t="n">
        <f aca="false">COUNTA(M27:R27)</f>
        <v>6</v>
      </c>
      <c r="W27" s="8" t="s">
        <v>218</v>
      </c>
      <c r="X27" s="8" t="s">
        <v>218</v>
      </c>
      <c r="Y27" s="8" t="s">
        <v>218</v>
      </c>
      <c r="Z27" s="8"/>
      <c r="AA27" s="8" t="s">
        <v>494</v>
      </c>
      <c r="AB27" s="20"/>
      <c r="AC27" s="20"/>
      <c r="AD27" s="20"/>
      <c r="AE27" s="8" t="s">
        <v>237</v>
      </c>
      <c r="AF27" s="8" t="s">
        <v>224</v>
      </c>
    </row>
    <row r="28" customFormat="false" ht="15" hidden="false" customHeight="false" outlineLevel="0" collapsed="false">
      <c r="A28" s="8" t="s">
        <v>495</v>
      </c>
      <c r="B28" s="8" t="s">
        <v>496</v>
      </c>
      <c r="C28" s="8"/>
      <c r="D28" s="8" t="s">
        <v>206</v>
      </c>
      <c r="E28" s="8" t="s">
        <v>112</v>
      </c>
      <c r="F28" s="8" t="s">
        <v>70</v>
      </c>
      <c r="G28" s="8" t="s">
        <v>207</v>
      </c>
      <c r="H28" s="8" t="s">
        <v>79</v>
      </c>
      <c r="I28" s="8" t="s">
        <v>208</v>
      </c>
      <c r="J28" s="8" t="n">
        <v>1</v>
      </c>
      <c r="K28" s="8" t="n">
        <v>4</v>
      </c>
      <c r="L28" s="18" t="n">
        <f aca="false">INDEX('All Items'!$Q:$Q,MATCH($A28,'All Items'!$A:$A,0))</f>
        <v>8.7</v>
      </c>
      <c r="M28" s="8" t="s">
        <v>497</v>
      </c>
      <c r="N28" s="8" t="s">
        <v>389</v>
      </c>
      <c r="O28" s="8" t="s">
        <v>498</v>
      </c>
      <c r="P28" s="8" t="s">
        <v>499</v>
      </c>
      <c r="Q28" s="8" t="s">
        <v>500</v>
      </c>
      <c r="R28" s="8" t="s">
        <v>501</v>
      </c>
      <c r="S28" s="19" t="s">
        <v>502</v>
      </c>
      <c r="T28" s="8" t="s">
        <v>503</v>
      </c>
      <c r="U28" s="8"/>
      <c r="V28" s="8" t="n">
        <f aca="false">COUNTA(M28:R28)</f>
        <v>6</v>
      </c>
      <c r="W28" s="8" t="s">
        <v>218</v>
      </c>
      <c r="X28" s="8" t="s">
        <v>218</v>
      </c>
      <c r="Y28" s="8" t="s">
        <v>218</v>
      </c>
      <c r="Z28" s="8"/>
      <c r="AA28" s="8" t="s">
        <v>504</v>
      </c>
      <c r="AB28" s="20" t="s">
        <v>505</v>
      </c>
      <c r="AC28" s="20" t="s">
        <v>221</v>
      </c>
      <c r="AD28" s="20" t="s">
        <v>506</v>
      </c>
      <c r="AE28" s="8" t="s">
        <v>223</v>
      </c>
      <c r="AF28" s="8" t="s">
        <v>224</v>
      </c>
    </row>
    <row r="29" customFormat="false" ht="15" hidden="false" customHeight="false" outlineLevel="0" collapsed="false">
      <c r="A29" s="8" t="s">
        <v>507</v>
      </c>
      <c r="B29" s="8" t="s">
        <v>508</v>
      </c>
      <c r="C29" s="8"/>
      <c r="D29" s="8" t="s">
        <v>206</v>
      </c>
      <c r="E29" s="8" t="s">
        <v>112</v>
      </c>
      <c r="F29" s="8" t="s">
        <v>70</v>
      </c>
      <c r="G29" s="8" t="s">
        <v>207</v>
      </c>
      <c r="H29" s="8" t="s">
        <v>79</v>
      </c>
      <c r="I29" s="8" t="s">
        <v>208</v>
      </c>
      <c r="J29" s="8" t="n">
        <v>2</v>
      </c>
      <c r="K29" s="8" t="n">
        <v>3</v>
      </c>
      <c r="L29" s="18" t="n">
        <f aca="false">INDEX('All Items'!$Q:$Q,MATCH($A29,'All Items'!$A:$A,0))</f>
        <v>7.4</v>
      </c>
      <c r="M29" s="8" t="s">
        <v>509</v>
      </c>
      <c r="N29" s="8" t="s">
        <v>285</v>
      </c>
      <c r="O29" s="8" t="s">
        <v>389</v>
      </c>
      <c r="P29" s="8" t="s">
        <v>510</v>
      </c>
      <c r="Q29" s="8" t="s">
        <v>500</v>
      </c>
      <c r="R29" s="8" t="s">
        <v>511</v>
      </c>
      <c r="S29" s="19" t="s">
        <v>512</v>
      </c>
      <c r="T29" s="8" t="s">
        <v>513</v>
      </c>
      <c r="U29" s="8"/>
      <c r="V29" s="8" t="n">
        <f aca="false">COUNTA(M29:R29)</f>
        <v>6</v>
      </c>
      <c r="W29" s="8" t="s">
        <v>259</v>
      </c>
      <c r="X29" s="8" t="s">
        <v>218</v>
      </c>
      <c r="Y29" s="8" t="s">
        <v>218</v>
      </c>
      <c r="Z29" s="8"/>
      <c r="AA29" s="8" t="s">
        <v>514</v>
      </c>
      <c r="AB29" s="20" t="s">
        <v>515</v>
      </c>
      <c r="AC29" s="20" t="s">
        <v>516</v>
      </c>
      <c r="AD29" s="20" t="s">
        <v>517</v>
      </c>
      <c r="AE29" s="8" t="s">
        <v>223</v>
      </c>
      <c r="AF29" s="8" t="s">
        <v>224</v>
      </c>
    </row>
    <row r="30" customFormat="false" ht="15" hidden="false" customHeight="false" outlineLevel="0" collapsed="false">
      <c r="A30" s="8" t="s">
        <v>518</v>
      </c>
      <c r="B30" s="8" t="s">
        <v>519</v>
      </c>
      <c r="C30" s="8"/>
      <c r="D30" s="8" t="s">
        <v>206</v>
      </c>
      <c r="E30" s="8" t="s">
        <v>112</v>
      </c>
      <c r="F30" s="8" t="s">
        <v>70</v>
      </c>
      <c r="G30" s="8" t="s">
        <v>207</v>
      </c>
      <c r="H30" s="8" t="s">
        <v>78</v>
      </c>
      <c r="I30" s="8" t="s">
        <v>208</v>
      </c>
      <c r="J30" s="8" t="n">
        <v>1</v>
      </c>
      <c r="K30" s="8" t="n">
        <v>4</v>
      </c>
      <c r="L30" s="18" t="n">
        <f aca="false">INDEX('All Items'!$Q:$Q,MATCH($A30,'All Items'!$A:$A,0))</f>
        <v>8.7</v>
      </c>
      <c r="M30" s="8" t="s">
        <v>324</v>
      </c>
      <c r="N30" s="8" t="s">
        <v>346</v>
      </c>
      <c r="O30" s="8" t="s">
        <v>488</v>
      </c>
      <c r="P30" s="8" t="s">
        <v>520</v>
      </c>
      <c r="Q30" s="8" t="s">
        <v>521</v>
      </c>
      <c r="R30" s="8" t="s">
        <v>522</v>
      </c>
      <c r="S30" s="19" t="s">
        <v>523</v>
      </c>
      <c r="T30" s="8" t="s">
        <v>524</v>
      </c>
      <c r="U30" s="8"/>
      <c r="V30" s="8" t="n">
        <f aca="false">COUNTA(M30:R30)</f>
        <v>6</v>
      </c>
      <c r="W30" s="8" t="s">
        <v>218</v>
      </c>
      <c r="X30" s="8" t="s">
        <v>218</v>
      </c>
      <c r="Y30" s="8" t="s">
        <v>218</v>
      </c>
      <c r="Z30" s="8"/>
      <c r="AA30" s="8" t="s">
        <v>525</v>
      </c>
      <c r="AB30" s="20" t="s">
        <v>526</v>
      </c>
      <c r="AC30" s="20" t="s">
        <v>527</v>
      </c>
      <c r="AD30" s="20" t="s">
        <v>528</v>
      </c>
      <c r="AE30" s="8" t="s">
        <v>223</v>
      </c>
      <c r="AF30" s="8" t="s">
        <v>224</v>
      </c>
    </row>
    <row r="31" customFormat="false" ht="15" hidden="false" customHeight="false" outlineLevel="0" collapsed="false">
      <c r="A31" s="8" t="s">
        <v>529</v>
      </c>
      <c r="B31" s="8" t="s">
        <v>530</v>
      </c>
      <c r="C31" s="8"/>
      <c r="D31" s="8" t="s">
        <v>206</v>
      </c>
      <c r="E31" s="8" t="s">
        <v>112</v>
      </c>
      <c r="F31" s="8" t="s">
        <v>70</v>
      </c>
      <c r="G31" s="8" t="s">
        <v>207</v>
      </c>
      <c r="H31" s="8" t="s">
        <v>80</v>
      </c>
      <c r="I31" s="8" t="s">
        <v>227</v>
      </c>
      <c r="J31" s="8" t="n">
        <v>1</v>
      </c>
      <c r="K31" s="8" t="n">
        <v>5</v>
      </c>
      <c r="L31" s="18" t="n">
        <f aca="false">INDEX('All Items'!$Q:$Q,MATCH($A31,'All Items'!$A:$A,0))</f>
        <v>10</v>
      </c>
      <c r="M31" s="8" t="s">
        <v>347</v>
      </c>
      <c r="N31" s="8" t="s">
        <v>531</v>
      </c>
      <c r="O31" s="8" t="s">
        <v>532</v>
      </c>
      <c r="P31" s="8" t="s">
        <v>533</v>
      </c>
      <c r="Q31" s="8" t="s">
        <v>534</v>
      </c>
      <c r="R31" s="8" t="s">
        <v>535</v>
      </c>
      <c r="S31" s="19" t="s">
        <v>536</v>
      </c>
      <c r="T31" s="8" t="s">
        <v>537</v>
      </c>
      <c r="U31" s="8"/>
      <c r="V31" s="8" t="n">
        <f aca="false">COUNTA(M31:R31)</f>
        <v>6</v>
      </c>
      <c r="W31" s="8" t="s">
        <v>218</v>
      </c>
      <c r="X31" s="8" t="s">
        <v>218</v>
      </c>
      <c r="Y31" s="8" t="s">
        <v>218</v>
      </c>
      <c r="Z31" s="8"/>
      <c r="AA31" s="8" t="s">
        <v>538</v>
      </c>
      <c r="AB31" s="20"/>
      <c r="AC31" s="20"/>
      <c r="AD31" s="20"/>
      <c r="AE31" s="8" t="s">
        <v>237</v>
      </c>
      <c r="AF31" s="8" t="s">
        <v>224</v>
      </c>
    </row>
    <row r="32" customFormat="false" ht="15" hidden="false" customHeight="false" outlineLevel="0" collapsed="false">
      <c r="A32" s="8" t="s">
        <v>539</v>
      </c>
      <c r="B32" s="8" t="s">
        <v>540</v>
      </c>
      <c r="C32" s="8"/>
      <c r="D32" s="8" t="s">
        <v>206</v>
      </c>
      <c r="E32" s="8" t="s">
        <v>112</v>
      </c>
      <c r="F32" s="8" t="s">
        <v>70</v>
      </c>
      <c r="G32" s="8" t="s">
        <v>207</v>
      </c>
      <c r="H32" s="8" t="s">
        <v>82</v>
      </c>
      <c r="I32" s="8" t="s">
        <v>273</v>
      </c>
      <c r="J32" s="8" t="n">
        <v>2</v>
      </c>
      <c r="K32" s="8" t="n">
        <v>3</v>
      </c>
      <c r="L32" s="18" t="n">
        <f aca="false">INDEX('All Items'!$Q:$Q,MATCH($A32,'All Items'!$A:$A,0))</f>
        <v>7.15</v>
      </c>
      <c r="M32" s="8" t="s">
        <v>541</v>
      </c>
      <c r="N32" s="8" t="s">
        <v>542</v>
      </c>
      <c r="O32" s="8" t="s">
        <v>543</v>
      </c>
      <c r="P32" s="8" t="s">
        <v>544</v>
      </c>
      <c r="Q32" s="8" t="s">
        <v>545</v>
      </c>
      <c r="R32" s="8" t="s">
        <v>546</v>
      </c>
      <c r="S32" s="19" t="s">
        <v>547</v>
      </c>
      <c r="T32" s="8" t="s">
        <v>548</v>
      </c>
      <c r="U32" s="8"/>
      <c r="V32" s="8" t="n">
        <f aca="false">COUNTA(M32:R32)</f>
        <v>6</v>
      </c>
      <c r="W32" s="8" t="s">
        <v>259</v>
      </c>
      <c r="X32" s="8" t="s">
        <v>218</v>
      </c>
      <c r="Y32" s="8" t="s">
        <v>218</v>
      </c>
      <c r="Z32" s="8"/>
      <c r="AA32" s="8" t="s">
        <v>549</v>
      </c>
      <c r="AB32" s="20"/>
      <c r="AC32" s="20"/>
      <c r="AD32" s="20"/>
      <c r="AE32" s="8" t="s">
        <v>237</v>
      </c>
      <c r="AF32" s="8" t="s">
        <v>224</v>
      </c>
    </row>
    <row r="33" customFormat="false" ht="15" hidden="false" customHeight="false" outlineLevel="0" collapsed="false">
      <c r="A33" s="8" t="s">
        <v>550</v>
      </c>
      <c r="B33" s="8" t="s">
        <v>551</v>
      </c>
      <c r="C33" s="8"/>
      <c r="D33" s="8" t="s">
        <v>206</v>
      </c>
      <c r="E33" s="8" t="s">
        <v>112</v>
      </c>
      <c r="F33" s="8" t="s">
        <v>70</v>
      </c>
      <c r="G33" s="8" t="s">
        <v>207</v>
      </c>
      <c r="H33" s="8" t="s">
        <v>84</v>
      </c>
      <c r="I33" s="8" t="s">
        <v>273</v>
      </c>
      <c r="J33" s="8" t="n">
        <v>2</v>
      </c>
      <c r="K33" s="8" t="n">
        <v>3</v>
      </c>
      <c r="L33" s="18" t="n">
        <f aca="false">INDEX('All Items'!$Q:$Q,MATCH($A33,'All Items'!$A:$A,0))</f>
        <v>7.15</v>
      </c>
      <c r="M33" s="8" t="s">
        <v>552</v>
      </c>
      <c r="N33" s="8" t="s">
        <v>509</v>
      </c>
      <c r="O33" s="8" t="s">
        <v>553</v>
      </c>
      <c r="P33" s="8" t="s">
        <v>554</v>
      </c>
      <c r="Q33" s="8" t="s">
        <v>555</v>
      </c>
      <c r="R33" s="8" t="s">
        <v>556</v>
      </c>
      <c r="S33" s="19" t="s">
        <v>557</v>
      </c>
      <c r="T33" s="8" t="s">
        <v>558</v>
      </c>
      <c r="U33" s="8"/>
      <c r="V33" s="8" t="n">
        <f aca="false">COUNTA(M33:R33)</f>
        <v>6</v>
      </c>
      <c r="W33" s="8" t="s">
        <v>259</v>
      </c>
      <c r="X33" s="8" t="s">
        <v>218</v>
      </c>
      <c r="Y33" s="8" t="s">
        <v>218</v>
      </c>
      <c r="Z33" s="8"/>
      <c r="AA33" s="8" t="s">
        <v>559</v>
      </c>
      <c r="AB33" s="20" t="s">
        <v>560</v>
      </c>
      <c r="AC33" s="20" t="s">
        <v>221</v>
      </c>
      <c r="AD33" s="20" t="s">
        <v>561</v>
      </c>
      <c r="AE33" s="8" t="s">
        <v>223</v>
      </c>
      <c r="AF33" s="8" t="s">
        <v>224</v>
      </c>
    </row>
    <row r="34" customFormat="false" ht="15" hidden="false" customHeight="false" outlineLevel="0" collapsed="false">
      <c r="A34" s="8" t="s">
        <v>562</v>
      </c>
      <c r="B34" s="8" t="s">
        <v>563</v>
      </c>
      <c r="C34" s="8"/>
      <c r="D34" s="8" t="s">
        <v>206</v>
      </c>
      <c r="E34" s="8" t="s">
        <v>112</v>
      </c>
      <c r="F34" s="8" t="s">
        <v>70</v>
      </c>
      <c r="G34" s="8" t="s">
        <v>207</v>
      </c>
      <c r="H34" s="8" t="s">
        <v>79</v>
      </c>
      <c r="I34" s="8" t="s">
        <v>273</v>
      </c>
      <c r="J34" s="8" t="n">
        <v>2</v>
      </c>
      <c r="K34" s="8" t="n">
        <v>4</v>
      </c>
      <c r="L34" s="18" t="n">
        <f aca="false">INDEX('All Items'!$Q:$Q,MATCH($A34,'All Items'!$A:$A,0))</f>
        <v>8.7</v>
      </c>
      <c r="M34" s="8" t="s">
        <v>541</v>
      </c>
      <c r="N34" s="8" t="s">
        <v>564</v>
      </c>
      <c r="O34" s="8" t="s">
        <v>565</v>
      </c>
      <c r="P34" s="8" t="s">
        <v>566</v>
      </c>
      <c r="Q34" s="8" t="s">
        <v>567</v>
      </c>
      <c r="R34" s="8" t="s">
        <v>568</v>
      </c>
      <c r="S34" s="19" t="s">
        <v>569</v>
      </c>
      <c r="T34" s="8" t="s">
        <v>570</v>
      </c>
      <c r="U34" s="8"/>
      <c r="V34" s="8" t="n">
        <f aca="false">COUNTA(M34:R34)</f>
        <v>6</v>
      </c>
      <c r="W34" s="8" t="s">
        <v>259</v>
      </c>
      <c r="X34" s="8" t="s">
        <v>218</v>
      </c>
      <c r="Y34" s="8" t="s">
        <v>218</v>
      </c>
      <c r="Z34" s="8"/>
      <c r="AA34" s="8" t="s">
        <v>571</v>
      </c>
      <c r="AB34" s="20"/>
      <c r="AC34" s="20"/>
      <c r="AD34" s="20"/>
      <c r="AE34" s="8" t="s">
        <v>237</v>
      </c>
      <c r="AF34" s="8" t="s">
        <v>224</v>
      </c>
    </row>
    <row r="35" customFormat="false" ht="15" hidden="false" customHeight="false" outlineLevel="0" collapsed="false">
      <c r="A35" s="8" t="s">
        <v>572</v>
      </c>
      <c r="B35" s="8" t="s">
        <v>573</v>
      </c>
      <c r="C35" s="8"/>
      <c r="D35" s="8" t="s">
        <v>206</v>
      </c>
      <c r="E35" s="8" t="s">
        <v>118</v>
      </c>
      <c r="F35" s="8" t="s">
        <v>70</v>
      </c>
      <c r="G35" s="8" t="s">
        <v>207</v>
      </c>
      <c r="H35" s="8" t="s">
        <v>78</v>
      </c>
      <c r="I35" s="8" t="s">
        <v>227</v>
      </c>
      <c r="J35" s="8" t="n">
        <v>1</v>
      </c>
      <c r="K35" s="8" t="n">
        <v>4</v>
      </c>
      <c r="L35" s="18" t="n">
        <f aca="false">INDEX('All Items'!$Q:$Q,MATCH($A35,'All Items'!$A:$A,0))</f>
        <v>8.7</v>
      </c>
      <c r="M35" s="8" t="s">
        <v>574</v>
      </c>
      <c r="N35" s="8" t="s">
        <v>575</v>
      </c>
      <c r="O35" s="8" t="s">
        <v>576</v>
      </c>
      <c r="P35" s="8" t="s">
        <v>577</v>
      </c>
      <c r="Q35" s="8" t="s">
        <v>578</v>
      </c>
      <c r="R35" s="8" t="s">
        <v>118</v>
      </c>
      <c r="S35" s="19" t="s">
        <v>579</v>
      </c>
      <c r="T35" s="8" t="s">
        <v>580</v>
      </c>
      <c r="U35" s="8"/>
      <c r="V35" s="8" t="n">
        <f aca="false">COUNTA(M35:R35)</f>
        <v>6</v>
      </c>
      <c r="W35" s="8" t="s">
        <v>218</v>
      </c>
      <c r="X35" s="8" t="s">
        <v>218</v>
      </c>
      <c r="Y35" s="8" t="s">
        <v>218</v>
      </c>
      <c r="Z35" s="8"/>
      <c r="AA35" s="8" t="s">
        <v>581</v>
      </c>
      <c r="AB35" s="20" t="s">
        <v>582</v>
      </c>
      <c r="AC35" s="20" t="s">
        <v>221</v>
      </c>
      <c r="AD35" s="20" t="s">
        <v>583</v>
      </c>
      <c r="AE35" s="8" t="s">
        <v>223</v>
      </c>
      <c r="AF35" s="8" t="s">
        <v>224</v>
      </c>
    </row>
    <row r="36" customFormat="false" ht="15" hidden="false" customHeight="false" outlineLevel="0" collapsed="false">
      <c r="A36" s="8" t="s">
        <v>584</v>
      </c>
      <c r="B36" s="8" t="s">
        <v>585</v>
      </c>
      <c r="C36" s="8"/>
      <c r="D36" s="8" t="s">
        <v>206</v>
      </c>
      <c r="E36" s="8" t="s">
        <v>118</v>
      </c>
      <c r="F36" s="8" t="s">
        <v>70</v>
      </c>
      <c r="G36" s="8" t="s">
        <v>207</v>
      </c>
      <c r="H36" s="8" t="s">
        <v>84</v>
      </c>
      <c r="I36" s="8" t="s">
        <v>273</v>
      </c>
      <c r="J36" s="8" t="n">
        <v>2</v>
      </c>
      <c r="K36" s="8" t="n">
        <v>3</v>
      </c>
      <c r="L36" s="18" t="n">
        <f aca="false">INDEX('All Items'!$Q:$Q,MATCH($A36,'All Items'!$A:$A,0))</f>
        <v>7.4</v>
      </c>
      <c r="M36" s="8" t="s">
        <v>543</v>
      </c>
      <c r="N36" s="8" t="s">
        <v>586</v>
      </c>
      <c r="O36" s="8" t="s">
        <v>587</v>
      </c>
      <c r="P36" s="8" t="s">
        <v>588</v>
      </c>
      <c r="Q36" s="8" t="s">
        <v>589</v>
      </c>
      <c r="R36" s="8" t="s">
        <v>590</v>
      </c>
      <c r="S36" s="19" t="s">
        <v>591</v>
      </c>
      <c r="T36" s="8" t="s">
        <v>592</v>
      </c>
      <c r="U36" s="8"/>
      <c r="V36" s="8" t="n">
        <f aca="false">COUNTA(M36:R36)</f>
        <v>6</v>
      </c>
      <c r="W36" s="8" t="s">
        <v>259</v>
      </c>
      <c r="X36" s="8" t="s">
        <v>218</v>
      </c>
      <c r="Y36" s="8" t="s">
        <v>218</v>
      </c>
      <c r="Z36" s="8"/>
      <c r="AA36" s="8" t="s">
        <v>593</v>
      </c>
      <c r="AB36" s="20" t="s">
        <v>594</v>
      </c>
      <c r="AC36" s="20" t="s">
        <v>595</v>
      </c>
      <c r="AD36" s="20" t="s">
        <v>596</v>
      </c>
      <c r="AE36" s="8" t="s">
        <v>223</v>
      </c>
      <c r="AF36" s="8" t="s">
        <v>224</v>
      </c>
    </row>
    <row r="37" customFormat="false" ht="15" hidden="false" customHeight="false" outlineLevel="0" collapsed="false">
      <c r="A37" s="8" t="s">
        <v>597</v>
      </c>
      <c r="B37" s="8" t="s">
        <v>598</v>
      </c>
      <c r="C37" s="8"/>
      <c r="D37" s="8" t="s">
        <v>206</v>
      </c>
      <c r="E37" s="8" t="s">
        <v>115</v>
      </c>
      <c r="F37" s="8" t="s">
        <v>70</v>
      </c>
      <c r="G37" s="8" t="s">
        <v>207</v>
      </c>
      <c r="H37" s="8" t="s">
        <v>78</v>
      </c>
      <c r="I37" s="8" t="s">
        <v>227</v>
      </c>
      <c r="J37" s="8" t="n">
        <v>1</v>
      </c>
      <c r="K37" s="8" t="n">
        <v>4</v>
      </c>
      <c r="L37" s="18" t="n">
        <f aca="false">INDEX('All Items'!$Q:$Q,MATCH($A37,'All Items'!$A:$A,0))</f>
        <v>7.95</v>
      </c>
      <c r="M37" s="8" t="s">
        <v>599</v>
      </c>
      <c r="N37" s="8" t="s">
        <v>600</v>
      </c>
      <c r="O37" s="8" t="s">
        <v>601</v>
      </c>
      <c r="P37" s="8" t="s">
        <v>602</v>
      </c>
      <c r="Q37" s="8" t="s">
        <v>603</v>
      </c>
      <c r="R37" s="8"/>
      <c r="S37" s="19" t="s">
        <v>604</v>
      </c>
      <c r="T37" s="8" t="s">
        <v>605</v>
      </c>
      <c r="U37" s="8"/>
      <c r="V37" s="8" t="n">
        <f aca="false">COUNTA(M37:R37)</f>
        <v>5</v>
      </c>
      <c r="W37" s="8" t="s">
        <v>218</v>
      </c>
      <c r="X37" s="8" t="s">
        <v>218</v>
      </c>
      <c r="Y37" s="8" t="s">
        <v>218</v>
      </c>
      <c r="Z37" s="8"/>
      <c r="AA37" s="8" t="s">
        <v>606</v>
      </c>
      <c r="AB37" s="20"/>
      <c r="AC37" s="20"/>
      <c r="AD37" s="20"/>
      <c r="AE37" s="8" t="s">
        <v>237</v>
      </c>
      <c r="AF37" s="8" t="s">
        <v>224</v>
      </c>
    </row>
    <row r="38" customFormat="false" ht="15" hidden="false" customHeight="false" outlineLevel="0" collapsed="false">
      <c r="A38" s="8" t="s">
        <v>607</v>
      </c>
      <c r="B38" s="8" t="s">
        <v>608</v>
      </c>
      <c r="C38" s="8"/>
      <c r="D38" s="8" t="s">
        <v>206</v>
      </c>
      <c r="E38" s="8" t="s">
        <v>115</v>
      </c>
      <c r="F38" s="8" t="s">
        <v>70</v>
      </c>
      <c r="G38" s="8" t="s">
        <v>207</v>
      </c>
      <c r="H38" s="8" t="s">
        <v>78</v>
      </c>
      <c r="I38" s="8" t="s">
        <v>208</v>
      </c>
      <c r="J38" s="8" t="n">
        <v>1</v>
      </c>
      <c r="K38" s="8" t="n">
        <v>4</v>
      </c>
      <c r="L38" s="18" t="n">
        <f aca="false">INDEX('All Items'!$Q:$Q,MATCH($A38,'All Items'!$A:$A,0))</f>
        <v>8.2</v>
      </c>
      <c r="M38" s="8" t="s">
        <v>324</v>
      </c>
      <c r="N38" s="8" t="s">
        <v>488</v>
      </c>
      <c r="O38" s="8" t="s">
        <v>609</v>
      </c>
      <c r="P38" s="8" t="s">
        <v>610</v>
      </c>
      <c r="Q38" s="8" t="s">
        <v>611</v>
      </c>
      <c r="R38" s="8" t="s">
        <v>612</v>
      </c>
      <c r="S38" s="19" t="s">
        <v>613</v>
      </c>
      <c r="T38" s="8" t="s">
        <v>614</v>
      </c>
      <c r="U38" s="8"/>
      <c r="V38" s="8" t="n">
        <f aca="false">COUNTA(M38:R38)</f>
        <v>6</v>
      </c>
      <c r="W38" s="8" t="s">
        <v>218</v>
      </c>
      <c r="X38" s="8" t="s">
        <v>218</v>
      </c>
      <c r="Y38" s="8" t="s">
        <v>218</v>
      </c>
      <c r="Z38" s="8"/>
      <c r="AA38" s="8" t="s">
        <v>615</v>
      </c>
      <c r="AB38" s="20"/>
      <c r="AC38" s="20"/>
      <c r="AD38" s="20"/>
      <c r="AE38" s="8" t="s">
        <v>237</v>
      </c>
      <c r="AF38" s="8" t="s">
        <v>224</v>
      </c>
    </row>
    <row r="39" customFormat="false" ht="15" hidden="false" customHeight="false" outlineLevel="0" collapsed="false">
      <c r="A39" s="8" t="s">
        <v>616</v>
      </c>
      <c r="B39" s="8" t="s">
        <v>617</v>
      </c>
      <c r="C39" s="8"/>
      <c r="D39" s="8" t="s">
        <v>206</v>
      </c>
      <c r="E39" s="8" t="s">
        <v>115</v>
      </c>
      <c r="F39" s="8" t="s">
        <v>70</v>
      </c>
      <c r="G39" s="8" t="s">
        <v>207</v>
      </c>
      <c r="H39" s="8" t="s">
        <v>78</v>
      </c>
      <c r="I39" s="8" t="s">
        <v>227</v>
      </c>
      <c r="J39" s="8" t="n">
        <v>1</v>
      </c>
      <c r="K39" s="8" t="n">
        <v>4</v>
      </c>
      <c r="L39" s="18" t="n">
        <f aca="false">INDEX('All Items'!$Q:$Q,MATCH($A39,'All Items'!$A:$A,0))</f>
        <v>8.45</v>
      </c>
      <c r="M39" s="8" t="s">
        <v>252</v>
      </c>
      <c r="N39" s="8" t="s">
        <v>618</v>
      </c>
      <c r="O39" s="8" t="s">
        <v>619</v>
      </c>
      <c r="P39" s="8" t="s">
        <v>620</v>
      </c>
      <c r="Q39" s="8" t="s">
        <v>621</v>
      </c>
      <c r="R39" s="8" t="s">
        <v>622</v>
      </c>
      <c r="S39" s="19" t="s">
        <v>623</v>
      </c>
      <c r="T39" s="8" t="s">
        <v>624</v>
      </c>
      <c r="U39" s="8"/>
      <c r="V39" s="8" t="n">
        <f aca="false">COUNTA(M39:R39)</f>
        <v>6</v>
      </c>
      <c r="W39" s="8" t="s">
        <v>218</v>
      </c>
      <c r="X39" s="8" t="s">
        <v>218</v>
      </c>
      <c r="Y39" s="8" t="s">
        <v>218</v>
      </c>
      <c r="Z39" s="8"/>
      <c r="AA39" s="8" t="s">
        <v>625</v>
      </c>
      <c r="AB39" s="20"/>
      <c r="AC39" s="20"/>
      <c r="AD39" s="20"/>
      <c r="AE39" s="8" t="s">
        <v>237</v>
      </c>
      <c r="AF39" s="8" t="s">
        <v>224</v>
      </c>
    </row>
    <row r="40" customFormat="false" ht="15" hidden="false" customHeight="false" outlineLevel="0" collapsed="false">
      <c r="A40" s="8" t="s">
        <v>626</v>
      </c>
      <c r="B40" s="8" t="s">
        <v>627</v>
      </c>
      <c r="C40" s="8"/>
      <c r="D40" s="8" t="s">
        <v>206</v>
      </c>
      <c r="E40" s="8" t="s">
        <v>115</v>
      </c>
      <c r="F40" s="8" t="s">
        <v>70</v>
      </c>
      <c r="G40" s="8" t="s">
        <v>207</v>
      </c>
      <c r="H40" s="8" t="s">
        <v>86</v>
      </c>
      <c r="I40" s="8" t="s">
        <v>273</v>
      </c>
      <c r="J40" s="8" t="n">
        <v>2</v>
      </c>
      <c r="K40" s="8" t="n">
        <v>3</v>
      </c>
      <c r="L40" s="18" t="n">
        <f aca="false">INDEX('All Items'!$Q:$Q,MATCH($A40,'All Items'!$A:$A,0))</f>
        <v>6.9</v>
      </c>
      <c r="M40" s="8" t="s">
        <v>628</v>
      </c>
      <c r="N40" s="8" t="s">
        <v>629</v>
      </c>
      <c r="O40" s="8" t="s">
        <v>630</v>
      </c>
      <c r="P40" s="8" t="s">
        <v>631</v>
      </c>
      <c r="Q40" s="8" t="s">
        <v>632</v>
      </c>
      <c r="R40" s="8" t="s">
        <v>633</v>
      </c>
      <c r="S40" s="19" t="s">
        <v>634</v>
      </c>
      <c r="T40" s="8" t="s">
        <v>635</v>
      </c>
      <c r="U40" s="8"/>
      <c r="V40" s="8" t="n">
        <f aca="false">COUNTA(M40:R40)</f>
        <v>6</v>
      </c>
      <c r="W40" s="8" t="s">
        <v>259</v>
      </c>
      <c r="X40" s="8" t="s">
        <v>218</v>
      </c>
      <c r="Y40" s="8" t="s">
        <v>218</v>
      </c>
      <c r="Z40" s="8"/>
      <c r="AA40" s="8" t="s">
        <v>636</v>
      </c>
      <c r="AB40" s="20"/>
      <c r="AC40" s="20"/>
      <c r="AD40" s="20"/>
      <c r="AE40" s="8" t="s">
        <v>237</v>
      </c>
      <c r="AF40" s="8" t="s">
        <v>224</v>
      </c>
    </row>
    <row r="41" customFormat="false" ht="15" hidden="false" customHeight="false" outlineLevel="0" collapsed="false">
      <c r="A41" s="8" t="s">
        <v>637</v>
      </c>
      <c r="B41" s="8" t="s">
        <v>638</v>
      </c>
      <c r="C41" s="8"/>
      <c r="D41" s="8" t="s">
        <v>206</v>
      </c>
      <c r="E41" s="8" t="s">
        <v>115</v>
      </c>
      <c r="F41" s="8" t="s">
        <v>70</v>
      </c>
      <c r="G41" s="8" t="s">
        <v>207</v>
      </c>
      <c r="H41" s="8" t="s">
        <v>79</v>
      </c>
      <c r="I41" s="8" t="s">
        <v>273</v>
      </c>
      <c r="J41" s="8" t="n">
        <v>1</v>
      </c>
      <c r="K41" s="8" t="n">
        <v>4</v>
      </c>
      <c r="L41" s="18" t="n">
        <f aca="false">INDEX('All Items'!$Q:$Q,MATCH($A41,'All Items'!$A:$A,0))</f>
        <v>8.45</v>
      </c>
      <c r="M41" s="8" t="s">
        <v>541</v>
      </c>
      <c r="N41" s="8" t="s">
        <v>355</v>
      </c>
      <c r="O41" s="8" t="s">
        <v>477</v>
      </c>
      <c r="P41" s="8" t="s">
        <v>639</v>
      </c>
      <c r="Q41" s="8" t="s">
        <v>640</v>
      </c>
      <c r="R41" s="8" t="s">
        <v>641</v>
      </c>
      <c r="S41" s="19" t="s">
        <v>642</v>
      </c>
      <c r="T41" s="8" t="s">
        <v>643</v>
      </c>
      <c r="U41" s="8"/>
      <c r="V41" s="8" t="n">
        <f aca="false">COUNTA(M41:R41)</f>
        <v>6</v>
      </c>
      <c r="W41" s="8" t="s">
        <v>218</v>
      </c>
      <c r="X41" s="8" t="s">
        <v>218</v>
      </c>
      <c r="Y41" s="8" t="s">
        <v>218</v>
      </c>
      <c r="Z41" s="8"/>
      <c r="AA41" s="8" t="s">
        <v>644</v>
      </c>
      <c r="AB41" s="20" t="s">
        <v>645</v>
      </c>
      <c r="AC41" s="20" t="s">
        <v>221</v>
      </c>
      <c r="AD41" s="20" t="s">
        <v>646</v>
      </c>
      <c r="AE41" s="8" t="s">
        <v>223</v>
      </c>
      <c r="AF41" s="8" t="s">
        <v>224</v>
      </c>
    </row>
    <row r="42" customFormat="false" ht="15" hidden="false" customHeight="false" outlineLevel="0" collapsed="false">
      <c r="A42" s="8" t="s">
        <v>647</v>
      </c>
      <c r="B42" s="8" t="s">
        <v>648</v>
      </c>
      <c r="C42" s="8"/>
      <c r="D42" s="8" t="s">
        <v>206</v>
      </c>
      <c r="E42" s="8" t="s">
        <v>115</v>
      </c>
      <c r="F42" s="8" t="s">
        <v>70</v>
      </c>
      <c r="G42" s="8" t="s">
        <v>207</v>
      </c>
      <c r="H42" s="8" t="s">
        <v>79</v>
      </c>
      <c r="I42" s="8" t="s">
        <v>273</v>
      </c>
      <c r="J42" s="8" t="n">
        <v>2</v>
      </c>
      <c r="K42" s="8" t="n">
        <v>3</v>
      </c>
      <c r="L42" s="18" t="n">
        <f aca="false">INDEX('All Items'!$Q:$Q,MATCH($A42,'All Items'!$A:$A,0))</f>
        <v>7.4</v>
      </c>
      <c r="M42" s="8" t="s">
        <v>307</v>
      </c>
      <c r="N42" s="8" t="s">
        <v>477</v>
      </c>
      <c r="O42" s="8" t="s">
        <v>649</v>
      </c>
      <c r="P42" s="8" t="s">
        <v>650</v>
      </c>
      <c r="Q42" s="8" t="s">
        <v>308</v>
      </c>
      <c r="R42" s="8" t="s">
        <v>651</v>
      </c>
      <c r="S42" s="19" t="s">
        <v>652</v>
      </c>
      <c r="T42" s="8" t="s">
        <v>653</v>
      </c>
      <c r="U42" s="8"/>
      <c r="V42" s="8" t="n">
        <f aca="false">COUNTA(M42:R42)</f>
        <v>6</v>
      </c>
      <c r="W42" s="8" t="s">
        <v>259</v>
      </c>
      <c r="X42" s="8" t="s">
        <v>218</v>
      </c>
      <c r="Y42" s="8" t="s">
        <v>218</v>
      </c>
      <c r="Z42" s="8"/>
      <c r="AA42" s="8" t="s">
        <v>654</v>
      </c>
      <c r="AB42" s="20" t="s">
        <v>655</v>
      </c>
      <c r="AC42" s="20" t="s">
        <v>527</v>
      </c>
      <c r="AD42" s="20" t="s">
        <v>638</v>
      </c>
      <c r="AE42" s="8" t="s">
        <v>223</v>
      </c>
      <c r="AF42" s="8" t="s">
        <v>224</v>
      </c>
    </row>
    <row r="43" customFormat="false" ht="15" hidden="false" customHeight="false" outlineLevel="0" collapsed="false">
      <c r="A43" s="8" t="s">
        <v>656</v>
      </c>
      <c r="B43" s="8" t="s">
        <v>657</v>
      </c>
      <c r="C43" s="8"/>
      <c r="D43" s="8" t="s">
        <v>206</v>
      </c>
      <c r="E43" s="8" t="s">
        <v>115</v>
      </c>
      <c r="F43" s="8" t="s">
        <v>70</v>
      </c>
      <c r="G43" s="8" t="s">
        <v>207</v>
      </c>
      <c r="H43" s="8" t="s">
        <v>84</v>
      </c>
      <c r="I43" s="8" t="s">
        <v>227</v>
      </c>
      <c r="J43" s="8" t="n">
        <v>2</v>
      </c>
      <c r="K43" s="8" t="n">
        <v>3</v>
      </c>
      <c r="L43" s="18" t="n">
        <f aca="false">INDEX('All Items'!$Q:$Q,MATCH($A43,'All Items'!$A:$A,0))</f>
        <v>6.9</v>
      </c>
      <c r="M43" s="8" t="s">
        <v>658</v>
      </c>
      <c r="N43" s="8" t="s">
        <v>659</v>
      </c>
      <c r="O43" s="8" t="s">
        <v>660</v>
      </c>
      <c r="P43" s="8" t="s">
        <v>661</v>
      </c>
      <c r="Q43" s="8" t="s">
        <v>454</v>
      </c>
      <c r="R43" s="8" t="s">
        <v>662</v>
      </c>
      <c r="S43" s="19" t="s">
        <v>663</v>
      </c>
      <c r="T43" s="8" t="s">
        <v>664</v>
      </c>
      <c r="U43" s="8"/>
      <c r="V43" s="8" t="n">
        <f aca="false">COUNTA(M43:R43)</f>
        <v>6</v>
      </c>
      <c r="W43" s="8" t="s">
        <v>259</v>
      </c>
      <c r="X43" s="8" t="s">
        <v>218</v>
      </c>
      <c r="Y43" s="8" t="s">
        <v>218</v>
      </c>
      <c r="Z43" s="8"/>
      <c r="AA43" s="8" t="s">
        <v>665</v>
      </c>
      <c r="AB43" s="20"/>
      <c r="AC43" s="20"/>
      <c r="AD43" s="20"/>
      <c r="AE43" s="8" t="s">
        <v>237</v>
      </c>
      <c r="AF43" s="8" t="s">
        <v>224</v>
      </c>
    </row>
    <row r="44" customFormat="false" ht="15" hidden="false" customHeight="false" outlineLevel="0" collapsed="false">
      <c r="A44" s="8" t="s">
        <v>666</v>
      </c>
      <c r="B44" s="8" t="s">
        <v>667</v>
      </c>
      <c r="C44" s="8"/>
      <c r="D44" s="8" t="s">
        <v>206</v>
      </c>
      <c r="E44" s="8" t="s">
        <v>111</v>
      </c>
      <c r="F44" s="8" t="s">
        <v>70</v>
      </c>
      <c r="G44" s="8" t="s">
        <v>207</v>
      </c>
      <c r="H44" s="8" t="s">
        <v>79</v>
      </c>
      <c r="I44" s="8" t="s">
        <v>227</v>
      </c>
      <c r="J44" s="8" t="n">
        <v>1</v>
      </c>
      <c r="K44" s="8" t="n">
        <v>5</v>
      </c>
      <c r="L44" s="18" t="n">
        <f aca="false">INDEX('All Items'!$Q:$Q,MATCH($A44,'All Items'!$A:$A,0))</f>
        <v>9.75</v>
      </c>
      <c r="M44" s="8" t="s">
        <v>668</v>
      </c>
      <c r="N44" s="8" t="s">
        <v>618</v>
      </c>
      <c r="O44" s="8" t="s">
        <v>669</v>
      </c>
      <c r="P44" s="8" t="s">
        <v>670</v>
      </c>
      <c r="Q44" s="8" t="s">
        <v>671</v>
      </c>
      <c r="R44" s="8" t="s">
        <v>672</v>
      </c>
      <c r="S44" s="19" t="s">
        <v>673</v>
      </c>
      <c r="T44" s="8" t="s">
        <v>674</v>
      </c>
      <c r="U44" s="8"/>
      <c r="V44" s="8" t="n">
        <f aca="false">COUNTA(M44:R44)</f>
        <v>6</v>
      </c>
      <c r="W44" s="8" t="s">
        <v>218</v>
      </c>
      <c r="X44" s="8" t="s">
        <v>218</v>
      </c>
      <c r="Y44" s="8" t="s">
        <v>218</v>
      </c>
      <c r="Z44" s="8"/>
      <c r="AA44" s="8" t="s">
        <v>675</v>
      </c>
      <c r="AB44" s="20"/>
      <c r="AC44" s="20"/>
      <c r="AD44" s="20"/>
      <c r="AE44" s="8" t="s">
        <v>237</v>
      </c>
      <c r="AF44" s="8" t="s">
        <v>224</v>
      </c>
    </row>
    <row r="45" customFormat="false" ht="15" hidden="false" customHeight="false" outlineLevel="0" collapsed="false">
      <c r="A45" s="8" t="s">
        <v>676</v>
      </c>
      <c r="B45" s="8" t="s">
        <v>677</v>
      </c>
      <c r="C45" s="8"/>
      <c r="D45" s="8" t="s">
        <v>206</v>
      </c>
      <c r="E45" s="8" t="s">
        <v>111</v>
      </c>
      <c r="F45" s="8" t="s">
        <v>70</v>
      </c>
      <c r="G45" s="8" t="s">
        <v>207</v>
      </c>
      <c r="H45" s="8" t="s">
        <v>79</v>
      </c>
      <c r="I45" s="8" t="s">
        <v>227</v>
      </c>
      <c r="J45" s="8" t="n">
        <v>1</v>
      </c>
      <c r="K45" s="8" t="n">
        <v>4</v>
      </c>
      <c r="L45" s="18" t="n">
        <f aca="false">INDEX('All Items'!$Q:$Q,MATCH($A45,'All Items'!$A:$A,0))</f>
        <v>8.7</v>
      </c>
      <c r="M45" s="8" t="s">
        <v>678</v>
      </c>
      <c r="N45" s="8" t="s">
        <v>679</v>
      </c>
      <c r="O45" s="8" t="s">
        <v>307</v>
      </c>
      <c r="P45" s="8" t="s">
        <v>680</v>
      </c>
      <c r="Q45" s="8" t="s">
        <v>671</v>
      </c>
      <c r="R45" s="8" t="s">
        <v>672</v>
      </c>
      <c r="S45" s="19" t="s">
        <v>681</v>
      </c>
      <c r="T45" s="8" t="s">
        <v>682</v>
      </c>
      <c r="U45" s="8"/>
      <c r="V45" s="8" t="n">
        <f aca="false">COUNTA(M45:R45)</f>
        <v>6</v>
      </c>
      <c r="W45" s="8" t="s">
        <v>218</v>
      </c>
      <c r="X45" s="8" t="s">
        <v>218</v>
      </c>
      <c r="Y45" s="8" t="s">
        <v>218</v>
      </c>
      <c r="Z45" s="8"/>
      <c r="AA45" s="8" t="s">
        <v>683</v>
      </c>
      <c r="AB45" s="20"/>
      <c r="AC45" s="20"/>
      <c r="AD45" s="20"/>
      <c r="AE45" s="8" t="s">
        <v>237</v>
      </c>
      <c r="AF45" s="8" t="s">
        <v>224</v>
      </c>
    </row>
    <row r="46" customFormat="false" ht="15" hidden="false" customHeight="false" outlineLevel="0" collapsed="false">
      <c r="A46" s="8" t="s">
        <v>684</v>
      </c>
      <c r="B46" s="8" t="s">
        <v>685</v>
      </c>
      <c r="C46" s="8"/>
      <c r="D46" s="8" t="s">
        <v>206</v>
      </c>
      <c r="E46" s="8" t="s">
        <v>111</v>
      </c>
      <c r="F46" s="8" t="s">
        <v>70</v>
      </c>
      <c r="G46" s="8" t="s">
        <v>207</v>
      </c>
      <c r="H46" s="8" t="s">
        <v>87</v>
      </c>
      <c r="I46" s="8" t="s">
        <v>227</v>
      </c>
      <c r="J46" s="8" t="n">
        <v>1</v>
      </c>
      <c r="K46" s="8" t="n">
        <v>4</v>
      </c>
      <c r="L46" s="18" t="n">
        <f aca="false">INDEX('All Items'!$Q:$Q,MATCH($A46,'All Items'!$A:$A,0))</f>
        <v>8.2</v>
      </c>
      <c r="M46" s="8" t="s">
        <v>324</v>
      </c>
      <c r="N46" s="8" t="s">
        <v>686</v>
      </c>
      <c r="O46" s="8" t="s">
        <v>687</v>
      </c>
      <c r="P46" s="8" t="s">
        <v>688</v>
      </c>
      <c r="Q46" s="8" t="s">
        <v>689</v>
      </c>
      <c r="R46" s="8" t="s">
        <v>690</v>
      </c>
      <c r="S46" s="19" t="s">
        <v>691</v>
      </c>
      <c r="T46" s="8" t="s">
        <v>692</v>
      </c>
      <c r="U46" s="8"/>
      <c r="V46" s="8" t="n">
        <f aca="false">COUNTA(M46:R46)</f>
        <v>6</v>
      </c>
      <c r="W46" s="8" t="s">
        <v>218</v>
      </c>
      <c r="X46" s="8" t="s">
        <v>218</v>
      </c>
      <c r="Y46" s="8" t="s">
        <v>218</v>
      </c>
      <c r="Z46" s="8"/>
      <c r="AA46" s="8" t="s">
        <v>693</v>
      </c>
      <c r="AB46" s="20" t="s">
        <v>694</v>
      </c>
      <c r="AC46" s="20" t="s">
        <v>221</v>
      </c>
      <c r="AD46" s="20" t="s">
        <v>695</v>
      </c>
      <c r="AE46" s="8" t="s">
        <v>223</v>
      </c>
      <c r="AF46" s="8" t="s">
        <v>224</v>
      </c>
    </row>
    <row r="47" customFormat="false" ht="15" hidden="false" customHeight="false" outlineLevel="0" collapsed="false">
      <c r="A47" s="8" t="s">
        <v>696</v>
      </c>
      <c r="B47" s="8" t="s">
        <v>697</v>
      </c>
      <c r="C47" s="8"/>
      <c r="D47" s="8" t="s">
        <v>206</v>
      </c>
      <c r="E47" s="8" t="s">
        <v>111</v>
      </c>
      <c r="F47" s="8" t="s">
        <v>70</v>
      </c>
      <c r="G47" s="8" t="s">
        <v>207</v>
      </c>
      <c r="H47" s="8" t="s">
        <v>78</v>
      </c>
      <c r="I47" s="8" t="s">
        <v>273</v>
      </c>
      <c r="J47" s="8" t="n">
        <v>1</v>
      </c>
      <c r="K47" s="8" t="n">
        <v>4</v>
      </c>
      <c r="L47" s="18" t="n">
        <f aca="false">INDEX('All Items'!$Q:$Q,MATCH($A47,'All Items'!$A:$A,0))</f>
        <v>8.7</v>
      </c>
      <c r="M47" s="8" t="s">
        <v>698</v>
      </c>
      <c r="N47" s="8" t="s">
        <v>699</v>
      </c>
      <c r="O47" s="8" t="s">
        <v>700</v>
      </c>
      <c r="P47" s="8" t="s">
        <v>701</v>
      </c>
      <c r="Q47" s="8" t="s">
        <v>702</v>
      </c>
      <c r="R47" s="8" t="s">
        <v>703</v>
      </c>
      <c r="S47" s="19" t="s">
        <v>704</v>
      </c>
      <c r="T47" s="8" t="s">
        <v>705</v>
      </c>
      <c r="U47" s="8"/>
      <c r="V47" s="8" t="n">
        <f aca="false">COUNTA(M47:R47)</f>
        <v>6</v>
      </c>
      <c r="W47" s="8" t="s">
        <v>218</v>
      </c>
      <c r="X47" s="8" t="s">
        <v>218</v>
      </c>
      <c r="Y47" s="8" t="s">
        <v>218</v>
      </c>
      <c r="Z47" s="8"/>
      <c r="AA47" s="8" t="s">
        <v>706</v>
      </c>
      <c r="AB47" s="20"/>
      <c r="AC47" s="20"/>
      <c r="AD47" s="20"/>
      <c r="AE47" s="8" t="s">
        <v>237</v>
      </c>
      <c r="AF47" s="8" t="s">
        <v>224</v>
      </c>
    </row>
    <row r="48" customFormat="false" ht="15" hidden="false" customHeight="false" outlineLevel="0" collapsed="false">
      <c r="A48" s="8" t="s">
        <v>707</v>
      </c>
      <c r="B48" s="8" t="s">
        <v>708</v>
      </c>
      <c r="C48" s="8"/>
      <c r="D48" s="8" t="s">
        <v>206</v>
      </c>
      <c r="E48" s="8" t="s">
        <v>111</v>
      </c>
      <c r="F48" s="8" t="s">
        <v>70</v>
      </c>
      <c r="G48" s="8" t="s">
        <v>207</v>
      </c>
      <c r="H48" s="8" t="s">
        <v>82</v>
      </c>
      <c r="I48" s="8" t="s">
        <v>227</v>
      </c>
      <c r="J48" s="8" t="n">
        <v>2</v>
      </c>
      <c r="K48" s="8" t="n">
        <v>3</v>
      </c>
      <c r="L48" s="18" t="n">
        <f aca="false">INDEX('All Items'!$Q:$Q,MATCH($A48,'All Items'!$A:$A,0))</f>
        <v>7.4</v>
      </c>
      <c r="M48" s="8" t="s">
        <v>709</v>
      </c>
      <c r="N48" s="8" t="s">
        <v>710</v>
      </c>
      <c r="O48" s="8" t="s">
        <v>711</v>
      </c>
      <c r="P48" s="8" t="s">
        <v>712</v>
      </c>
      <c r="Q48" s="8" t="s">
        <v>713</v>
      </c>
      <c r="R48" s="8" t="s">
        <v>714</v>
      </c>
      <c r="S48" s="19" t="s">
        <v>715</v>
      </c>
      <c r="T48" s="8" t="s">
        <v>716</v>
      </c>
      <c r="U48" s="8" t="s">
        <v>714</v>
      </c>
      <c r="V48" s="8" t="n">
        <f aca="false">COUNTA(M48:R48)</f>
        <v>6</v>
      </c>
      <c r="W48" s="8" t="s">
        <v>259</v>
      </c>
      <c r="X48" s="8" t="s">
        <v>218</v>
      </c>
      <c r="Y48" s="8" t="s">
        <v>218</v>
      </c>
      <c r="Z48" s="8"/>
      <c r="AA48" s="8" t="s">
        <v>717</v>
      </c>
      <c r="AB48" s="20"/>
      <c r="AC48" s="20"/>
      <c r="AD48" s="20"/>
      <c r="AE48" s="8" t="s">
        <v>237</v>
      </c>
      <c r="AF48" s="8" t="s">
        <v>224</v>
      </c>
    </row>
    <row r="49" customFormat="false" ht="15" hidden="false" customHeight="false" outlineLevel="0" collapsed="false">
      <c r="A49" s="8" t="s">
        <v>718</v>
      </c>
      <c r="B49" s="8" t="s">
        <v>719</v>
      </c>
      <c r="C49" s="8"/>
      <c r="D49" s="8" t="s">
        <v>206</v>
      </c>
      <c r="E49" s="8" t="s">
        <v>111</v>
      </c>
      <c r="F49" s="8" t="s">
        <v>70</v>
      </c>
      <c r="G49" s="8" t="s">
        <v>207</v>
      </c>
      <c r="H49" s="8" t="s">
        <v>79</v>
      </c>
      <c r="I49" s="8" t="s">
        <v>227</v>
      </c>
      <c r="J49" s="8" t="n">
        <v>2</v>
      </c>
      <c r="K49" s="8" t="n">
        <v>3</v>
      </c>
      <c r="L49" s="18" t="n">
        <f aca="false">INDEX('All Items'!$Q:$Q,MATCH($A49,'All Items'!$A:$A,0))</f>
        <v>7.4</v>
      </c>
      <c r="M49" s="8" t="s">
        <v>275</v>
      </c>
      <c r="N49" s="8" t="s">
        <v>686</v>
      </c>
      <c r="O49" s="8" t="s">
        <v>720</v>
      </c>
      <c r="P49" s="8" t="s">
        <v>721</v>
      </c>
      <c r="Q49" s="8" t="s">
        <v>722</v>
      </c>
      <c r="R49" s="8" t="s">
        <v>723</v>
      </c>
      <c r="S49" s="19" t="s">
        <v>724</v>
      </c>
      <c r="T49" s="8" t="s">
        <v>725</v>
      </c>
      <c r="U49" s="8"/>
      <c r="V49" s="8" t="n">
        <f aca="false">COUNTA(M49:R49)</f>
        <v>6</v>
      </c>
      <c r="W49" s="8" t="s">
        <v>259</v>
      </c>
      <c r="X49" s="8" t="s">
        <v>218</v>
      </c>
      <c r="Y49" s="8" t="s">
        <v>218</v>
      </c>
      <c r="Z49" s="8"/>
      <c r="AA49" s="8" t="s">
        <v>726</v>
      </c>
      <c r="AB49" s="20" t="s">
        <v>727</v>
      </c>
      <c r="AC49" s="20" t="s">
        <v>221</v>
      </c>
      <c r="AD49" s="20" t="s">
        <v>728</v>
      </c>
      <c r="AE49" s="8" t="s">
        <v>223</v>
      </c>
      <c r="AF49" s="8" t="s">
        <v>224</v>
      </c>
    </row>
    <row r="50" customFormat="false" ht="15" hidden="false" customHeight="false" outlineLevel="0" collapsed="false">
      <c r="A50" s="8" t="s">
        <v>729</v>
      </c>
      <c r="B50" s="8" t="s">
        <v>730</v>
      </c>
      <c r="C50" s="8"/>
      <c r="D50" s="8" t="s">
        <v>206</v>
      </c>
      <c r="E50" s="8" t="s">
        <v>111</v>
      </c>
      <c r="F50" s="8" t="s">
        <v>70</v>
      </c>
      <c r="G50" s="8" t="s">
        <v>207</v>
      </c>
      <c r="H50" s="8" t="s">
        <v>78</v>
      </c>
      <c r="I50" s="8" t="s">
        <v>227</v>
      </c>
      <c r="J50" s="8" t="n">
        <v>2</v>
      </c>
      <c r="K50" s="8" t="n">
        <v>3</v>
      </c>
      <c r="L50" s="18" t="n">
        <f aca="false">INDEX('All Items'!$Q:$Q,MATCH($A50,'All Items'!$A:$A,0))</f>
        <v>7.15</v>
      </c>
      <c r="M50" s="8" t="s">
        <v>324</v>
      </c>
      <c r="N50" s="8" t="s">
        <v>307</v>
      </c>
      <c r="O50" s="8" t="s">
        <v>731</v>
      </c>
      <c r="P50" s="8" t="s">
        <v>732</v>
      </c>
      <c r="Q50" s="8" t="s">
        <v>733</v>
      </c>
      <c r="R50" s="8" t="s">
        <v>734</v>
      </c>
      <c r="S50" s="19" t="s">
        <v>735</v>
      </c>
      <c r="T50" s="8" t="s">
        <v>736</v>
      </c>
      <c r="U50" s="8"/>
      <c r="V50" s="8" t="n">
        <f aca="false">COUNTA(M50:R50)</f>
        <v>6</v>
      </c>
      <c r="W50" s="8" t="s">
        <v>259</v>
      </c>
      <c r="X50" s="8" t="s">
        <v>218</v>
      </c>
      <c r="Y50" s="8" t="s">
        <v>218</v>
      </c>
      <c r="Z50" s="8"/>
      <c r="AA50" s="8" t="s">
        <v>737</v>
      </c>
      <c r="AB50" s="20" t="s">
        <v>738</v>
      </c>
      <c r="AC50" s="20" t="s">
        <v>527</v>
      </c>
      <c r="AD50" s="20" t="s">
        <v>528</v>
      </c>
      <c r="AE50" s="8" t="s">
        <v>223</v>
      </c>
      <c r="AF50" s="8" t="s">
        <v>224</v>
      </c>
    </row>
    <row r="51" customFormat="false" ht="15" hidden="false" customHeight="false" outlineLevel="0" collapsed="false">
      <c r="A51" s="8" t="s">
        <v>739</v>
      </c>
      <c r="B51" s="8" t="s">
        <v>740</v>
      </c>
      <c r="C51" s="8"/>
      <c r="D51" s="8" t="s">
        <v>206</v>
      </c>
      <c r="E51" s="8" t="s">
        <v>111</v>
      </c>
      <c r="F51" s="8" t="s">
        <v>70</v>
      </c>
      <c r="G51" s="8" t="s">
        <v>207</v>
      </c>
      <c r="H51" s="8" t="s">
        <v>79</v>
      </c>
      <c r="I51" s="8" t="s">
        <v>227</v>
      </c>
      <c r="J51" s="8" t="n">
        <v>2</v>
      </c>
      <c r="K51" s="8" t="n">
        <v>3</v>
      </c>
      <c r="L51" s="18" t="n">
        <f aca="false">INDEX('All Items'!$Q:$Q,MATCH($A51,'All Items'!$A:$A,0))</f>
        <v>6.9</v>
      </c>
      <c r="M51" s="8" t="s">
        <v>741</v>
      </c>
      <c r="N51" s="8" t="s">
        <v>742</v>
      </c>
      <c r="O51" s="8" t="s">
        <v>743</v>
      </c>
      <c r="P51" s="8" t="s">
        <v>744</v>
      </c>
      <c r="Q51" s="8" t="s">
        <v>745</v>
      </c>
      <c r="R51" s="8" t="s">
        <v>746</v>
      </c>
      <c r="S51" s="19" t="s">
        <v>747</v>
      </c>
      <c r="T51" s="8" t="s">
        <v>741</v>
      </c>
      <c r="U51" s="8"/>
      <c r="V51" s="8" t="n">
        <f aca="false">COUNTA(M51:R51)</f>
        <v>6</v>
      </c>
      <c r="W51" s="8" t="s">
        <v>259</v>
      </c>
      <c r="X51" s="8" t="s">
        <v>218</v>
      </c>
      <c r="Y51" s="8" t="s">
        <v>218</v>
      </c>
      <c r="Z51" s="8"/>
      <c r="AA51" s="8" t="s">
        <v>748</v>
      </c>
      <c r="AB51" s="20"/>
      <c r="AC51" s="20"/>
      <c r="AD51" s="20"/>
      <c r="AE51" s="8" t="s">
        <v>237</v>
      </c>
      <c r="AF51" s="8" t="s">
        <v>224</v>
      </c>
    </row>
    <row r="52" customFormat="false" ht="15" hidden="false" customHeight="false" outlineLevel="0" collapsed="false">
      <c r="A52" s="8" t="s">
        <v>749</v>
      </c>
      <c r="B52" s="8" t="s">
        <v>750</v>
      </c>
      <c r="C52" s="8"/>
      <c r="D52" s="8" t="s">
        <v>206</v>
      </c>
      <c r="E52" s="8" t="s">
        <v>111</v>
      </c>
      <c r="F52" s="8" t="s">
        <v>70</v>
      </c>
      <c r="G52" s="8" t="s">
        <v>207</v>
      </c>
      <c r="H52" s="8" t="s">
        <v>81</v>
      </c>
      <c r="I52" s="8" t="s">
        <v>227</v>
      </c>
      <c r="J52" s="8" t="n">
        <v>1</v>
      </c>
      <c r="K52" s="8" t="n">
        <v>4</v>
      </c>
      <c r="L52" s="18" t="n">
        <f aca="false">INDEX('All Items'!$Q:$Q,MATCH($A52,'All Items'!$A:$A,0))</f>
        <v>8.7</v>
      </c>
      <c r="M52" s="8" t="s">
        <v>751</v>
      </c>
      <c r="N52" s="8" t="s">
        <v>752</v>
      </c>
      <c r="O52" s="8" t="s">
        <v>753</v>
      </c>
      <c r="P52" s="8" t="s">
        <v>754</v>
      </c>
      <c r="Q52" s="8" t="s">
        <v>755</v>
      </c>
      <c r="R52" s="8" t="s">
        <v>756</v>
      </c>
      <c r="S52" s="19" t="s">
        <v>757</v>
      </c>
      <c r="T52" s="8" t="s">
        <v>758</v>
      </c>
      <c r="U52" s="8" t="s">
        <v>756</v>
      </c>
      <c r="V52" s="8" t="n">
        <f aca="false">COUNTA(M52:R52)</f>
        <v>6</v>
      </c>
      <c r="W52" s="8" t="s">
        <v>218</v>
      </c>
      <c r="X52" s="8" t="s">
        <v>218</v>
      </c>
      <c r="Y52" s="8" t="s">
        <v>218</v>
      </c>
      <c r="Z52" s="8"/>
      <c r="AA52" s="8" t="s">
        <v>759</v>
      </c>
      <c r="AB52" s="20" t="s">
        <v>760</v>
      </c>
      <c r="AC52" s="20" t="s">
        <v>221</v>
      </c>
      <c r="AD52" s="20" t="s">
        <v>761</v>
      </c>
      <c r="AE52" s="8" t="s">
        <v>223</v>
      </c>
      <c r="AF52" s="8" t="s">
        <v>224</v>
      </c>
    </row>
    <row r="53" customFormat="false" ht="15" hidden="false" customHeight="false" outlineLevel="0" collapsed="false">
      <c r="A53" s="8" t="s">
        <v>762</v>
      </c>
      <c r="B53" s="8" t="s">
        <v>763</v>
      </c>
      <c r="C53" s="8"/>
      <c r="D53" s="8" t="s">
        <v>206</v>
      </c>
      <c r="E53" s="8" t="s">
        <v>111</v>
      </c>
      <c r="F53" s="8" t="s">
        <v>70</v>
      </c>
      <c r="G53" s="8" t="s">
        <v>207</v>
      </c>
      <c r="H53" s="8" t="s">
        <v>84</v>
      </c>
      <c r="I53" s="8" t="s">
        <v>227</v>
      </c>
      <c r="J53" s="8" t="n">
        <v>2</v>
      </c>
      <c r="K53" s="8" t="n">
        <v>3</v>
      </c>
      <c r="L53" s="18" t="n">
        <f aca="false">INDEX('All Items'!$Q:$Q,MATCH($A53,'All Items'!$A:$A,0))</f>
        <v>7.15</v>
      </c>
      <c r="M53" s="8" t="s">
        <v>764</v>
      </c>
      <c r="N53" s="8" t="s">
        <v>765</v>
      </c>
      <c r="O53" s="8" t="s">
        <v>347</v>
      </c>
      <c r="P53" s="8" t="s">
        <v>531</v>
      </c>
      <c r="Q53" s="8" t="s">
        <v>766</v>
      </c>
      <c r="R53" s="8" t="s">
        <v>767</v>
      </c>
      <c r="S53" s="19" t="s">
        <v>768</v>
      </c>
      <c r="T53" s="8" t="s">
        <v>769</v>
      </c>
      <c r="U53" s="8"/>
      <c r="V53" s="8" t="n">
        <f aca="false">COUNTA(M53:R53)</f>
        <v>6</v>
      </c>
      <c r="W53" s="8" t="s">
        <v>259</v>
      </c>
      <c r="X53" s="8" t="s">
        <v>218</v>
      </c>
      <c r="Y53" s="8" t="s">
        <v>218</v>
      </c>
      <c r="Z53" s="8"/>
      <c r="AA53" s="8" t="s">
        <v>770</v>
      </c>
      <c r="AB53" s="20"/>
      <c r="AC53" s="20"/>
      <c r="AD53" s="20"/>
      <c r="AE53" s="8" t="s">
        <v>237</v>
      </c>
      <c r="AF53" s="8" t="s">
        <v>224</v>
      </c>
    </row>
    <row r="54" customFormat="false" ht="15" hidden="false" customHeight="false" outlineLevel="0" collapsed="false">
      <c r="A54" s="8" t="s">
        <v>771</v>
      </c>
      <c r="B54" s="8" t="s">
        <v>772</v>
      </c>
      <c r="C54" s="8"/>
      <c r="D54" s="8" t="s">
        <v>206</v>
      </c>
      <c r="E54" s="8" t="s">
        <v>111</v>
      </c>
      <c r="F54" s="8" t="s">
        <v>70</v>
      </c>
      <c r="G54" s="8" t="s">
        <v>207</v>
      </c>
      <c r="H54" s="8" t="s">
        <v>84</v>
      </c>
      <c r="I54" s="8" t="s">
        <v>227</v>
      </c>
      <c r="J54" s="8" t="n">
        <v>1</v>
      </c>
      <c r="K54" s="8" t="n">
        <v>4</v>
      </c>
      <c r="L54" s="18" t="n">
        <f aca="false">INDEX('All Items'!$Q:$Q,MATCH($A54,'All Items'!$A:$A,0))</f>
        <v>8.45</v>
      </c>
      <c r="M54" s="8" t="s">
        <v>764</v>
      </c>
      <c r="N54" s="8" t="s">
        <v>347</v>
      </c>
      <c r="O54" s="8" t="s">
        <v>463</v>
      </c>
      <c r="P54" s="8" t="s">
        <v>773</v>
      </c>
      <c r="Q54" s="8" t="s">
        <v>774</v>
      </c>
      <c r="R54" s="8" t="s">
        <v>775</v>
      </c>
      <c r="S54" s="19" t="s">
        <v>776</v>
      </c>
      <c r="T54" s="8" t="s">
        <v>777</v>
      </c>
      <c r="U54" s="8"/>
      <c r="V54" s="8" t="n">
        <f aca="false">COUNTA(M54:R54)</f>
        <v>6</v>
      </c>
      <c r="W54" s="8" t="s">
        <v>218</v>
      </c>
      <c r="X54" s="8" t="s">
        <v>218</v>
      </c>
      <c r="Y54" s="8" t="s">
        <v>218</v>
      </c>
      <c r="Z54" s="8"/>
      <c r="AA54" s="8" t="s">
        <v>778</v>
      </c>
      <c r="AB54" s="20"/>
      <c r="AC54" s="20"/>
      <c r="AD54" s="20"/>
      <c r="AE54" s="8" t="s">
        <v>237</v>
      </c>
      <c r="AF54" s="8" t="s">
        <v>224</v>
      </c>
    </row>
    <row r="55" customFormat="false" ht="15" hidden="false" customHeight="false" outlineLevel="0" collapsed="false">
      <c r="A55" s="8" t="s">
        <v>779</v>
      </c>
      <c r="B55" s="8" t="s">
        <v>780</v>
      </c>
      <c r="C55" s="8"/>
      <c r="D55" s="8" t="s">
        <v>206</v>
      </c>
      <c r="E55" s="8" t="s">
        <v>111</v>
      </c>
      <c r="F55" s="8" t="s">
        <v>70</v>
      </c>
      <c r="G55" s="8" t="s">
        <v>207</v>
      </c>
      <c r="H55" s="8" t="s">
        <v>79</v>
      </c>
      <c r="I55" s="8" t="s">
        <v>273</v>
      </c>
      <c r="J55" s="8" t="n">
        <v>2</v>
      </c>
      <c r="K55" s="8" t="n">
        <v>3</v>
      </c>
      <c r="L55" s="18" t="n">
        <f aca="false">INDEX('All Items'!$Q:$Q,MATCH($A55,'All Items'!$A:$A,0))</f>
        <v>7.4</v>
      </c>
      <c r="M55" s="8" t="s">
        <v>307</v>
      </c>
      <c r="N55" s="8" t="s">
        <v>618</v>
      </c>
      <c r="O55" s="8" t="s">
        <v>781</v>
      </c>
      <c r="P55" s="8" t="s">
        <v>782</v>
      </c>
      <c r="Q55" s="8" t="s">
        <v>783</v>
      </c>
      <c r="R55" s="8" t="s">
        <v>784</v>
      </c>
      <c r="S55" s="19" t="s">
        <v>785</v>
      </c>
      <c r="T55" s="8" t="s">
        <v>786</v>
      </c>
      <c r="U55" s="8"/>
      <c r="V55" s="8" t="n">
        <f aca="false">COUNTA(M55:R55)</f>
        <v>6</v>
      </c>
      <c r="W55" s="8" t="s">
        <v>259</v>
      </c>
      <c r="X55" s="8" t="s">
        <v>218</v>
      </c>
      <c r="Y55" s="8" t="s">
        <v>218</v>
      </c>
      <c r="Z55" s="8"/>
      <c r="AA55" s="8" t="s">
        <v>787</v>
      </c>
      <c r="AB55" s="20"/>
      <c r="AC55" s="20"/>
      <c r="AD55" s="20"/>
      <c r="AE55" s="8" t="s">
        <v>237</v>
      </c>
      <c r="AF55" s="8" t="s">
        <v>224</v>
      </c>
    </row>
    <row r="56" customFormat="false" ht="15" hidden="false" customHeight="false" outlineLevel="0" collapsed="false">
      <c r="A56" s="8" t="s">
        <v>788</v>
      </c>
      <c r="B56" s="8" t="s">
        <v>789</v>
      </c>
      <c r="C56" s="8"/>
      <c r="D56" s="8" t="s">
        <v>206</v>
      </c>
      <c r="E56" s="8" t="s">
        <v>111</v>
      </c>
      <c r="F56" s="8" t="s">
        <v>70</v>
      </c>
      <c r="G56" s="8" t="s">
        <v>207</v>
      </c>
      <c r="H56" s="8" t="s">
        <v>78</v>
      </c>
      <c r="I56" s="8" t="s">
        <v>273</v>
      </c>
      <c r="J56" s="8" t="n">
        <v>2</v>
      </c>
      <c r="K56" s="8" t="n">
        <v>3</v>
      </c>
      <c r="L56" s="18" t="n">
        <f aca="false">INDEX('All Items'!$Q:$Q,MATCH($A56,'All Items'!$A:$A,0))</f>
        <v>7.4</v>
      </c>
      <c r="M56" s="8" t="s">
        <v>586</v>
      </c>
      <c r="N56" s="8" t="s">
        <v>790</v>
      </c>
      <c r="O56" s="8" t="s">
        <v>791</v>
      </c>
      <c r="P56" s="8" t="s">
        <v>792</v>
      </c>
      <c r="Q56" s="8" t="s">
        <v>793</v>
      </c>
      <c r="R56" s="8" t="s">
        <v>794</v>
      </c>
      <c r="S56" s="19" t="s">
        <v>795</v>
      </c>
      <c r="T56" s="8" t="s">
        <v>796</v>
      </c>
      <c r="U56" s="8" t="s">
        <v>797</v>
      </c>
      <c r="V56" s="8" t="n">
        <f aca="false">COUNTA(M56:R56)</f>
        <v>6</v>
      </c>
      <c r="W56" s="8" t="s">
        <v>259</v>
      </c>
      <c r="X56" s="8" t="s">
        <v>218</v>
      </c>
      <c r="Y56" s="8" t="s">
        <v>218</v>
      </c>
      <c r="Z56" s="8"/>
      <c r="AA56" s="8" t="s">
        <v>798</v>
      </c>
      <c r="AB56" s="20"/>
      <c r="AC56" s="20"/>
      <c r="AD56" s="20"/>
      <c r="AE56" s="8" t="s">
        <v>237</v>
      </c>
      <c r="AF56" s="8" t="s">
        <v>224</v>
      </c>
    </row>
    <row r="57" customFormat="false" ht="15" hidden="false" customHeight="false" outlineLevel="0" collapsed="false">
      <c r="A57" s="8" t="s">
        <v>799</v>
      </c>
      <c r="B57" s="8" t="s">
        <v>800</v>
      </c>
      <c r="C57" s="8"/>
      <c r="D57" s="8" t="s">
        <v>206</v>
      </c>
      <c r="E57" s="8" t="s">
        <v>104</v>
      </c>
      <c r="F57" s="8" t="s">
        <v>70</v>
      </c>
      <c r="G57" s="8" t="s">
        <v>207</v>
      </c>
      <c r="H57" s="8" t="s">
        <v>81</v>
      </c>
      <c r="I57" s="8" t="s">
        <v>273</v>
      </c>
      <c r="J57" s="8" t="n">
        <v>1</v>
      </c>
      <c r="K57" s="8" t="n">
        <v>5</v>
      </c>
      <c r="L57" s="18" t="n">
        <f aca="false">INDEX('All Items'!$Q:$Q,MATCH($A57,'All Items'!$A:$A,0))</f>
        <v>9.75</v>
      </c>
      <c r="M57" s="8" t="s">
        <v>801</v>
      </c>
      <c r="N57" s="8" t="s">
        <v>307</v>
      </c>
      <c r="O57" s="8" t="s">
        <v>802</v>
      </c>
      <c r="P57" s="8" t="s">
        <v>803</v>
      </c>
      <c r="Q57" s="8" t="s">
        <v>804</v>
      </c>
      <c r="R57" s="8" t="s">
        <v>752</v>
      </c>
      <c r="S57" s="19" t="s">
        <v>805</v>
      </c>
      <c r="T57" s="8" t="s">
        <v>806</v>
      </c>
      <c r="U57" s="8" t="s">
        <v>752</v>
      </c>
      <c r="V57" s="8" t="n">
        <f aca="false">COUNTA(M57:R57)</f>
        <v>6</v>
      </c>
      <c r="W57" s="8" t="s">
        <v>218</v>
      </c>
      <c r="X57" s="8" t="s">
        <v>218</v>
      </c>
      <c r="Y57" s="8" t="s">
        <v>218</v>
      </c>
      <c r="Z57" s="8"/>
      <c r="AA57" s="8" t="s">
        <v>807</v>
      </c>
      <c r="AB57" s="20" t="s">
        <v>808</v>
      </c>
      <c r="AC57" s="20" t="s">
        <v>221</v>
      </c>
      <c r="AD57" s="20" t="s">
        <v>809</v>
      </c>
      <c r="AE57" s="8" t="s">
        <v>223</v>
      </c>
      <c r="AF57" s="8" t="s">
        <v>224</v>
      </c>
    </row>
    <row r="58" customFormat="false" ht="15" hidden="false" customHeight="false" outlineLevel="0" collapsed="false">
      <c r="A58" s="8" t="s">
        <v>810</v>
      </c>
      <c r="B58" s="8" t="s">
        <v>811</v>
      </c>
      <c r="C58" s="8"/>
      <c r="D58" s="8" t="s">
        <v>206</v>
      </c>
      <c r="E58" s="8" t="s">
        <v>104</v>
      </c>
      <c r="F58" s="8" t="s">
        <v>70</v>
      </c>
      <c r="G58" s="8" t="s">
        <v>207</v>
      </c>
      <c r="H58" s="8" t="s">
        <v>81</v>
      </c>
      <c r="I58" s="8" t="s">
        <v>227</v>
      </c>
      <c r="J58" s="8" t="n">
        <v>1</v>
      </c>
      <c r="K58" s="8" t="n">
        <v>5</v>
      </c>
      <c r="L58" s="18" t="n">
        <f aca="false">INDEX('All Items'!$Q:$Q,MATCH($A58,'All Items'!$A:$A,0))</f>
        <v>10</v>
      </c>
      <c r="M58" s="8" t="s">
        <v>812</v>
      </c>
      <c r="N58" s="8" t="s">
        <v>813</v>
      </c>
      <c r="O58" s="8" t="s">
        <v>814</v>
      </c>
      <c r="P58" s="8" t="s">
        <v>815</v>
      </c>
      <c r="Q58" s="8" t="s">
        <v>752</v>
      </c>
      <c r="R58" s="8" t="s">
        <v>816</v>
      </c>
      <c r="S58" s="19" t="s">
        <v>817</v>
      </c>
      <c r="T58" s="8" t="s">
        <v>818</v>
      </c>
      <c r="U58" s="8" t="s">
        <v>819</v>
      </c>
      <c r="V58" s="8" t="n">
        <f aca="false">COUNTA(M58:R58)</f>
        <v>6</v>
      </c>
      <c r="W58" s="8" t="s">
        <v>218</v>
      </c>
      <c r="X58" s="8" t="s">
        <v>218</v>
      </c>
      <c r="Y58" s="8" t="s">
        <v>218</v>
      </c>
      <c r="Z58" s="8"/>
      <c r="AA58" s="8" t="s">
        <v>820</v>
      </c>
      <c r="AB58" s="20"/>
      <c r="AC58" s="20"/>
      <c r="AD58" s="20"/>
      <c r="AE58" s="8" t="s">
        <v>237</v>
      </c>
      <c r="AF58" s="8" t="s">
        <v>224</v>
      </c>
    </row>
    <row r="59" customFormat="false" ht="15" hidden="false" customHeight="false" outlineLevel="0" collapsed="false">
      <c r="A59" s="8" t="s">
        <v>821</v>
      </c>
      <c r="B59" s="8" t="s">
        <v>822</v>
      </c>
      <c r="C59" s="8"/>
      <c r="D59" s="8" t="s">
        <v>206</v>
      </c>
      <c r="E59" s="8" t="s">
        <v>104</v>
      </c>
      <c r="F59" s="8" t="s">
        <v>70</v>
      </c>
      <c r="G59" s="8" t="s">
        <v>207</v>
      </c>
      <c r="H59" s="8" t="s">
        <v>82</v>
      </c>
      <c r="I59" s="8" t="s">
        <v>273</v>
      </c>
      <c r="J59" s="8" t="n">
        <v>1</v>
      </c>
      <c r="K59" s="8" t="n">
        <v>4</v>
      </c>
      <c r="L59" s="18" t="n">
        <f aca="false">INDEX('All Items'!$Q:$Q,MATCH($A59,'All Items'!$A:$A,0))</f>
        <v>8.7</v>
      </c>
      <c r="M59" s="8" t="s">
        <v>823</v>
      </c>
      <c r="N59" s="8" t="s">
        <v>824</v>
      </c>
      <c r="O59" s="8" t="s">
        <v>825</v>
      </c>
      <c r="P59" s="8" t="s">
        <v>826</v>
      </c>
      <c r="Q59" s="8" t="s">
        <v>827</v>
      </c>
      <c r="R59" s="8" t="s">
        <v>752</v>
      </c>
      <c r="S59" s="19" t="s">
        <v>828</v>
      </c>
      <c r="T59" s="8" t="s">
        <v>829</v>
      </c>
      <c r="U59" s="8" t="s">
        <v>752</v>
      </c>
      <c r="V59" s="8" t="n">
        <f aca="false">COUNTA(M59:R59)</f>
        <v>6</v>
      </c>
      <c r="W59" s="8" t="s">
        <v>218</v>
      </c>
      <c r="X59" s="8" t="s">
        <v>218</v>
      </c>
      <c r="Y59" s="8" t="s">
        <v>218</v>
      </c>
      <c r="Z59" s="8"/>
      <c r="AA59" s="8" t="s">
        <v>830</v>
      </c>
      <c r="AB59" s="20" t="s">
        <v>831</v>
      </c>
      <c r="AC59" s="20" t="s">
        <v>221</v>
      </c>
      <c r="AD59" s="20" t="s">
        <v>832</v>
      </c>
      <c r="AE59" s="8" t="s">
        <v>223</v>
      </c>
      <c r="AF59" s="8" t="s">
        <v>224</v>
      </c>
    </row>
    <row r="60" customFormat="false" ht="15" hidden="false" customHeight="false" outlineLevel="0" collapsed="false">
      <c r="A60" s="8" t="s">
        <v>833</v>
      </c>
      <c r="B60" s="8" t="s">
        <v>834</v>
      </c>
      <c r="C60" s="8"/>
      <c r="D60" s="8" t="s">
        <v>206</v>
      </c>
      <c r="E60" s="8" t="s">
        <v>104</v>
      </c>
      <c r="F60" s="8" t="s">
        <v>70</v>
      </c>
      <c r="G60" s="8" t="s">
        <v>207</v>
      </c>
      <c r="H60" s="8" t="s">
        <v>82</v>
      </c>
      <c r="I60" s="8" t="s">
        <v>273</v>
      </c>
      <c r="J60" s="8" t="n">
        <v>1</v>
      </c>
      <c r="K60" s="8" t="n">
        <v>5</v>
      </c>
      <c r="L60" s="18" t="n">
        <f aca="false">INDEX('All Items'!$Q:$Q,MATCH($A60,'All Items'!$A:$A,0))</f>
        <v>9.5</v>
      </c>
      <c r="M60" s="8" t="s">
        <v>835</v>
      </c>
      <c r="N60" s="8" t="s">
        <v>791</v>
      </c>
      <c r="O60" s="8" t="s">
        <v>836</v>
      </c>
      <c r="P60" s="8" t="s">
        <v>837</v>
      </c>
      <c r="Q60" s="8" t="s">
        <v>733</v>
      </c>
      <c r="R60" s="8" t="s">
        <v>838</v>
      </c>
      <c r="S60" s="19" t="s">
        <v>839</v>
      </c>
      <c r="T60" s="8" t="s">
        <v>840</v>
      </c>
      <c r="U60" s="8"/>
      <c r="V60" s="8" t="n">
        <f aca="false">COUNTA(M60:R60)</f>
        <v>6</v>
      </c>
      <c r="W60" s="8" t="s">
        <v>218</v>
      </c>
      <c r="X60" s="8" t="s">
        <v>218</v>
      </c>
      <c r="Y60" s="8" t="s">
        <v>218</v>
      </c>
      <c r="Z60" s="8"/>
      <c r="AA60" s="8" t="s">
        <v>841</v>
      </c>
      <c r="AB60" s="20"/>
      <c r="AC60" s="20"/>
      <c r="AD60" s="20"/>
      <c r="AE60" s="8" t="s">
        <v>237</v>
      </c>
      <c r="AF60" s="8" t="s">
        <v>224</v>
      </c>
    </row>
    <row r="61" customFormat="false" ht="15" hidden="false" customHeight="false" outlineLevel="0" collapsed="false">
      <c r="A61" s="8" t="s">
        <v>842</v>
      </c>
      <c r="B61" s="8" t="s">
        <v>843</v>
      </c>
      <c r="C61" s="8"/>
      <c r="D61" s="8" t="s">
        <v>206</v>
      </c>
      <c r="E61" s="8" t="s">
        <v>104</v>
      </c>
      <c r="F61" s="8" t="s">
        <v>70</v>
      </c>
      <c r="G61" s="8" t="s">
        <v>207</v>
      </c>
      <c r="H61" s="8" t="s">
        <v>82</v>
      </c>
      <c r="I61" s="8" t="s">
        <v>227</v>
      </c>
      <c r="J61" s="8" t="n">
        <v>1</v>
      </c>
      <c r="K61" s="8" t="n">
        <v>4</v>
      </c>
      <c r="L61" s="18" t="n">
        <f aca="false">INDEX('All Items'!$Q:$Q,MATCH($A61,'All Items'!$A:$A,0))</f>
        <v>8.2</v>
      </c>
      <c r="M61" s="8" t="s">
        <v>251</v>
      </c>
      <c r="N61" s="8" t="s">
        <v>791</v>
      </c>
      <c r="O61" s="8" t="s">
        <v>844</v>
      </c>
      <c r="P61" s="8" t="s">
        <v>845</v>
      </c>
      <c r="Q61" s="8" t="s">
        <v>846</v>
      </c>
      <c r="R61" s="8"/>
      <c r="S61" s="19" t="s">
        <v>847</v>
      </c>
      <c r="T61" s="8" t="s">
        <v>848</v>
      </c>
      <c r="U61" s="8"/>
      <c r="V61" s="8" t="n">
        <f aca="false">COUNTA(M61:R61)</f>
        <v>5</v>
      </c>
      <c r="W61" s="8" t="s">
        <v>218</v>
      </c>
      <c r="X61" s="8" t="s">
        <v>218</v>
      </c>
      <c r="Y61" s="8" t="s">
        <v>218</v>
      </c>
      <c r="Z61" s="8"/>
      <c r="AA61" s="8" t="s">
        <v>849</v>
      </c>
      <c r="AB61" s="20"/>
      <c r="AC61" s="20"/>
      <c r="AD61" s="20"/>
      <c r="AE61" s="8" t="s">
        <v>237</v>
      </c>
      <c r="AF61" s="8" t="s">
        <v>224</v>
      </c>
    </row>
    <row r="62" customFormat="false" ht="15" hidden="false" customHeight="false" outlineLevel="0" collapsed="false">
      <c r="A62" s="8" t="s">
        <v>850</v>
      </c>
      <c r="B62" s="8" t="s">
        <v>851</v>
      </c>
      <c r="C62" s="8"/>
      <c r="D62" s="8" t="s">
        <v>206</v>
      </c>
      <c r="E62" s="8" t="s">
        <v>104</v>
      </c>
      <c r="F62" s="8" t="s">
        <v>70</v>
      </c>
      <c r="G62" s="8" t="s">
        <v>207</v>
      </c>
      <c r="H62" s="8" t="s">
        <v>84</v>
      </c>
      <c r="I62" s="8" t="s">
        <v>227</v>
      </c>
      <c r="J62" s="8" t="n">
        <v>1</v>
      </c>
      <c r="K62" s="8" t="n">
        <v>4</v>
      </c>
      <c r="L62" s="18" t="n">
        <f aca="false">INDEX('All Items'!$Q:$Q,MATCH($A62,'All Items'!$A:$A,0))</f>
        <v>8.7</v>
      </c>
      <c r="M62" s="8" t="s">
        <v>764</v>
      </c>
      <c r="N62" s="8" t="s">
        <v>852</v>
      </c>
      <c r="O62" s="8" t="s">
        <v>853</v>
      </c>
      <c r="P62" s="8" t="s">
        <v>586</v>
      </c>
      <c r="Q62" s="8" t="s">
        <v>854</v>
      </c>
      <c r="R62" s="8" t="s">
        <v>855</v>
      </c>
      <c r="S62" s="19" t="s">
        <v>856</v>
      </c>
      <c r="T62" s="8" t="s">
        <v>857</v>
      </c>
      <c r="U62" s="8"/>
      <c r="V62" s="8" t="n">
        <f aca="false">COUNTA(M62:R62)</f>
        <v>6</v>
      </c>
      <c r="W62" s="8" t="s">
        <v>218</v>
      </c>
      <c r="X62" s="8" t="s">
        <v>218</v>
      </c>
      <c r="Y62" s="8" t="s">
        <v>218</v>
      </c>
      <c r="Z62" s="8"/>
      <c r="AA62" s="8" t="s">
        <v>858</v>
      </c>
      <c r="AB62" s="20"/>
      <c r="AC62" s="20"/>
      <c r="AD62" s="20"/>
      <c r="AE62" s="8" t="s">
        <v>237</v>
      </c>
      <c r="AF62" s="8" t="s">
        <v>224</v>
      </c>
    </row>
    <row r="63" customFormat="false" ht="15" hidden="false" customHeight="false" outlineLevel="0" collapsed="false">
      <c r="A63" s="8" t="s">
        <v>859</v>
      </c>
      <c r="B63" s="8" t="s">
        <v>860</v>
      </c>
      <c r="C63" s="8"/>
      <c r="D63" s="8" t="s">
        <v>206</v>
      </c>
      <c r="E63" s="8" t="s">
        <v>104</v>
      </c>
      <c r="F63" s="8" t="s">
        <v>70</v>
      </c>
      <c r="G63" s="8" t="s">
        <v>207</v>
      </c>
      <c r="H63" s="8" t="s">
        <v>84</v>
      </c>
      <c r="I63" s="8" t="s">
        <v>227</v>
      </c>
      <c r="J63" s="8" t="n">
        <v>1</v>
      </c>
      <c r="K63" s="8" t="n">
        <v>4</v>
      </c>
      <c r="L63" s="18" t="n">
        <f aca="false">INDEX('All Items'!$Q:$Q,MATCH($A63,'All Items'!$A:$A,0))</f>
        <v>8.7</v>
      </c>
      <c r="M63" s="8" t="s">
        <v>861</v>
      </c>
      <c r="N63" s="8" t="s">
        <v>586</v>
      </c>
      <c r="O63" s="8" t="s">
        <v>678</v>
      </c>
      <c r="P63" s="8" t="s">
        <v>862</v>
      </c>
      <c r="Q63" s="8" t="s">
        <v>863</v>
      </c>
      <c r="R63" s="8" t="s">
        <v>864</v>
      </c>
      <c r="S63" s="19" t="s">
        <v>865</v>
      </c>
      <c r="T63" s="8" t="s">
        <v>866</v>
      </c>
      <c r="U63" s="8"/>
      <c r="V63" s="8" t="n">
        <f aca="false">COUNTA(M63:R63)</f>
        <v>6</v>
      </c>
      <c r="W63" s="8" t="s">
        <v>218</v>
      </c>
      <c r="X63" s="8" t="s">
        <v>218</v>
      </c>
      <c r="Y63" s="8" t="s">
        <v>218</v>
      </c>
      <c r="Z63" s="8"/>
      <c r="AA63" s="8" t="s">
        <v>867</v>
      </c>
      <c r="AB63" s="20"/>
      <c r="AC63" s="20"/>
      <c r="AD63" s="20"/>
      <c r="AE63" s="8" t="s">
        <v>237</v>
      </c>
      <c r="AF63" s="8" t="s">
        <v>224</v>
      </c>
    </row>
    <row r="64" customFormat="false" ht="15" hidden="false" customHeight="false" outlineLevel="0" collapsed="false">
      <c r="A64" s="8" t="s">
        <v>868</v>
      </c>
      <c r="B64" s="8" t="s">
        <v>869</v>
      </c>
      <c r="C64" s="8"/>
      <c r="D64" s="8" t="s">
        <v>206</v>
      </c>
      <c r="E64" s="8" t="s">
        <v>104</v>
      </c>
      <c r="F64" s="8" t="s">
        <v>70</v>
      </c>
      <c r="G64" s="8" t="s">
        <v>207</v>
      </c>
      <c r="H64" s="8" t="s">
        <v>82</v>
      </c>
      <c r="I64" s="8" t="s">
        <v>273</v>
      </c>
      <c r="J64" s="8" t="n">
        <v>2</v>
      </c>
      <c r="K64" s="8" t="n">
        <v>3</v>
      </c>
      <c r="L64" s="18" t="n">
        <f aca="false">INDEX('All Items'!$Q:$Q,MATCH($A64,'All Items'!$A:$A,0))</f>
        <v>6.65</v>
      </c>
      <c r="M64" s="8" t="s">
        <v>870</v>
      </c>
      <c r="N64" s="8" t="s">
        <v>871</v>
      </c>
      <c r="O64" s="8" t="s">
        <v>872</v>
      </c>
      <c r="P64" s="8" t="s">
        <v>873</v>
      </c>
      <c r="Q64" s="8" t="s">
        <v>874</v>
      </c>
      <c r="R64" s="8" t="s">
        <v>875</v>
      </c>
      <c r="S64" s="19" t="s">
        <v>876</v>
      </c>
      <c r="T64" s="8" t="s">
        <v>877</v>
      </c>
      <c r="U64" s="8"/>
      <c r="V64" s="8" t="n">
        <f aca="false">COUNTA(M64:R64)</f>
        <v>6</v>
      </c>
      <c r="W64" s="8" t="s">
        <v>259</v>
      </c>
      <c r="X64" s="8" t="s">
        <v>218</v>
      </c>
      <c r="Y64" s="8" t="s">
        <v>218</v>
      </c>
      <c r="Z64" s="8"/>
      <c r="AA64" s="8" t="s">
        <v>878</v>
      </c>
      <c r="AB64" s="20" t="s">
        <v>879</v>
      </c>
      <c r="AC64" s="20" t="s">
        <v>221</v>
      </c>
      <c r="AD64" s="20" t="s">
        <v>880</v>
      </c>
      <c r="AE64" s="8" t="s">
        <v>223</v>
      </c>
      <c r="AF64" s="8" t="s">
        <v>224</v>
      </c>
    </row>
    <row r="65" customFormat="false" ht="15" hidden="false" customHeight="false" outlineLevel="0" collapsed="false">
      <c r="A65" s="8" t="s">
        <v>881</v>
      </c>
      <c r="B65" s="8" t="s">
        <v>882</v>
      </c>
      <c r="C65" s="8"/>
      <c r="D65" s="8" t="s">
        <v>206</v>
      </c>
      <c r="E65" s="8" t="s">
        <v>104</v>
      </c>
      <c r="F65" s="8" t="s">
        <v>70</v>
      </c>
      <c r="G65" s="8" t="s">
        <v>207</v>
      </c>
      <c r="H65" s="8" t="s">
        <v>78</v>
      </c>
      <c r="I65" s="8" t="s">
        <v>208</v>
      </c>
      <c r="J65" s="8" t="n">
        <v>2</v>
      </c>
      <c r="K65" s="8" t="n">
        <v>3</v>
      </c>
      <c r="L65" s="18" t="n">
        <f aca="false">INDEX('All Items'!$Q:$Q,MATCH($A65,'All Items'!$A:$A,0))</f>
        <v>7.15</v>
      </c>
      <c r="M65" s="8" t="s">
        <v>686</v>
      </c>
      <c r="N65" s="8" t="s">
        <v>883</v>
      </c>
      <c r="O65" s="8" t="s">
        <v>610</v>
      </c>
      <c r="P65" s="8" t="s">
        <v>213</v>
      </c>
      <c r="Q65" s="8" t="s">
        <v>884</v>
      </c>
      <c r="R65" s="8"/>
      <c r="S65" s="19" t="s">
        <v>885</v>
      </c>
      <c r="T65" s="8" t="s">
        <v>886</v>
      </c>
      <c r="U65" s="8" t="s">
        <v>887</v>
      </c>
      <c r="V65" s="8" t="n">
        <f aca="false">COUNTA(M65:R65)</f>
        <v>5</v>
      </c>
      <c r="W65" s="8" t="s">
        <v>259</v>
      </c>
      <c r="X65" s="8" t="s">
        <v>218</v>
      </c>
      <c r="Y65" s="8" t="s">
        <v>218</v>
      </c>
      <c r="Z65" s="8"/>
      <c r="AA65" s="8" t="s">
        <v>888</v>
      </c>
      <c r="AB65" s="20"/>
      <c r="AC65" s="20"/>
      <c r="AD65" s="20"/>
      <c r="AE65" s="8" t="s">
        <v>237</v>
      </c>
      <c r="AF65" s="8" t="s">
        <v>224</v>
      </c>
    </row>
    <row r="66" customFormat="false" ht="15" hidden="false" customHeight="false" outlineLevel="0" collapsed="false">
      <c r="A66" s="8" t="s">
        <v>889</v>
      </c>
      <c r="B66" s="8" t="s">
        <v>890</v>
      </c>
      <c r="C66" s="8" t="s">
        <v>891</v>
      </c>
      <c r="D66" s="8" t="s">
        <v>206</v>
      </c>
      <c r="E66" s="8" t="s">
        <v>104</v>
      </c>
      <c r="F66" s="8" t="s">
        <v>70</v>
      </c>
      <c r="G66" s="8" t="s">
        <v>207</v>
      </c>
      <c r="H66" s="8" t="s">
        <v>78</v>
      </c>
      <c r="I66" s="8" t="s">
        <v>208</v>
      </c>
      <c r="J66" s="8" t="n">
        <v>2</v>
      </c>
      <c r="K66" s="8" t="n">
        <v>3</v>
      </c>
      <c r="L66" s="18" t="n">
        <f aca="false">INDEX('All Items'!$Q:$Q,MATCH($A66,'All Items'!$A:$A,0))</f>
        <v>6.9</v>
      </c>
      <c r="M66" s="8" t="s">
        <v>892</v>
      </c>
      <c r="N66" s="8" t="s">
        <v>861</v>
      </c>
      <c r="O66" s="8" t="s">
        <v>893</v>
      </c>
      <c r="P66" s="8" t="s">
        <v>894</v>
      </c>
      <c r="Q66" s="8" t="s">
        <v>895</v>
      </c>
      <c r="R66" s="8" t="s">
        <v>896</v>
      </c>
      <c r="S66" s="19" t="s">
        <v>897</v>
      </c>
      <c r="T66" s="8" t="s">
        <v>898</v>
      </c>
      <c r="U66" s="8"/>
      <c r="V66" s="8" t="n">
        <f aca="false">COUNTA(M66:R66)</f>
        <v>6</v>
      </c>
      <c r="W66" s="8" t="s">
        <v>259</v>
      </c>
      <c r="X66" s="8" t="s">
        <v>218</v>
      </c>
      <c r="Y66" s="8" t="s">
        <v>218</v>
      </c>
      <c r="Z66" s="8"/>
      <c r="AA66" s="8" t="s">
        <v>899</v>
      </c>
      <c r="AB66" s="20"/>
      <c r="AC66" s="20"/>
      <c r="AD66" s="20"/>
      <c r="AE66" s="8" t="s">
        <v>237</v>
      </c>
      <c r="AF66" s="8" t="s">
        <v>224</v>
      </c>
    </row>
    <row r="67" customFormat="false" ht="15" hidden="false" customHeight="false" outlineLevel="0" collapsed="false">
      <c r="A67" s="8" t="s">
        <v>900</v>
      </c>
      <c r="B67" s="8" t="s">
        <v>901</v>
      </c>
      <c r="C67" s="8"/>
      <c r="D67" s="8" t="s">
        <v>206</v>
      </c>
      <c r="E67" s="8" t="s">
        <v>104</v>
      </c>
      <c r="F67" s="8" t="s">
        <v>70</v>
      </c>
      <c r="G67" s="8" t="s">
        <v>207</v>
      </c>
      <c r="H67" s="8" t="s">
        <v>79</v>
      </c>
      <c r="I67" s="8" t="s">
        <v>273</v>
      </c>
      <c r="J67" s="8" t="n">
        <v>2</v>
      </c>
      <c r="K67" s="8" t="n">
        <v>3</v>
      </c>
      <c r="L67" s="18" t="n">
        <f aca="false">INDEX('All Items'!$Q:$Q,MATCH($A67,'All Items'!$A:$A,0))</f>
        <v>6.9</v>
      </c>
      <c r="M67" s="8" t="s">
        <v>686</v>
      </c>
      <c r="N67" s="8" t="s">
        <v>307</v>
      </c>
      <c r="O67" s="8" t="s">
        <v>618</v>
      </c>
      <c r="P67" s="8" t="s">
        <v>902</v>
      </c>
      <c r="Q67" s="8" t="s">
        <v>903</v>
      </c>
      <c r="R67" s="8" t="s">
        <v>904</v>
      </c>
      <c r="S67" s="19" t="s">
        <v>905</v>
      </c>
      <c r="T67" s="8" t="s">
        <v>906</v>
      </c>
      <c r="U67" s="8"/>
      <c r="V67" s="8" t="n">
        <f aca="false">COUNTA(M67:R67)</f>
        <v>6</v>
      </c>
      <c r="W67" s="8" t="s">
        <v>259</v>
      </c>
      <c r="X67" s="8" t="s">
        <v>218</v>
      </c>
      <c r="Y67" s="8" t="s">
        <v>218</v>
      </c>
      <c r="Z67" s="8"/>
      <c r="AA67" s="8" t="s">
        <v>907</v>
      </c>
      <c r="AB67" s="20"/>
      <c r="AC67" s="20"/>
      <c r="AD67" s="20"/>
      <c r="AE67" s="8" t="s">
        <v>237</v>
      </c>
      <c r="AF67" s="8" t="s">
        <v>224</v>
      </c>
    </row>
    <row r="68" customFormat="false" ht="15" hidden="false" customHeight="false" outlineLevel="0" collapsed="false">
      <c r="A68" s="8" t="s">
        <v>908</v>
      </c>
      <c r="B68" s="8" t="s">
        <v>909</v>
      </c>
      <c r="C68" s="8"/>
      <c r="D68" s="8" t="s">
        <v>206</v>
      </c>
      <c r="E68" s="8" t="s">
        <v>104</v>
      </c>
      <c r="F68" s="8" t="s">
        <v>70</v>
      </c>
      <c r="G68" s="8" t="s">
        <v>207</v>
      </c>
      <c r="H68" s="8" t="s">
        <v>78</v>
      </c>
      <c r="I68" s="8" t="s">
        <v>273</v>
      </c>
      <c r="J68" s="8" t="n">
        <v>2</v>
      </c>
      <c r="K68" s="8" t="n">
        <v>3</v>
      </c>
      <c r="L68" s="18" t="n">
        <f aca="false">INDEX('All Items'!$Q:$Q,MATCH($A68,'All Items'!$A:$A,0))</f>
        <v>7.4</v>
      </c>
      <c r="M68" s="8" t="s">
        <v>910</v>
      </c>
      <c r="N68" s="8" t="s">
        <v>791</v>
      </c>
      <c r="O68" s="8" t="s">
        <v>678</v>
      </c>
      <c r="P68" s="8" t="s">
        <v>911</v>
      </c>
      <c r="Q68" s="8" t="s">
        <v>912</v>
      </c>
      <c r="R68" s="8" t="s">
        <v>913</v>
      </c>
      <c r="S68" s="19" t="s">
        <v>914</v>
      </c>
      <c r="T68" s="8" t="s">
        <v>915</v>
      </c>
      <c r="U68" s="8"/>
      <c r="V68" s="8" t="n">
        <f aca="false">COUNTA(M68:R68)</f>
        <v>6</v>
      </c>
      <c r="W68" s="8" t="s">
        <v>259</v>
      </c>
      <c r="X68" s="8" t="s">
        <v>218</v>
      </c>
      <c r="Y68" s="8" t="s">
        <v>218</v>
      </c>
      <c r="Z68" s="8"/>
      <c r="AA68" s="8" t="s">
        <v>916</v>
      </c>
      <c r="AB68" s="20"/>
      <c r="AC68" s="20"/>
      <c r="AD68" s="20"/>
      <c r="AE68" s="8" t="s">
        <v>237</v>
      </c>
      <c r="AF68" s="8" t="s">
        <v>224</v>
      </c>
    </row>
    <row r="69" customFormat="false" ht="15" hidden="false" customHeight="false" outlineLevel="0" collapsed="false">
      <c r="A69" s="8" t="s">
        <v>917</v>
      </c>
      <c r="B69" s="8" t="s">
        <v>918</v>
      </c>
      <c r="C69" s="8"/>
      <c r="D69" s="8" t="s">
        <v>206</v>
      </c>
      <c r="E69" s="8" t="s">
        <v>104</v>
      </c>
      <c r="F69" s="8" t="s">
        <v>70</v>
      </c>
      <c r="G69" s="8" t="s">
        <v>207</v>
      </c>
      <c r="H69" s="8" t="s">
        <v>81</v>
      </c>
      <c r="I69" s="8" t="s">
        <v>227</v>
      </c>
      <c r="J69" s="8" t="n">
        <v>2</v>
      </c>
      <c r="K69" s="8" t="n">
        <v>3</v>
      </c>
      <c r="L69" s="18" t="n">
        <f aca="false">INDEX('All Items'!$Q:$Q,MATCH($A69,'All Items'!$A:$A,0))</f>
        <v>7.4</v>
      </c>
      <c r="M69" s="8" t="s">
        <v>919</v>
      </c>
      <c r="N69" s="8" t="s">
        <v>920</v>
      </c>
      <c r="O69" s="8" t="s">
        <v>921</v>
      </c>
      <c r="P69" s="8" t="s">
        <v>922</v>
      </c>
      <c r="Q69" s="8" t="s">
        <v>923</v>
      </c>
      <c r="R69" s="8" t="s">
        <v>924</v>
      </c>
      <c r="S69" s="19" t="s">
        <v>925</v>
      </c>
      <c r="T69" s="8" t="s">
        <v>926</v>
      </c>
      <c r="U69" s="8"/>
      <c r="V69" s="8" t="n">
        <f aca="false">COUNTA(M69:R69)</f>
        <v>6</v>
      </c>
      <c r="W69" s="8" t="s">
        <v>259</v>
      </c>
      <c r="X69" s="8" t="s">
        <v>218</v>
      </c>
      <c r="Y69" s="8" t="s">
        <v>218</v>
      </c>
      <c r="Z69" s="8"/>
      <c r="AA69" s="8" t="s">
        <v>927</v>
      </c>
      <c r="AB69" s="20"/>
      <c r="AC69" s="20"/>
      <c r="AD69" s="20"/>
      <c r="AE69" s="8" t="s">
        <v>237</v>
      </c>
      <c r="AF69" s="8" t="s">
        <v>224</v>
      </c>
    </row>
    <row r="70" customFormat="false" ht="15" hidden="false" customHeight="false" outlineLevel="0" collapsed="false">
      <c r="A70" s="8" t="s">
        <v>928</v>
      </c>
      <c r="B70" s="8" t="s">
        <v>929</v>
      </c>
      <c r="C70" s="8"/>
      <c r="D70" s="8" t="s">
        <v>206</v>
      </c>
      <c r="E70" s="8" t="s">
        <v>104</v>
      </c>
      <c r="F70" s="8" t="s">
        <v>70</v>
      </c>
      <c r="G70" s="8" t="s">
        <v>207</v>
      </c>
      <c r="H70" s="8" t="s">
        <v>82</v>
      </c>
      <c r="I70" s="8" t="s">
        <v>208</v>
      </c>
      <c r="J70" s="8" t="n">
        <v>2</v>
      </c>
      <c r="K70" s="8" t="n">
        <v>3</v>
      </c>
      <c r="L70" s="18" t="n">
        <f aca="false">INDEX('All Items'!$Q:$Q,MATCH($A70,'All Items'!$A:$A,0))</f>
        <v>6.9</v>
      </c>
      <c r="M70" s="8" t="s">
        <v>930</v>
      </c>
      <c r="N70" s="8" t="s">
        <v>389</v>
      </c>
      <c r="O70" s="8" t="s">
        <v>931</v>
      </c>
      <c r="P70" s="8" t="s">
        <v>932</v>
      </c>
      <c r="Q70" s="8" t="s">
        <v>933</v>
      </c>
      <c r="R70" s="8" t="s">
        <v>752</v>
      </c>
      <c r="S70" s="19" t="s">
        <v>934</v>
      </c>
      <c r="T70" s="8" t="s">
        <v>935</v>
      </c>
      <c r="U70" s="8" t="s">
        <v>752</v>
      </c>
      <c r="V70" s="8" t="n">
        <f aca="false">COUNTA(M70:R70)</f>
        <v>6</v>
      </c>
      <c r="W70" s="8" t="s">
        <v>259</v>
      </c>
      <c r="X70" s="8" t="s">
        <v>218</v>
      </c>
      <c r="Y70" s="8" t="s">
        <v>218</v>
      </c>
      <c r="Z70" s="8"/>
      <c r="AA70" s="8" t="s">
        <v>936</v>
      </c>
      <c r="AB70" s="20"/>
      <c r="AC70" s="20"/>
      <c r="AD70" s="20"/>
      <c r="AE70" s="8" t="s">
        <v>237</v>
      </c>
      <c r="AF70" s="8" t="s">
        <v>224</v>
      </c>
    </row>
    <row r="71" customFormat="false" ht="15" hidden="false" customHeight="false" outlineLevel="0" collapsed="false">
      <c r="A71" s="8" t="s">
        <v>937</v>
      </c>
      <c r="B71" s="8" t="s">
        <v>938</v>
      </c>
      <c r="C71" s="8"/>
      <c r="D71" s="8" t="s">
        <v>206</v>
      </c>
      <c r="E71" s="8" t="s">
        <v>104</v>
      </c>
      <c r="F71" s="8" t="s">
        <v>70</v>
      </c>
      <c r="G71" s="8" t="s">
        <v>207</v>
      </c>
      <c r="H71" s="8" t="s">
        <v>78</v>
      </c>
      <c r="I71" s="8" t="s">
        <v>208</v>
      </c>
      <c r="J71" s="8" t="n">
        <v>2</v>
      </c>
      <c r="K71" s="8" t="n">
        <v>3</v>
      </c>
      <c r="L71" s="18" t="n">
        <f aca="false">INDEX('All Items'!$Q:$Q,MATCH($A71,'All Items'!$A:$A,0))</f>
        <v>7.4</v>
      </c>
      <c r="M71" s="8" t="s">
        <v>488</v>
      </c>
      <c r="N71" s="8" t="s">
        <v>939</v>
      </c>
      <c r="O71" s="8" t="s">
        <v>940</v>
      </c>
      <c r="P71" s="8" t="s">
        <v>941</v>
      </c>
      <c r="Q71" s="8" t="s">
        <v>942</v>
      </c>
      <c r="R71" s="8" t="s">
        <v>943</v>
      </c>
      <c r="S71" s="19" t="s">
        <v>944</v>
      </c>
      <c r="T71" s="8" t="s">
        <v>945</v>
      </c>
      <c r="U71" s="8" t="s">
        <v>943</v>
      </c>
      <c r="V71" s="8" t="n">
        <f aca="false">COUNTA(M71:R71)</f>
        <v>6</v>
      </c>
      <c r="W71" s="8" t="s">
        <v>259</v>
      </c>
      <c r="X71" s="8" t="s">
        <v>218</v>
      </c>
      <c r="Y71" s="8" t="s">
        <v>218</v>
      </c>
      <c r="Z71" s="8"/>
      <c r="AA71" s="8" t="s">
        <v>946</v>
      </c>
      <c r="AB71" s="20" t="s">
        <v>947</v>
      </c>
      <c r="AC71" s="20" t="s">
        <v>527</v>
      </c>
      <c r="AD71" s="20" t="s">
        <v>528</v>
      </c>
      <c r="AE71" s="8" t="s">
        <v>223</v>
      </c>
      <c r="AF71" s="8" t="s">
        <v>224</v>
      </c>
    </row>
    <row r="72" customFormat="false" ht="15" hidden="false" customHeight="false" outlineLevel="0" collapsed="false">
      <c r="A72" s="8" t="s">
        <v>948</v>
      </c>
      <c r="B72" s="8" t="s">
        <v>949</v>
      </c>
      <c r="C72" s="8"/>
      <c r="D72" s="8" t="s">
        <v>206</v>
      </c>
      <c r="E72" s="8" t="s">
        <v>104</v>
      </c>
      <c r="F72" s="8" t="s">
        <v>70</v>
      </c>
      <c r="G72" s="8" t="s">
        <v>207</v>
      </c>
      <c r="H72" s="8" t="s">
        <v>81</v>
      </c>
      <c r="I72" s="8" t="s">
        <v>227</v>
      </c>
      <c r="J72" s="8" t="n">
        <v>2</v>
      </c>
      <c r="K72" s="8" t="n">
        <v>3</v>
      </c>
      <c r="L72" s="18" t="n">
        <f aca="false">INDEX('All Items'!$Q:$Q,MATCH($A72,'All Items'!$A:$A,0))</f>
        <v>7.15</v>
      </c>
      <c r="M72" s="8" t="s">
        <v>950</v>
      </c>
      <c r="N72" s="8" t="s">
        <v>413</v>
      </c>
      <c r="O72" s="8" t="s">
        <v>951</v>
      </c>
      <c r="P72" s="8" t="s">
        <v>952</v>
      </c>
      <c r="Q72" s="8" t="s">
        <v>953</v>
      </c>
      <c r="R72" s="8" t="s">
        <v>954</v>
      </c>
      <c r="S72" s="19" t="s">
        <v>955</v>
      </c>
      <c r="T72" s="8" t="s">
        <v>956</v>
      </c>
      <c r="U72" s="8"/>
      <c r="V72" s="8" t="n">
        <f aca="false">COUNTA(M72:R72)</f>
        <v>6</v>
      </c>
      <c r="W72" s="8" t="s">
        <v>259</v>
      </c>
      <c r="X72" s="8" t="s">
        <v>218</v>
      </c>
      <c r="Y72" s="8" t="s">
        <v>218</v>
      </c>
      <c r="Z72" s="8"/>
      <c r="AA72" s="8" t="s">
        <v>957</v>
      </c>
      <c r="AB72" s="20"/>
      <c r="AC72" s="20"/>
      <c r="AD72" s="20"/>
      <c r="AE72" s="8" t="s">
        <v>237</v>
      </c>
      <c r="AF72" s="8" t="s">
        <v>224</v>
      </c>
    </row>
    <row r="73" customFormat="false" ht="15" hidden="false" customHeight="false" outlineLevel="0" collapsed="false">
      <c r="A73" s="8" t="s">
        <v>958</v>
      </c>
      <c r="B73" s="8" t="s">
        <v>959</v>
      </c>
      <c r="C73" s="8"/>
      <c r="D73" s="8" t="s">
        <v>206</v>
      </c>
      <c r="E73" s="8" t="s">
        <v>104</v>
      </c>
      <c r="F73" s="8" t="s">
        <v>70</v>
      </c>
      <c r="G73" s="8" t="s">
        <v>207</v>
      </c>
      <c r="H73" s="8" t="s">
        <v>81</v>
      </c>
      <c r="I73" s="8" t="s">
        <v>273</v>
      </c>
      <c r="J73" s="8" t="n">
        <v>1</v>
      </c>
      <c r="K73" s="8" t="n">
        <v>5</v>
      </c>
      <c r="L73" s="18" t="n">
        <f aca="false">INDEX('All Items'!$Q:$Q,MATCH($A73,'All Items'!$A:$A,0))</f>
        <v>10</v>
      </c>
      <c r="M73" s="8" t="s">
        <v>411</v>
      </c>
      <c r="N73" s="8" t="s">
        <v>950</v>
      </c>
      <c r="O73" s="8" t="s">
        <v>960</v>
      </c>
      <c r="P73" s="8" t="s">
        <v>961</v>
      </c>
      <c r="Q73" s="8" t="s">
        <v>962</v>
      </c>
      <c r="R73" s="8" t="s">
        <v>963</v>
      </c>
      <c r="S73" s="19" t="s">
        <v>964</v>
      </c>
      <c r="T73" s="8" t="s">
        <v>965</v>
      </c>
      <c r="U73" s="8"/>
      <c r="V73" s="8" t="n">
        <f aca="false">COUNTA(M73:R73)</f>
        <v>6</v>
      </c>
      <c r="W73" s="8" t="s">
        <v>218</v>
      </c>
      <c r="X73" s="8" t="s">
        <v>218</v>
      </c>
      <c r="Y73" s="8" t="s">
        <v>218</v>
      </c>
      <c r="Z73" s="8"/>
      <c r="AA73" s="8" t="s">
        <v>966</v>
      </c>
      <c r="AB73" s="20" t="s">
        <v>967</v>
      </c>
      <c r="AC73" s="20" t="s">
        <v>384</v>
      </c>
      <c r="AD73" s="20" t="s">
        <v>968</v>
      </c>
      <c r="AE73" s="8" t="s">
        <v>223</v>
      </c>
      <c r="AF73" s="8" t="s">
        <v>224</v>
      </c>
    </row>
    <row r="74" customFormat="false" ht="15" hidden="false" customHeight="false" outlineLevel="0" collapsed="false">
      <c r="A74" s="8" t="s">
        <v>969</v>
      </c>
      <c r="B74" s="8" t="s">
        <v>970</v>
      </c>
      <c r="C74" s="8"/>
      <c r="D74" s="8" t="s">
        <v>206</v>
      </c>
      <c r="E74" s="8" t="s">
        <v>104</v>
      </c>
      <c r="F74" s="8" t="s">
        <v>70</v>
      </c>
      <c r="G74" s="8" t="s">
        <v>207</v>
      </c>
      <c r="H74" s="8" t="s">
        <v>81</v>
      </c>
      <c r="I74" s="8" t="s">
        <v>273</v>
      </c>
      <c r="J74" s="8" t="n">
        <v>1</v>
      </c>
      <c r="K74" s="8" t="n">
        <v>4</v>
      </c>
      <c r="L74" s="18" t="n">
        <f aca="false">INDEX('All Items'!$Q:$Q,MATCH($A74,'All Items'!$A:$A,0))</f>
        <v>8.7</v>
      </c>
      <c r="M74" s="8" t="s">
        <v>920</v>
      </c>
      <c r="N74" s="8" t="s">
        <v>971</v>
      </c>
      <c r="O74" s="8" t="s">
        <v>972</v>
      </c>
      <c r="P74" s="8" t="s">
        <v>962</v>
      </c>
      <c r="Q74" s="8" t="s">
        <v>950</v>
      </c>
      <c r="R74" s="8" t="s">
        <v>973</v>
      </c>
      <c r="S74" s="19" t="s">
        <v>974</v>
      </c>
      <c r="T74" s="8" t="s">
        <v>975</v>
      </c>
      <c r="U74" s="8" t="s">
        <v>976</v>
      </c>
      <c r="V74" s="8" t="n">
        <f aca="false">COUNTA(M74:R74)</f>
        <v>6</v>
      </c>
      <c r="W74" s="8" t="s">
        <v>218</v>
      </c>
      <c r="X74" s="8" t="s">
        <v>218</v>
      </c>
      <c r="Y74" s="8" t="s">
        <v>218</v>
      </c>
      <c r="Z74" s="8"/>
      <c r="AA74" s="8" t="s">
        <v>977</v>
      </c>
      <c r="AB74" s="20" t="s">
        <v>978</v>
      </c>
      <c r="AC74" s="20" t="s">
        <v>221</v>
      </c>
      <c r="AD74" s="20" t="s">
        <v>979</v>
      </c>
      <c r="AE74" s="8" t="s">
        <v>223</v>
      </c>
      <c r="AF74" s="8" t="s">
        <v>224</v>
      </c>
    </row>
    <row r="75" customFormat="false" ht="15" hidden="false" customHeight="false" outlineLevel="0" collapsed="false">
      <c r="A75" s="8" t="s">
        <v>980</v>
      </c>
      <c r="B75" s="8" t="s">
        <v>981</v>
      </c>
      <c r="C75" s="8" t="s">
        <v>982</v>
      </c>
      <c r="D75" s="8" t="s">
        <v>206</v>
      </c>
      <c r="E75" s="8" t="s">
        <v>104</v>
      </c>
      <c r="F75" s="8" t="s">
        <v>70</v>
      </c>
      <c r="G75" s="8" t="s">
        <v>207</v>
      </c>
      <c r="H75" s="8" t="s">
        <v>81</v>
      </c>
      <c r="I75" s="8" t="s">
        <v>273</v>
      </c>
      <c r="J75" s="8" t="n">
        <v>1</v>
      </c>
      <c r="K75" s="8" t="n">
        <v>5</v>
      </c>
      <c r="L75" s="18" t="n">
        <f aca="false">INDEX('All Items'!$Q:$Q,MATCH($A75,'All Items'!$A:$A,0))</f>
        <v>10</v>
      </c>
      <c r="M75" s="8" t="s">
        <v>443</v>
      </c>
      <c r="N75" s="8" t="s">
        <v>983</v>
      </c>
      <c r="O75" s="8" t="s">
        <v>984</v>
      </c>
      <c r="P75" s="8" t="s">
        <v>985</v>
      </c>
      <c r="Q75" s="8" t="s">
        <v>986</v>
      </c>
      <c r="R75" s="8" t="s">
        <v>987</v>
      </c>
      <c r="S75" s="19" t="s">
        <v>988</v>
      </c>
      <c r="T75" s="8" t="s">
        <v>989</v>
      </c>
      <c r="U75" s="8" t="s">
        <v>987</v>
      </c>
      <c r="V75" s="8" t="n">
        <f aca="false">COUNTA(M75:R75)</f>
        <v>6</v>
      </c>
      <c r="W75" s="8" t="s">
        <v>218</v>
      </c>
      <c r="X75" s="8" t="s">
        <v>218</v>
      </c>
      <c r="Y75" s="8" t="s">
        <v>218</v>
      </c>
      <c r="Z75" s="8"/>
      <c r="AA75" s="8" t="s">
        <v>990</v>
      </c>
      <c r="AB75" s="20" t="s">
        <v>991</v>
      </c>
      <c r="AC75" s="20" t="s">
        <v>221</v>
      </c>
      <c r="AD75" s="20" t="s">
        <v>992</v>
      </c>
      <c r="AE75" s="8" t="s">
        <v>223</v>
      </c>
      <c r="AF75" s="8" t="s">
        <v>224</v>
      </c>
    </row>
    <row r="76" customFormat="false" ht="15" hidden="false" customHeight="false" outlineLevel="0" collapsed="false">
      <c r="A76" s="8" t="s">
        <v>993</v>
      </c>
      <c r="B76" s="8" t="s">
        <v>994</v>
      </c>
      <c r="C76" s="8"/>
      <c r="D76" s="8" t="s">
        <v>206</v>
      </c>
      <c r="E76" s="8" t="s">
        <v>116</v>
      </c>
      <c r="F76" s="8" t="s">
        <v>70</v>
      </c>
      <c r="G76" s="8" t="s">
        <v>207</v>
      </c>
      <c r="H76" s="8" t="s">
        <v>78</v>
      </c>
      <c r="I76" s="8" t="s">
        <v>208</v>
      </c>
      <c r="J76" s="8" t="n">
        <v>1</v>
      </c>
      <c r="K76" s="8" t="n">
        <v>4</v>
      </c>
      <c r="L76" s="18" t="n">
        <f aca="false">INDEX('All Items'!$Q:$Q,MATCH($A76,'All Items'!$A:$A,0))</f>
        <v>8.45</v>
      </c>
      <c r="M76" s="8" t="s">
        <v>995</v>
      </c>
      <c r="N76" s="8" t="s">
        <v>790</v>
      </c>
      <c r="O76" s="8" t="s">
        <v>996</v>
      </c>
      <c r="P76" s="8" t="s">
        <v>997</v>
      </c>
      <c r="Q76" s="8" t="s">
        <v>328</v>
      </c>
      <c r="R76" s="8" t="s">
        <v>998</v>
      </c>
      <c r="S76" s="19" t="s">
        <v>999</v>
      </c>
      <c r="T76" s="8" t="s">
        <v>1000</v>
      </c>
      <c r="U76" s="8" t="s">
        <v>997</v>
      </c>
      <c r="V76" s="8" t="n">
        <f aca="false">COUNTA(M76:R76)</f>
        <v>6</v>
      </c>
      <c r="W76" s="8" t="s">
        <v>218</v>
      </c>
      <c r="X76" s="8" t="s">
        <v>218</v>
      </c>
      <c r="Y76" s="8" t="s">
        <v>218</v>
      </c>
      <c r="Z76" s="8"/>
      <c r="AA76" s="8" t="s">
        <v>1001</v>
      </c>
      <c r="AB76" s="20"/>
      <c r="AC76" s="20"/>
      <c r="AD76" s="20"/>
      <c r="AE76" s="8" t="s">
        <v>237</v>
      </c>
      <c r="AF76" s="8" t="s">
        <v>224</v>
      </c>
    </row>
    <row r="77" customFormat="false" ht="15" hidden="false" customHeight="false" outlineLevel="0" collapsed="false">
      <c r="A77" s="8" t="s">
        <v>1002</v>
      </c>
      <c r="B77" s="8" t="s">
        <v>1003</v>
      </c>
      <c r="C77" s="8"/>
      <c r="D77" s="8" t="s">
        <v>206</v>
      </c>
      <c r="E77" s="8" t="s">
        <v>116</v>
      </c>
      <c r="F77" s="8" t="s">
        <v>70</v>
      </c>
      <c r="G77" s="8" t="s">
        <v>207</v>
      </c>
      <c r="H77" s="8" t="s">
        <v>78</v>
      </c>
      <c r="I77" s="8" t="s">
        <v>208</v>
      </c>
      <c r="J77" s="8" t="n">
        <v>1</v>
      </c>
      <c r="K77" s="8" t="n">
        <v>4</v>
      </c>
      <c r="L77" s="18" t="n">
        <f aca="false">INDEX('All Items'!$Q:$Q,MATCH($A77,'All Items'!$A:$A,0))</f>
        <v>8.7</v>
      </c>
      <c r="M77" s="8" t="s">
        <v>1004</v>
      </c>
      <c r="N77" s="8" t="s">
        <v>297</v>
      </c>
      <c r="O77" s="8" t="s">
        <v>1005</v>
      </c>
      <c r="P77" s="8" t="s">
        <v>1006</v>
      </c>
      <c r="Q77" s="8" t="s">
        <v>1007</v>
      </c>
      <c r="R77" s="8" t="s">
        <v>1008</v>
      </c>
      <c r="S77" s="19" t="s">
        <v>1009</v>
      </c>
      <c r="T77" s="8" t="s">
        <v>1010</v>
      </c>
      <c r="U77" s="8" t="s">
        <v>1008</v>
      </c>
      <c r="V77" s="8" t="n">
        <f aca="false">COUNTA(M77:R77)</f>
        <v>6</v>
      </c>
      <c r="W77" s="8" t="s">
        <v>218</v>
      </c>
      <c r="X77" s="8" t="s">
        <v>218</v>
      </c>
      <c r="Y77" s="8" t="s">
        <v>218</v>
      </c>
      <c r="Z77" s="8"/>
      <c r="AA77" s="8" t="s">
        <v>1011</v>
      </c>
      <c r="AB77" s="20"/>
      <c r="AC77" s="20"/>
      <c r="AD77" s="20"/>
      <c r="AE77" s="8" t="s">
        <v>237</v>
      </c>
      <c r="AF77" s="8" t="s">
        <v>224</v>
      </c>
    </row>
    <row r="78" customFormat="false" ht="15" hidden="false" customHeight="false" outlineLevel="0" collapsed="false">
      <c r="A78" s="8" t="s">
        <v>1012</v>
      </c>
      <c r="B78" s="8" t="s">
        <v>1013</v>
      </c>
      <c r="C78" s="8"/>
      <c r="D78" s="8" t="s">
        <v>206</v>
      </c>
      <c r="E78" s="8" t="s">
        <v>116</v>
      </c>
      <c r="F78" s="8" t="s">
        <v>70</v>
      </c>
      <c r="G78" s="8" t="s">
        <v>207</v>
      </c>
      <c r="H78" s="8" t="s">
        <v>78</v>
      </c>
      <c r="I78" s="8" t="s">
        <v>208</v>
      </c>
      <c r="J78" s="8" t="n">
        <v>2</v>
      </c>
      <c r="K78" s="8" t="n">
        <v>3</v>
      </c>
      <c r="L78" s="18" t="n">
        <f aca="false">INDEX('All Items'!$Q:$Q,MATCH($A78,'All Items'!$A:$A,0))</f>
        <v>7.4</v>
      </c>
      <c r="M78" s="8" t="s">
        <v>1014</v>
      </c>
      <c r="N78" s="8" t="s">
        <v>1015</v>
      </c>
      <c r="O78" s="8" t="s">
        <v>852</v>
      </c>
      <c r="P78" s="8" t="s">
        <v>213</v>
      </c>
      <c r="Q78" s="8" t="s">
        <v>1016</v>
      </c>
      <c r="R78" s="8" t="s">
        <v>1017</v>
      </c>
      <c r="S78" s="19" t="s">
        <v>1018</v>
      </c>
      <c r="T78" s="8" t="s">
        <v>1019</v>
      </c>
      <c r="U78" s="8"/>
      <c r="V78" s="8" t="n">
        <f aca="false">COUNTA(M78:R78)</f>
        <v>6</v>
      </c>
      <c r="W78" s="8" t="s">
        <v>259</v>
      </c>
      <c r="X78" s="8" t="s">
        <v>218</v>
      </c>
      <c r="Y78" s="8" t="s">
        <v>218</v>
      </c>
      <c r="Z78" s="8"/>
      <c r="AA78" s="8" t="s">
        <v>1020</v>
      </c>
      <c r="AB78" s="20"/>
      <c r="AC78" s="20"/>
      <c r="AD78" s="20"/>
      <c r="AE78" s="8" t="s">
        <v>237</v>
      </c>
      <c r="AF78" s="8" t="s">
        <v>224</v>
      </c>
    </row>
    <row r="79" customFormat="false" ht="15" hidden="false" customHeight="false" outlineLevel="0" collapsed="false">
      <c r="A79" s="8" t="s">
        <v>1021</v>
      </c>
      <c r="B79" s="8" t="s">
        <v>1022</v>
      </c>
      <c r="C79" s="8"/>
      <c r="D79" s="8" t="s">
        <v>206</v>
      </c>
      <c r="E79" s="8" t="s">
        <v>116</v>
      </c>
      <c r="F79" s="8" t="s">
        <v>70</v>
      </c>
      <c r="G79" s="8" t="s">
        <v>207</v>
      </c>
      <c r="H79" s="8" t="s">
        <v>78</v>
      </c>
      <c r="I79" s="8" t="s">
        <v>208</v>
      </c>
      <c r="J79" s="8" t="n">
        <v>2</v>
      </c>
      <c r="K79" s="8" t="n">
        <v>3</v>
      </c>
      <c r="L79" s="18" t="n">
        <f aca="false">INDEX('All Items'!$Q:$Q,MATCH($A79,'All Items'!$A:$A,0))</f>
        <v>6.65</v>
      </c>
      <c r="M79" s="8" t="s">
        <v>552</v>
      </c>
      <c r="N79" s="8" t="s">
        <v>1023</v>
      </c>
      <c r="O79" s="8" t="s">
        <v>1024</v>
      </c>
      <c r="P79" s="8" t="s">
        <v>116</v>
      </c>
      <c r="Q79" s="8" t="s">
        <v>213</v>
      </c>
      <c r="R79" s="8"/>
      <c r="S79" s="19" t="s">
        <v>1025</v>
      </c>
      <c r="T79" s="8" t="s">
        <v>1026</v>
      </c>
      <c r="U79" s="8" t="s">
        <v>213</v>
      </c>
      <c r="V79" s="8" t="n">
        <f aca="false">COUNTA(M79:R79)</f>
        <v>5</v>
      </c>
      <c r="W79" s="8" t="s">
        <v>259</v>
      </c>
      <c r="X79" s="8" t="s">
        <v>218</v>
      </c>
      <c r="Y79" s="8" t="s">
        <v>218</v>
      </c>
      <c r="Z79" s="8"/>
      <c r="AA79" s="8" t="s">
        <v>1027</v>
      </c>
      <c r="AB79" s="20"/>
      <c r="AC79" s="20"/>
      <c r="AD79" s="20"/>
      <c r="AE79" s="8" t="s">
        <v>237</v>
      </c>
      <c r="AF79" s="8" t="s">
        <v>224</v>
      </c>
    </row>
    <row r="80" customFormat="false" ht="15" hidden="false" customHeight="false" outlineLevel="0" collapsed="false">
      <c r="A80" s="8" t="s">
        <v>1028</v>
      </c>
      <c r="B80" s="8" t="s">
        <v>1029</v>
      </c>
      <c r="C80" s="8"/>
      <c r="D80" s="8" t="s">
        <v>206</v>
      </c>
      <c r="E80" s="8" t="s">
        <v>116</v>
      </c>
      <c r="F80" s="8" t="s">
        <v>70</v>
      </c>
      <c r="G80" s="8" t="s">
        <v>207</v>
      </c>
      <c r="H80" s="8" t="s">
        <v>80</v>
      </c>
      <c r="I80" s="8" t="s">
        <v>1030</v>
      </c>
      <c r="J80" s="8" t="n">
        <v>2</v>
      </c>
      <c r="K80" s="8" t="n">
        <v>3</v>
      </c>
      <c r="L80" s="18" t="n">
        <f aca="false">INDEX('All Items'!$Q:$Q,MATCH($A80,'All Items'!$A:$A,0))</f>
        <v>7.15</v>
      </c>
      <c r="M80" s="8" t="s">
        <v>852</v>
      </c>
      <c r="N80" s="8" t="s">
        <v>1031</v>
      </c>
      <c r="O80" s="8" t="s">
        <v>995</v>
      </c>
      <c r="P80" s="8" t="s">
        <v>1032</v>
      </c>
      <c r="Q80" s="8" t="s">
        <v>1033</v>
      </c>
      <c r="R80" s="8" t="s">
        <v>1034</v>
      </c>
      <c r="S80" s="19" t="s">
        <v>1035</v>
      </c>
      <c r="T80" s="8" t="s">
        <v>1036</v>
      </c>
      <c r="U80" s="8"/>
      <c r="V80" s="8" t="n">
        <f aca="false">COUNTA(M80:R80)</f>
        <v>6</v>
      </c>
      <c r="W80" s="8" t="s">
        <v>259</v>
      </c>
      <c r="X80" s="8" t="s">
        <v>218</v>
      </c>
      <c r="Y80" s="8" t="s">
        <v>218</v>
      </c>
      <c r="Z80" s="8"/>
      <c r="AA80" s="8" t="s">
        <v>1037</v>
      </c>
      <c r="AB80" s="20" t="s">
        <v>1038</v>
      </c>
      <c r="AC80" s="20" t="s">
        <v>384</v>
      </c>
      <c r="AD80" s="20" t="s">
        <v>1039</v>
      </c>
      <c r="AE80" s="8" t="s">
        <v>223</v>
      </c>
      <c r="AF80" s="8" t="s">
        <v>224</v>
      </c>
    </row>
    <row r="81" customFormat="false" ht="15" hidden="false" customHeight="false" outlineLevel="0" collapsed="false">
      <c r="A81" s="8" t="s">
        <v>1040</v>
      </c>
      <c r="B81" s="8" t="s">
        <v>1041</v>
      </c>
      <c r="C81" s="8"/>
      <c r="D81" s="8" t="s">
        <v>206</v>
      </c>
      <c r="E81" s="8" t="s">
        <v>116</v>
      </c>
      <c r="F81" s="8" t="s">
        <v>70</v>
      </c>
      <c r="G81" s="8" t="s">
        <v>207</v>
      </c>
      <c r="H81" s="8" t="s">
        <v>88</v>
      </c>
      <c r="I81" s="8" t="s">
        <v>208</v>
      </c>
      <c r="J81" s="8" t="n">
        <v>2</v>
      </c>
      <c r="K81" s="8" t="n">
        <v>3</v>
      </c>
      <c r="L81" s="18" t="n">
        <f aca="false">INDEX('All Items'!$Q:$Q,MATCH($A81,'All Items'!$A:$A,0))</f>
        <v>6.65</v>
      </c>
      <c r="M81" s="8" t="s">
        <v>1004</v>
      </c>
      <c r="N81" s="8" t="s">
        <v>1042</v>
      </c>
      <c r="O81" s="8" t="s">
        <v>1043</v>
      </c>
      <c r="P81" s="8" t="s">
        <v>1044</v>
      </c>
      <c r="Q81" s="8" t="s">
        <v>1017</v>
      </c>
      <c r="R81" s="8"/>
      <c r="S81" s="19" t="s">
        <v>1045</v>
      </c>
      <c r="T81" s="8" t="s">
        <v>1046</v>
      </c>
      <c r="U81" s="8"/>
      <c r="V81" s="8" t="n">
        <f aca="false">COUNTA(M81:R81)</f>
        <v>5</v>
      </c>
      <c r="W81" s="8" t="s">
        <v>259</v>
      </c>
      <c r="X81" s="8" t="s">
        <v>218</v>
      </c>
      <c r="Y81" s="8" t="s">
        <v>218</v>
      </c>
      <c r="Z81" s="8"/>
      <c r="AA81" s="8" t="s">
        <v>1047</v>
      </c>
      <c r="AB81" s="20"/>
      <c r="AC81" s="20"/>
      <c r="AD81" s="20"/>
      <c r="AE81" s="8" t="s">
        <v>237</v>
      </c>
      <c r="AF81" s="8" t="s">
        <v>224</v>
      </c>
    </row>
    <row r="82" customFormat="false" ht="15" hidden="false" customHeight="false" outlineLevel="0" collapsed="false">
      <c r="A82" s="8" t="s">
        <v>1048</v>
      </c>
      <c r="B82" s="8" t="s">
        <v>1049</v>
      </c>
      <c r="C82" s="8"/>
      <c r="D82" s="8" t="s">
        <v>206</v>
      </c>
      <c r="E82" s="8" t="s">
        <v>105</v>
      </c>
      <c r="F82" s="8" t="s">
        <v>70</v>
      </c>
      <c r="G82" s="8" t="s">
        <v>207</v>
      </c>
      <c r="H82" s="8" t="s">
        <v>82</v>
      </c>
      <c r="I82" s="8" t="s">
        <v>273</v>
      </c>
      <c r="J82" s="8" t="n">
        <v>1</v>
      </c>
      <c r="K82" s="8" t="n">
        <v>5</v>
      </c>
      <c r="L82" s="18" t="n">
        <f aca="false">INDEX('All Items'!$Q:$Q,MATCH($A82,'All Items'!$A:$A,0))</f>
        <v>10</v>
      </c>
      <c r="M82" s="8" t="s">
        <v>1050</v>
      </c>
      <c r="N82" s="8" t="s">
        <v>618</v>
      </c>
      <c r="O82" s="8" t="s">
        <v>432</v>
      </c>
      <c r="P82" s="8" t="s">
        <v>1051</v>
      </c>
      <c r="Q82" s="8" t="s">
        <v>1052</v>
      </c>
      <c r="R82" s="8" t="s">
        <v>1053</v>
      </c>
      <c r="S82" s="19" t="s">
        <v>1054</v>
      </c>
      <c r="T82" s="8" t="s">
        <v>1055</v>
      </c>
      <c r="U82" s="8"/>
      <c r="V82" s="8" t="n">
        <f aca="false">COUNTA(M82:R82)</f>
        <v>6</v>
      </c>
      <c r="W82" s="8" t="s">
        <v>218</v>
      </c>
      <c r="X82" s="8" t="s">
        <v>218</v>
      </c>
      <c r="Y82" s="8" t="s">
        <v>218</v>
      </c>
      <c r="Z82" s="8"/>
      <c r="AA82" s="8" t="s">
        <v>1056</v>
      </c>
      <c r="AB82" s="20"/>
      <c r="AC82" s="20"/>
      <c r="AD82" s="20"/>
      <c r="AE82" s="8" t="s">
        <v>237</v>
      </c>
      <c r="AF82" s="8" t="s">
        <v>224</v>
      </c>
    </row>
    <row r="83" customFormat="false" ht="15" hidden="false" customHeight="false" outlineLevel="0" collapsed="false">
      <c r="A83" s="8" t="s">
        <v>1057</v>
      </c>
      <c r="B83" s="8" t="s">
        <v>1058</v>
      </c>
      <c r="C83" s="8"/>
      <c r="D83" s="8" t="s">
        <v>206</v>
      </c>
      <c r="E83" s="8" t="s">
        <v>105</v>
      </c>
      <c r="F83" s="8" t="s">
        <v>70</v>
      </c>
      <c r="G83" s="8" t="s">
        <v>207</v>
      </c>
      <c r="H83" s="8" t="s">
        <v>82</v>
      </c>
      <c r="I83" s="8" t="s">
        <v>273</v>
      </c>
      <c r="J83" s="8" t="n">
        <v>1</v>
      </c>
      <c r="K83" s="8" t="n">
        <v>5</v>
      </c>
      <c r="L83" s="18" t="n">
        <f aca="false">INDEX('All Items'!$Q:$Q,MATCH($A83,'All Items'!$A:$A,0))</f>
        <v>10</v>
      </c>
      <c r="M83" s="8" t="s">
        <v>1059</v>
      </c>
      <c r="N83" s="8" t="s">
        <v>1060</v>
      </c>
      <c r="O83" s="8" t="s">
        <v>1050</v>
      </c>
      <c r="P83" s="8" t="s">
        <v>742</v>
      </c>
      <c r="Q83" s="8" t="s">
        <v>432</v>
      </c>
      <c r="R83" s="8" t="s">
        <v>1061</v>
      </c>
      <c r="S83" s="19" t="s">
        <v>1062</v>
      </c>
      <c r="T83" s="8" t="s">
        <v>1063</v>
      </c>
      <c r="U83" s="8"/>
      <c r="V83" s="8" t="n">
        <f aca="false">COUNTA(M83:R83)</f>
        <v>6</v>
      </c>
      <c r="W83" s="8" t="s">
        <v>218</v>
      </c>
      <c r="X83" s="8" t="s">
        <v>218</v>
      </c>
      <c r="Y83" s="8" t="s">
        <v>218</v>
      </c>
      <c r="Z83" s="8"/>
      <c r="AA83" s="8" t="s">
        <v>1064</v>
      </c>
      <c r="AB83" s="20"/>
      <c r="AC83" s="20"/>
      <c r="AD83" s="20"/>
      <c r="AE83" s="8" t="s">
        <v>237</v>
      </c>
      <c r="AF83" s="8" t="s">
        <v>224</v>
      </c>
    </row>
    <row r="84" customFormat="false" ht="15" hidden="false" customHeight="false" outlineLevel="0" collapsed="false">
      <c r="A84" s="8" t="s">
        <v>1065</v>
      </c>
      <c r="B84" s="8" t="s">
        <v>1066</v>
      </c>
      <c r="C84" s="8"/>
      <c r="D84" s="8" t="s">
        <v>206</v>
      </c>
      <c r="E84" s="8" t="s">
        <v>109</v>
      </c>
      <c r="F84" s="8" t="s">
        <v>70</v>
      </c>
      <c r="G84" s="8" t="s">
        <v>207</v>
      </c>
      <c r="H84" s="8" t="s">
        <v>82</v>
      </c>
      <c r="I84" s="8" t="s">
        <v>273</v>
      </c>
      <c r="J84" s="8" t="n">
        <v>1</v>
      </c>
      <c r="K84" s="8" t="n">
        <v>5</v>
      </c>
      <c r="L84" s="18" t="n">
        <f aca="false">INDEX('All Items'!$Q:$Q,MATCH($A84,'All Items'!$A:$A,0))</f>
        <v>10</v>
      </c>
      <c r="M84" s="8" t="s">
        <v>742</v>
      </c>
      <c r="N84" s="8" t="s">
        <v>1050</v>
      </c>
      <c r="O84" s="8" t="s">
        <v>1067</v>
      </c>
      <c r="P84" s="8" t="s">
        <v>1068</v>
      </c>
      <c r="Q84" s="8" t="s">
        <v>1069</v>
      </c>
      <c r="R84" s="8" t="s">
        <v>1059</v>
      </c>
      <c r="S84" s="19" t="s">
        <v>1070</v>
      </c>
      <c r="T84" s="8" t="s">
        <v>1071</v>
      </c>
      <c r="U84" s="8" t="s">
        <v>1059</v>
      </c>
      <c r="V84" s="8" t="n">
        <f aca="false">COUNTA(M84:R84)</f>
        <v>6</v>
      </c>
      <c r="W84" s="8" t="s">
        <v>218</v>
      </c>
      <c r="X84" s="8" t="s">
        <v>218</v>
      </c>
      <c r="Y84" s="8" t="s">
        <v>218</v>
      </c>
      <c r="Z84" s="8"/>
      <c r="AA84" s="8" t="s">
        <v>1072</v>
      </c>
      <c r="AB84" s="20" t="s">
        <v>1073</v>
      </c>
      <c r="AC84" s="20" t="s">
        <v>221</v>
      </c>
      <c r="AD84" s="20" t="s">
        <v>1074</v>
      </c>
      <c r="AE84" s="8" t="s">
        <v>223</v>
      </c>
      <c r="AF84" s="8" t="s">
        <v>224</v>
      </c>
    </row>
    <row r="85" customFormat="false" ht="15" hidden="false" customHeight="false" outlineLevel="0" collapsed="false">
      <c r="A85" s="8" t="s">
        <v>1075</v>
      </c>
      <c r="B85" s="8" t="s">
        <v>1076</v>
      </c>
      <c r="C85" s="8"/>
      <c r="D85" s="8" t="s">
        <v>206</v>
      </c>
      <c r="E85" s="8" t="s">
        <v>105</v>
      </c>
      <c r="F85" s="8" t="s">
        <v>70</v>
      </c>
      <c r="G85" s="8" t="s">
        <v>207</v>
      </c>
      <c r="H85" s="8" t="s">
        <v>82</v>
      </c>
      <c r="I85" s="8" t="s">
        <v>273</v>
      </c>
      <c r="J85" s="8" t="n">
        <v>1</v>
      </c>
      <c r="K85" s="8" t="n">
        <v>5</v>
      </c>
      <c r="L85" s="18" t="n">
        <f aca="false">INDEX('All Items'!$Q:$Q,MATCH($A85,'All Items'!$A:$A,0))</f>
        <v>9.75</v>
      </c>
      <c r="M85" s="8" t="s">
        <v>668</v>
      </c>
      <c r="N85" s="8" t="s">
        <v>477</v>
      </c>
      <c r="O85" s="8" t="s">
        <v>1077</v>
      </c>
      <c r="P85" s="8" t="s">
        <v>432</v>
      </c>
      <c r="Q85" s="8" t="s">
        <v>1078</v>
      </c>
      <c r="R85" s="8" t="s">
        <v>1079</v>
      </c>
      <c r="S85" s="19" t="s">
        <v>1080</v>
      </c>
      <c r="T85" s="8" t="s">
        <v>1081</v>
      </c>
      <c r="U85" s="8"/>
      <c r="V85" s="8" t="n">
        <f aca="false">COUNTA(M85:R85)</f>
        <v>6</v>
      </c>
      <c r="W85" s="8" t="s">
        <v>218</v>
      </c>
      <c r="X85" s="8" t="s">
        <v>218</v>
      </c>
      <c r="Y85" s="8" t="s">
        <v>218</v>
      </c>
      <c r="Z85" s="8"/>
      <c r="AA85" s="8" t="s">
        <v>1082</v>
      </c>
      <c r="AB85" s="20"/>
      <c r="AC85" s="20"/>
      <c r="AD85" s="20"/>
      <c r="AE85" s="8" t="s">
        <v>237</v>
      </c>
      <c r="AF85" s="8" t="s">
        <v>224</v>
      </c>
    </row>
    <row r="86" customFormat="false" ht="15" hidden="false" customHeight="false" outlineLevel="0" collapsed="false">
      <c r="A86" s="8" t="s">
        <v>1083</v>
      </c>
      <c r="B86" s="8" t="s">
        <v>1084</v>
      </c>
      <c r="C86" s="8" t="s">
        <v>1085</v>
      </c>
      <c r="D86" s="8" t="s">
        <v>206</v>
      </c>
      <c r="E86" s="8" t="s">
        <v>105</v>
      </c>
      <c r="F86" s="8" t="s">
        <v>70</v>
      </c>
      <c r="G86" s="8" t="s">
        <v>207</v>
      </c>
      <c r="H86" s="8" t="s">
        <v>82</v>
      </c>
      <c r="I86" s="8" t="s">
        <v>227</v>
      </c>
      <c r="J86" s="8" t="n">
        <v>1</v>
      </c>
      <c r="K86" s="8" t="n">
        <v>4</v>
      </c>
      <c r="L86" s="18" t="n">
        <f aca="false">INDEX('All Items'!$Q:$Q,MATCH($A86,'All Items'!$A:$A,0))</f>
        <v>8.2</v>
      </c>
      <c r="M86" s="8" t="s">
        <v>275</v>
      </c>
      <c r="N86" s="8" t="s">
        <v>346</v>
      </c>
      <c r="O86" s="8" t="s">
        <v>476</v>
      </c>
      <c r="P86" s="8" t="s">
        <v>1086</v>
      </c>
      <c r="Q86" s="8" t="s">
        <v>1087</v>
      </c>
      <c r="R86" s="8" t="s">
        <v>1088</v>
      </c>
      <c r="S86" s="19" t="s">
        <v>1089</v>
      </c>
      <c r="T86" s="8" t="s">
        <v>1090</v>
      </c>
      <c r="U86" s="8"/>
      <c r="V86" s="8" t="n">
        <f aca="false">COUNTA(M86:R86)</f>
        <v>6</v>
      </c>
      <c r="W86" s="8" t="s">
        <v>218</v>
      </c>
      <c r="X86" s="8" t="s">
        <v>218</v>
      </c>
      <c r="Y86" s="8" t="s">
        <v>218</v>
      </c>
      <c r="Z86" s="8"/>
      <c r="AA86" s="8" t="s">
        <v>1091</v>
      </c>
      <c r="AB86" s="20" t="s">
        <v>1092</v>
      </c>
      <c r="AC86" s="20" t="s">
        <v>221</v>
      </c>
      <c r="AD86" s="20" t="s">
        <v>1093</v>
      </c>
      <c r="AE86" s="8" t="s">
        <v>223</v>
      </c>
      <c r="AF86" s="8" t="s">
        <v>224</v>
      </c>
    </row>
    <row r="87" customFormat="false" ht="15" hidden="false" customHeight="false" outlineLevel="0" collapsed="false">
      <c r="A87" s="8" t="s">
        <v>1094</v>
      </c>
      <c r="B87" s="8" t="s">
        <v>1095</v>
      </c>
      <c r="C87" s="8"/>
      <c r="D87" s="8" t="s">
        <v>206</v>
      </c>
      <c r="E87" s="8" t="s">
        <v>105</v>
      </c>
      <c r="F87" s="8" t="s">
        <v>70</v>
      </c>
      <c r="G87" s="8" t="s">
        <v>207</v>
      </c>
      <c r="H87" s="8" t="s">
        <v>84</v>
      </c>
      <c r="I87" s="8" t="s">
        <v>227</v>
      </c>
      <c r="J87" s="8" t="n">
        <v>2</v>
      </c>
      <c r="K87" s="8" t="n">
        <v>3</v>
      </c>
      <c r="L87" s="18" t="n">
        <f aca="false">INDEX('All Items'!$Q:$Q,MATCH($A87,'All Items'!$A:$A,0))</f>
        <v>7.4</v>
      </c>
      <c r="M87" s="8" t="s">
        <v>275</v>
      </c>
      <c r="N87" s="8" t="s">
        <v>346</v>
      </c>
      <c r="O87" s="8" t="s">
        <v>476</v>
      </c>
      <c r="P87" s="8" t="s">
        <v>586</v>
      </c>
      <c r="Q87" s="8" t="s">
        <v>1096</v>
      </c>
      <c r="R87" s="8" t="s">
        <v>1088</v>
      </c>
      <c r="S87" s="19" t="s">
        <v>1097</v>
      </c>
      <c r="T87" s="8" t="s">
        <v>1098</v>
      </c>
      <c r="U87" s="8"/>
      <c r="V87" s="8" t="n">
        <f aca="false">COUNTA(M87:R87)</f>
        <v>6</v>
      </c>
      <c r="W87" s="8" t="s">
        <v>259</v>
      </c>
      <c r="X87" s="8" t="s">
        <v>218</v>
      </c>
      <c r="Y87" s="8" t="s">
        <v>218</v>
      </c>
      <c r="Z87" s="8"/>
      <c r="AA87" s="8" t="s">
        <v>1099</v>
      </c>
      <c r="AB87" s="20"/>
      <c r="AC87" s="20"/>
      <c r="AD87" s="20"/>
      <c r="AE87" s="8" t="s">
        <v>237</v>
      </c>
      <c r="AF87" s="8" t="s">
        <v>224</v>
      </c>
    </row>
    <row r="88" customFormat="false" ht="15" hidden="false" customHeight="false" outlineLevel="0" collapsed="false">
      <c r="A88" s="8" t="s">
        <v>1100</v>
      </c>
      <c r="B88" s="8" t="s">
        <v>1101</v>
      </c>
      <c r="C88" s="8"/>
      <c r="D88" s="8" t="s">
        <v>206</v>
      </c>
      <c r="E88" s="8" t="s">
        <v>105</v>
      </c>
      <c r="F88" s="8" t="s">
        <v>70</v>
      </c>
      <c r="G88" s="8" t="s">
        <v>207</v>
      </c>
      <c r="H88" s="8" t="s">
        <v>78</v>
      </c>
      <c r="I88" s="8" t="s">
        <v>273</v>
      </c>
      <c r="J88" s="8" t="n">
        <v>1</v>
      </c>
      <c r="K88" s="8" t="n">
        <v>5</v>
      </c>
      <c r="L88" s="18" t="n">
        <f aca="false">INDEX('All Items'!$Q:$Q,MATCH($A88,'All Items'!$A:$A,0))</f>
        <v>10</v>
      </c>
      <c r="M88" s="8" t="s">
        <v>1102</v>
      </c>
      <c r="N88" s="8" t="s">
        <v>794</v>
      </c>
      <c r="O88" s="8" t="s">
        <v>1103</v>
      </c>
      <c r="P88" s="8" t="s">
        <v>1104</v>
      </c>
      <c r="Q88" s="8" t="s">
        <v>1105</v>
      </c>
      <c r="R88" s="8" t="s">
        <v>1106</v>
      </c>
      <c r="S88" s="19" t="s">
        <v>1107</v>
      </c>
      <c r="T88" s="8" t="s">
        <v>1108</v>
      </c>
      <c r="U88" s="8" t="s">
        <v>1106</v>
      </c>
      <c r="V88" s="8" t="n">
        <f aca="false">COUNTA(M88:R88)</f>
        <v>6</v>
      </c>
      <c r="W88" s="8" t="s">
        <v>218</v>
      </c>
      <c r="X88" s="8" t="s">
        <v>218</v>
      </c>
      <c r="Y88" s="8" t="s">
        <v>218</v>
      </c>
      <c r="Z88" s="8"/>
      <c r="AA88" s="8" t="s">
        <v>1109</v>
      </c>
      <c r="AB88" s="20"/>
      <c r="AC88" s="20"/>
      <c r="AD88" s="20"/>
      <c r="AE88" s="8" t="s">
        <v>237</v>
      </c>
      <c r="AF88" s="8" t="s">
        <v>224</v>
      </c>
    </row>
    <row r="89" customFormat="false" ht="15" hidden="false" customHeight="false" outlineLevel="0" collapsed="false">
      <c r="A89" s="8" t="s">
        <v>1110</v>
      </c>
      <c r="B89" s="8" t="s">
        <v>1111</v>
      </c>
      <c r="C89" s="8"/>
      <c r="D89" s="8" t="s">
        <v>206</v>
      </c>
      <c r="E89" s="8" t="s">
        <v>105</v>
      </c>
      <c r="F89" s="8" t="s">
        <v>70</v>
      </c>
      <c r="G89" s="8" t="s">
        <v>207</v>
      </c>
      <c r="H89" s="8" t="s">
        <v>83</v>
      </c>
      <c r="I89" s="8" t="s">
        <v>273</v>
      </c>
      <c r="J89" s="8" t="n">
        <v>1</v>
      </c>
      <c r="K89" s="8" t="n">
        <v>4</v>
      </c>
      <c r="L89" s="18" t="n">
        <f aca="false">INDEX('All Items'!$Q:$Q,MATCH($A89,'All Items'!$A:$A,0))</f>
        <v>7.95</v>
      </c>
      <c r="M89" s="8" t="s">
        <v>274</v>
      </c>
      <c r="N89" s="8" t="s">
        <v>443</v>
      </c>
      <c r="O89" s="8" t="s">
        <v>1112</v>
      </c>
      <c r="P89" s="8" t="s">
        <v>1113</v>
      </c>
      <c r="Q89" s="8" t="s">
        <v>668</v>
      </c>
      <c r="R89" s="8" t="s">
        <v>1114</v>
      </c>
      <c r="S89" s="19" t="s">
        <v>1115</v>
      </c>
      <c r="T89" s="8" t="s">
        <v>1116</v>
      </c>
      <c r="U89" s="8"/>
      <c r="V89" s="8" t="n">
        <f aca="false">COUNTA(M89:R89)</f>
        <v>6</v>
      </c>
      <c r="W89" s="8" t="s">
        <v>218</v>
      </c>
      <c r="X89" s="8" t="s">
        <v>218</v>
      </c>
      <c r="Y89" s="8" t="s">
        <v>218</v>
      </c>
      <c r="Z89" s="8"/>
      <c r="AA89" s="8" t="s">
        <v>1117</v>
      </c>
      <c r="AB89" s="20"/>
      <c r="AC89" s="20"/>
      <c r="AD89" s="20"/>
      <c r="AE89" s="8" t="s">
        <v>237</v>
      </c>
      <c r="AF89" s="8" t="s">
        <v>224</v>
      </c>
    </row>
    <row r="90" customFormat="false" ht="15" hidden="false" customHeight="false" outlineLevel="0" collapsed="false">
      <c r="A90" s="8" t="s">
        <v>1118</v>
      </c>
      <c r="B90" s="8" t="s">
        <v>1119</v>
      </c>
      <c r="C90" s="8"/>
      <c r="D90" s="8" t="s">
        <v>206</v>
      </c>
      <c r="E90" s="8" t="s">
        <v>105</v>
      </c>
      <c r="F90" s="8" t="s">
        <v>70</v>
      </c>
      <c r="G90" s="8" t="s">
        <v>207</v>
      </c>
      <c r="H90" s="8" t="s">
        <v>78</v>
      </c>
      <c r="I90" s="8" t="s">
        <v>208</v>
      </c>
      <c r="J90" s="8" t="n">
        <v>1</v>
      </c>
      <c r="K90" s="8" t="n">
        <v>4</v>
      </c>
      <c r="L90" s="18" t="n">
        <f aca="false">INDEX('All Items'!$Q:$Q,MATCH($A90,'All Items'!$A:$A,0))</f>
        <v>8.45</v>
      </c>
      <c r="M90" s="8" t="s">
        <v>1014</v>
      </c>
      <c r="N90" s="8" t="s">
        <v>541</v>
      </c>
      <c r="O90" s="8" t="s">
        <v>1120</v>
      </c>
      <c r="P90" s="8" t="s">
        <v>1121</v>
      </c>
      <c r="Q90" s="8" t="s">
        <v>1122</v>
      </c>
      <c r="R90" s="8" t="s">
        <v>213</v>
      </c>
      <c r="S90" s="19" t="s">
        <v>1123</v>
      </c>
      <c r="T90" s="8" t="s">
        <v>1124</v>
      </c>
      <c r="U90" s="8" t="s">
        <v>213</v>
      </c>
      <c r="V90" s="8" t="n">
        <f aca="false">COUNTA(M90:R90)</f>
        <v>6</v>
      </c>
      <c r="W90" s="8" t="s">
        <v>218</v>
      </c>
      <c r="X90" s="8" t="s">
        <v>218</v>
      </c>
      <c r="Y90" s="8" t="s">
        <v>218</v>
      </c>
      <c r="Z90" s="8"/>
      <c r="AA90" s="8" t="s">
        <v>1125</v>
      </c>
      <c r="AB90" s="20"/>
      <c r="AC90" s="20"/>
      <c r="AD90" s="20"/>
      <c r="AE90" s="8" t="s">
        <v>237</v>
      </c>
      <c r="AF90" s="8" t="s">
        <v>224</v>
      </c>
    </row>
    <row r="91" customFormat="false" ht="15" hidden="false" customHeight="false" outlineLevel="0" collapsed="false">
      <c r="A91" s="8" t="s">
        <v>1126</v>
      </c>
      <c r="B91" s="8" t="s">
        <v>1127</v>
      </c>
      <c r="C91" s="8"/>
      <c r="D91" s="8" t="s">
        <v>206</v>
      </c>
      <c r="E91" s="8" t="s">
        <v>105</v>
      </c>
      <c r="F91" s="8" t="s">
        <v>70</v>
      </c>
      <c r="G91" s="8" t="s">
        <v>207</v>
      </c>
      <c r="H91" s="8" t="s">
        <v>81</v>
      </c>
      <c r="I91" s="8" t="s">
        <v>1030</v>
      </c>
      <c r="J91" s="8" t="n">
        <v>2</v>
      </c>
      <c r="K91" s="8" t="n">
        <v>3</v>
      </c>
      <c r="L91" s="18" t="n">
        <f aca="false">INDEX('All Items'!$Q:$Q,MATCH($A91,'All Items'!$A:$A,0))</f>
        <v>7.4</v>
      </c>
      <c r="M91" s="8" t="s">
        <v>1128</v>
      </c>
      <c r="N91" s="8" t="s">
        <v>1129</v>
      </c>
      <c r="O91" s="8" t="s">
        <v>1130</v>
      </c>
      <c r="P91" s="8" t="s">
        <v>1131</v>
      </c>
      <c r="Q91" s="8" t="s">
        <v>1132</v>
      </c>
      <c r="R91" s="8" t="s">
        <v>1133</v>
      </c>
      <c r="S91" s="19" t="s">
        <v>1134</v>
      </c>
      <c r="T91" s="8" t="s">
        <v>1135</v>
      </c>
      <c r="U91" s="8" t="s">
        <v>1133</v>
      </c>
      <c r="V91" s="8" t="n">
        <f aca="false">COUNTA(M91:R91)</f>
        <v>6</v>
      </c>
      <c r="W91" s="8" t="s">
        <v>259</v>
      </c>
      <c r="X91" s="8" t="s">
        <v>218</v>
      </c>
      <c r="Y91" s="8" t="s">
        <v>218</v>
      </c>
      <c r="Z91" s="8"/>
      <c r="AA91" s="8" t="s">
        <v>1136</v>
      </c>
      <c r="AB91" s="20"/>
      <c r="AC91" s="20"/>
      <c r="AD91" s="20"/>
      <c r="AE91" s="8" t="s">
        <v>237</v>
      </c>
      <c r="AF91" s="8" t="s">
        <v>224</v>
      </c>
    </row>
    <row r="92" customFormat="false" ht="15" hidden="false" customHeight="false" outlineLevel="0" collapsed="false">
      <c r="A92" s="8" t="s">
        <v>1137</v>
      </c>
      <c r="B92" s="8" t="s">
        <v>1138</v>
      </c>
      <c r="C92" s="8"/>
      <c r="D92" s="8" t="s">
        <v>206</v>
      </c>
      <c r="E92" s="8" t="s">
        <v>105</v>
      </c>
      <c r="F92" s="8" t="s">
        <v>70</v>
      </c>
      <c r="G92" s="8" t="s">
        <v>207</v>
      </c>
      <c r="H92" s="8" t="s">
        <v>82</v>
      </c>
      <c r="I92" s="8" t="s">
        <v>273</v>
      </c>
      <c r="J92" s="8" t="n">
        <v>2</v>
      </c>
      <c r="K92" s="8" t="n">
        <v>3</v>
      </c>
      <c r="L92" s="18" t="n">
        <f aca="false">INDEX('All Items'!$Q:$Q,MATCH($A92,'All Items'!$A:$A,0))</f>
        <v>6.9</v>
      </c>
      <c r="M92" s="8" t="s">
        <v>274</v>
      </c>
      <c r="N92" s="8" t="s">
        <v>1139</v>
      </c>
      <c r="O92" s="8" t="s">
        <v>1140</v>
      </c>
      <c r="P92" s="8" t="s">
        <v>1141</v>
      </c>
      <c r="Q92" s="8" t="s">
        <v>1142</v>
      </c>
      <c r="R92" s="8" t="s">
        <v>1143</v>
      </c>
      <c r="S92" s="19" t="s">
        <v>1144</v>
      </c>
      <c r="T92" s="8" t="s">
        <v>1145</v>
      </c>
      <c r="U92" s="8"/>
      <c r="V92" s="8" t="n">
        <f aca="false">COUNTA(M92:R92)</f>
        <v>6</v>
      </c>
      <c r="W92" s="8" t="s">
        <v>259</v>
      </c>
      <c r="X92" s="8" t="s">
        <v>218</v>
      </c>
      <c r="Y92" s="8" t="s">
        <v>218</v>
      </c>
      <c r="Z92" s="8"/>
      <c r="AA92" s="8" t="s">
        <v>1146</v>
      </c>
      <c r="AB92" s="20"/>
      <c r="AC92" s="20"/>
      <c r="AD92" s="20"/>
      <c r="AE92" s="8" t="s">
        <v>237</v>
      </c>
      <c r="AF92" s="8" t="s">
        <v>224</v>
      </c>
    </row>
    <row r="93" customFormat="false" ht="15" hidden="false" customHeight="false" outlineLevel="0" collapsed="false">
      <c r="A93" s="8" t="s">
        <v>1147</v>
      </c>
      <c r="B93" s="8" t="s">
        <v>1148</v>
      </c>
      <c r="C93" s="8" t="s">
        <v>1149</v>
      </c>
      <c r="D93" s="8" t="s">
        <v>206</v>
      </c>
      <c r="E93" s="8" t="s">
        <v>105</v>
      </c>
      <c r="F93" s="8" t="s">
        <v>70</v>
      </c>
      <c r="G93" s="8" t="s">
        <v>207</v>
      </c>
      <c r="H93" s="8" t="s">
        <v>85</v>
      </c>
      <c r="I93" s="8" t="s">
        <v>227</v>
      </c>
      <c r="J93" s="8" t="n">
        <v>2</v>
      </c>
      <c r="K93" s="8" t="n">
        <v>3</v>
      </c>
      <c r="L93" s="18" t="n">
        <f aca="false">INDEX('All Items'!$Q:$Q,MATCH($A93,'All Items'!$A:$A,0))</f>
        <v>7.4</v>
      </c>
      <c r="M93" s="8" t="s">
        <v>324</v>
      </c>
      <c r="N93" s="8" t="s">
        <v>751</v>
      </c>
      <c r="O93" s="8" t="s">
        <v>435</v>
      </c>
      <c r="P93" s="8" t="s">
        <v>1150</v>
      </c>
      <c r="Q93" s="8" t="s">
        <v>1151</v>
      </c>
      <c r="R93" s="8" t="s">
        <v>275</v>
      </c>
      <c r="S93" s="19" t="s">
        <v>1152</v>
      </c>
      <c r="T93" s="8" t="s">
        <v>1153</v>
      </c>
      <c r="U93" s="8" t="s">
        <v>275</v>
      </c>
      <c r="V93" s="8" t="n">
        <f aca="false">COUNTA(M93:R93)</f>
        <v>6</v>
      </c>
      <c r="W93" s="8" t="s">
        <v>259</v>
      </c>
      <c r="X93" s="8" t="s">
        <v>218</v>
      </c>
      <c r="Y93" s="8" t="s">
        <v>218</v>
      </c>
      <c r="Z93" s="8"/>
      <c r="AA93" s="8" t="s">
        <v>1154</v>
      </c>
      <c r="AB93" s="20"/>
      <c r="AC93" s="20"/>
      <c r="AD93" s="20"/>
      <c r="AE93" s="8" t="s">
        <v>237</v>
      </c>
      <c r="AF93" s="8" t="s">
        <v>224</v>
      </c>
    </row>
    <row r="94" customFormat="false" ht="15" hidden="false" customHeight="false" outlineLevel="0" collapsed="false">
      <c r="A94" s="8" t="s">
        <v>1155</v>
      </c>
      <c r="B94" s="8" t="s">
        <v>1156</v>
      </c>
      <c r="C94" s="8"/>
      <c r="D94" s="8" t="s">
        <v>206</v>
      </c>
      <c r="E94" s="8" t="s">
        <v>105</v>
      </c>
      <c r="F94" s="8" t="s">
        <v>70</v>
      </c>
      <c r="G94" s="8" t="s">
        <v>207</v>
      </c>
      <c r="H94" s="8" t="s">
        <v>85</v>
      </c>
      <c r="I94" s="8" t="s">
        <v>273</v>
      </c>
      <c r="J94" s="8" t="n">
        <v>2</v>
      </c>
      <c r="K94" s="8" t="n">
        <v>3</v>
      </c>
      <c r="L94" s="18" t="n">
        <f aca="false">INDEX('All Items'!$Q:$Q,MATCH($A94,'All Items'!$A:$A,0))</f>
        <v>7.4</v>
      </c>
      <c r="M94" s="8" t="s">
        <v>668</v>
      </c>
      <c r="N94" s="8" t="s">
        <v>791</v>
      </c>
      <c r="O94" s="8" t="s">
        <v>1157</v>
      </c>
      <c r="P94" s="8" t="s">
        <v>1150</v>
      </c>
      <c r="Q94" s="8" t="s">
        <v>275</v>
      </c>
      <c r="R94" s="8" t="s">
        <v>442</v>
      </c>
      <c r="S94" s="19" t="s">
        <v>1158</v>
      </c>
      <c r="T94" s="8" t="s">
        <v>1159</v>
      </c>
      <c r="U94" s="8" t="s">
        <v>1160</v>
      </c>
      <c r="V94" s="8" t="n">
        <f aca="false">COUNTA(M94:R94)</f>
        <v>6</v>
      </c>
      <c r="W94" s="8" t="s">
        <v>259</v>
      </c>
      <c r="X94" s="8" t="s">
        <v>218</v>
      </c>
      <c r="Y94" s="8" t="s">
        <v>218</v>
      </c>
      <c r="Z94" s="8"/>
      <c r="AA94" s="8" t="s">
        <v>1161</v>
      </c>
      <c r="AB94" s="20" t="s">
        <v>1162</v>
      </c>
      <c r="AC94" s="20" t="s">
        <v>221</v>
      </c>
      <c r="AD94" s="20" t="s">
        <v>1163</v>
      </c>
      <c r="AE94" s="8" t="s">
        <v>223</v>
      </c>
      <c r="AF94" s="8" t="s">
        <v>224</v>
      </c>
    </row>
    <row r="95" customFormat="false" ht="15" hidden="false" customHeight="false" outlineLevel="0" collapsed="false">
      <c r="A95" s="8" t="s">
        <v>1164</v>
      </c>
      <c r="B95" s="8" t="s">
        <v>1165</v>
      </c>
      <c r="C95" s="8" t="s">
        <v>1166</v>
      </c>
      <c r="D95" s="8" t="s">
        <v>206</v>
      </c>
      <c r="E95" s="8" t="s">
        <v>105</v>
      </c>
      <c r="F95" s="8" t="s">
        <v>70</v>
      </c>
      <c r="G95" s="8" t="s">
        <v>207</v>
      </c>
      <c r="H95" s="8" t="s">
        <v>85</v>
      </c>
      <c r="I95" s="8" t="s">
        <v>273</v>
      </c>
      <c r="J95" s="8" t="n">
        <v>2</v>
      </c>
      <c r="K95" s="8" t="n">
        <v>3</v>
      </c>
      <c r="L95" s="18" t="n">
        <f aca="false">INDEX('All Items'!$Q:$Q,MATCH($A95,'All Items'!$A:$A,0))</f>
        <v>7.4</v>
      </c>
      <c r="M95" s="8" t="s">
        <v>586</v>
      </c>
      <c r="N95" s="8" t="s">
        <v>1167</v>
      </c>
      <c r="O95" s="8" t="s">
        <v>791</v>
      </c>
      <c r="P95" s="8" t="s">
        <v>443</v>
      </c>
      <c r="Q95" s="8" t="s">
        <v>1168</v>
      </c>
      <c r="R95" s="8" t="s">
        <v>1169</v>
      </c>
      <c r="S95" s="19" t="s">
        <v>1170</v>
      </c>
      <c r="T95" s="8" t="s">
        <v>1171</v>
      </c>
      <c r="U95" s="8"/>
      <c r="V95" s="8" t="n">
        <f aca="false">COUNTA(M95:R95)</f>
        <v>6</v>
      </c>
      <c r="W95" s="8" t="s">
        <v>259</v>
      </c>
      <c r="X95" s="8" t="s">
        <v>218</v>
      </c>
      <c r="Y95" s="8" t="s">
        <v>218</v>
      </c>
      <c r="Z95" s="8"/>
      <c r="AA95" s="8" t="s">
        <v>1172</v>
      </c>
      <c r="AB95" s="20" t="s">
        <v>1173</v>
      </c>
      <c r="AC95" s="20" t="s">
        <v>1174</v>
      </c>
      <c r="AD95" s="20" t="s">
        <v>1175</v>
      </c>
      <c r="AE95" s="8" t="s">
        <v>223</v>
      </c>
      <c r="AF95" s="8" t="s">
        <v>224</v>
      </c>
    </row>
    <row r="96" customFormat="false" ht="15" hidden="false" customHeight="false" outlineLevel="0" collapsed="false">
      <c r="A96" s="8" t="s">
        <v>1176</v>
      </c>
      <c r="B96" s="8" t="s">
        <v>1177</v>
      </c>
      <c r="C96" s="8"/>
      <c r="D96" s="8" t="s">
        <v>206</v>
      </c>
      <c r="E96" s="8" t="s">
        <v>105</v>
      </c>
      <c r="F96" s="8" t="s">
        <v>70</v>
      </c>
      <c r="G96" s="8" t="s">
        <v>207</v>
      </c>
      <c r="H96" s="8" t="s">
        <v>79</v>
      </c>
      <c r="I96" s="8" t="s">
        <v>273</v>
      </c>
      <c r="J96" s="8" t="n">
        <v>2</v>
      </c>
      <c r="K96" s="8" t="n">
        <v>3</v>
      </c>
      <c r="L96" s="18" t="n">
        <f aca="false">INDEX('All Items'!$Q:$Q,MATCH($A96,'All Items'!$A:$A,0))</f>
        <v>7.15</v>
      </c>
      <c r="M96" s="8" t="s">
        <v>668</v>
      </c>
      <c r="N96" s="8" t="s">
        <v>835</v>
      </c>
      <c r="O96" s="8" t="s">
        <v>1140</v>
      </c>
      <c r="P96" s="8" t="s">
        <v>1178</v>
      </c>
      <c r="Q96" s="8" t="s">
        <v>1179</v>
      </c>
      <c r="R96" s="8" t="s">
        <v>1180</v>
      </c>
      <c r="S96" s="19" t="s">
        <v>1181</v>
      </c>
      <c r="T96" s="8" t="s">
        <v>1182</v>
      </c>
      <c r="U96" s="8"/>
      <c r="V96" s="8" t="n">
        <f aca="false">COUNTA(M96:R96)</f>
        <v>6</v>
      </c>
      <c r="W96" s="8" t="s">
        <v>259</v>
      </c>
      <c r="X96" s="8" t="s">
        <v>218</v>
      </c>
      <c r="Y96" s="8" t="s">
        <v>218</v>
      </c>
      <c r="Z96" s="8"/>
      <c r="AA96" s="8" t="s">
        <v>1183</v>
      </c>
      <c r="AB96" s="20" t="s">
        <v>1184</v>
      </c>
      <c r="AC96" s="20" t="s">
        <v>221</v>
      </c>
      <c r="AD96" s="20" t="s">
        <v>1185</v>
      </c>
      <c r="AE96" s="8" t="s">
        <v>223</v>
      </c>
      <c r="AF96" s="8" t="s">
        <v>224</v>
      </c>
    </row>
    <row r="97" customFormat="false" ht="15" hidden="false" customHeight="false" outlineLevel="0" collapsed="false">
      <c r="A97" s="8" t="s">
        <v>1186</v>
      </c>
      <c r="B97" s="8" t="s">
        <v>1187</v>
      </c>
      <c r="C97" s="8"/>
      <c r="D97" s="8" t="s">
        <v>206</v>
      </c>
      <c r="E97" s="8" t="s">
        <v>107</v>
      </c>
      <c r="F97" s="8" t="s">
        <v>70</v>
      </c>
      <c r="G97" s="8" t="s">
        <v>207</v>
      </c>
      <c r="H97" s="8" t="s">
        <v>82</v>
      </c>
      <c r="I97" s="8" t="s">
        <v>273</v>
      </c>
      <c r="J97" s="8" t="n">
        <v>1</v>
      </c>
      <c r="K97" s="8" t="n">
        <v>4</v>
      </c>
      <c r="L97" s="18" t="n">
        <f aca="false">INDEX('All Items'!$Q:$Q,MATCH($A97,'All Items'!$A:$A,0))</f>
        <v>8.45</v>
      </c>
      <c r="M97" s="8" t="s">
        <v>678</v>
      </c>
      <c r="N97" s="8" t="s">
        <v>1188</v>
      </c>
      <c r="O97" s="8" t="s">
        <v>1189</v>
      </c>
      <c r="P97" s="8" t="s">
        <v>1190</v>
      </c>
      <c r="Q97" s="8" t="s">
        <v>1191</v>
      </c>
      <c r="R97" s="8" t="s">
        <v>1192</v>
      </c>
      <c r="S97" s="19" t="s">
        <v>1193</v>
      </c>
      <c r="T97" s="8" t="s">
        <v>678</v>
      </c>
      <c r="U97" s="8"/>
      <c r="V97" s="8" t="n">
        <f aca="false">COUNTA(M97:R97)</f>
        <v>6</v>
      </c>
      <c r="W97" s="8" t="s">
        <v>218</v>
      </c>
      <c r="X97" s="8" t="s">
        <v>218</v>
      </c>
      <c r="Y97" s="8" t="s">
        <v>218</v>
      </c>
      <c r="Z97" s="8"/>
      <c r="AA97" s="8" t="s">
        <v>1194</v>
      </c>
      <c r="AB97" s="20"/>
      <c r="AC97" s="20"/>
      <c r="AD97" s="20"/>
      <c r="AE97" s="8" t="s">
        <v>237</v>
      </c>
      <c r="AF97" s="8" t="s">
        <v>224</v>
      </c>
    </row>
    <row r="98" customFormat="false" ht="15" hidden="false" customHeight="false" outlineLevel="0" collapsed="false">
      <c r="A98" s="8" t="s">
        <v>1195</v>
      </c>
      <c r="B98" s="8" t="s">
        <v>1196</v>
      </c>
      <c r="C98" s="8"/>
      <c r="D98" s="8" t="s">
        <v>206</v>
      </c>
      <c r="E98" s="8" t="s">
        <v>105</v>
      </c>
      <c r="F98" s="8" t="s">
        <v>70</v>
      </c>
      <c r="G98" s="8" t="s">
        <v>207</v>
      </c>
      <c r="H98" s="8" t="s">
        <v>79</v>
      </c>
      <c r="I98" s="8" t="s">
        <v>208</v>
      </c>
      <c r="J98" s="8" t="n">
        <v>1</v>
      </c>
      <c r="K98" s="8" t="n">
        <v>4</v>
      </c>
      <c r="L98" s="18" t="n">
        <f aca="false">INDEX('All Items'!$Q:$Q,MATCH($A98,'All Items'!$A:$A,0))</f>
        <v>8.45</v>
      </c>
      <c r="M98" s="8" t="s">
        <v>1197</v>
      </c>
      <c r="N98" s="8" t="s">
        <v>477</v>
      </c>
      <c r="O98" s="8" t="s">
        <v>1198</v>
      </c>
      <c r="P98" s="8" t="s">
        <v>1199</v>
      </c>
      <c r="Q98" s="8" t="s">
        <v>1200</v>
      </c>
      <c r="R98" s="8" t="s">
        <v>213</v>
      </c>
      <c r="S98" s="19" t="s">
        <v>1201</v>
      </c>
      <c r="T98" s="8" t="s">
        <v>1202</v>
      </c>
      <c r="U98" s="8" t="s">
        <v>213</v>
      </c>
      <c r="V98" s="8" t="n">
        <f aca="false">COUNTA(M98:R98)</f>
        <v>6</v>
      </c>
      <c r="W98" s="8" t="s">
        <v>218</v>
      </c>
      <c r="X98" s="8" t="s">
        <v>218</v>
      </c>
      <c r="Y98" s="8" t="s">
        <v>218</v>
      </c>
      <c r="Z98" s="8"/>
      <c r="AA98" s="8" t="s">
        <v>1203</v>
      </c>
      <c r="AB98" s="20"/>
      <c r="AC98" s="20"/>
      <c r="AD98" s="20"/>
      <c r="AE98" s="8" t="s">
        <v>237</v>
      </c>
      <c r="AF98" s="8" t="s">
        <v>224</v>
      </c>
    </row>
    <row r="99" customFormat="false" ht="15" hidden="false" customHeight="false" outlineLevel="0" collapsed="false">
      <c r="A99" s="8" t="s">
        <v>1204</v>
      </c>
      <c r="B99" s="8" t="s">
        <v>1205</v>
      </c>
      <c r="C99" s="8"/>
      <c r="D99" s="8" t="s">
        <v>206</v>
      </c>
      <c r="E99" s="8" t="s">
        <v>109</v>
      </c>
      <c r="F99" s="8" t="s">
        <v>70</v>
      </c>
      <c r="G99" s="8" t="s">
        <v>207</v>
      </c>
      <c r="H99" s="8" t="s">
        <v>84</v>
      </c>
      <c r="I99" s="8" t="s">
        <v>227</v>
      </c>
      <c r="J99" s="8" t="n">
        <v>1</v>
      </c>
      <c r="K99" s="8" t="n">
        <v>4</v>
      </c>
      <c r="L99" s="18" t="n">
        <f aca="false">INDEX('All Items'!$Q:$Q,MATCH($A99,'All Items'!$A:$A,0))</f>
        <v>7.95</v>
      </c>
      <c r="M99" s="8" t="s">
        <v>764</v>
      </c>
      <c r="N99" s="8" t="s">
        <v>307</v>
      </c>
      <c r="O99" s="8" t="s">
        <v>1206</v>
      </c>
      <c r="P99" s="8" t="s">
        <v>1207</v>
      </c>
      <c r="Q99" s="8" t="s">
        <v>1208</v>
      </c>
      <c r="R99" s="8"/>
      <c r="S99" s="19" t="s">
        <v>1209</v>
      </c>
      <c r="T99" s="8" t="s">
        <v>1210</v>
      </c>
      <c r="U99" s="8"/>
      <c r="V99" s="8" t="n">
        <f aca="false">COUNTA(M99:R99)</f>
        <v>5</v>
      </c>
      <c r="W99" s="8" t="s">
        <v>218</v>
      </c>
      <c r="X99" s="8" t="s">
        <v>218</v>
      </c>
      <c r="Y99" s="8" t="s">
        <v>218</v>
      </c>
      <c r="Z99" s="8"/>
      <c r="AA99" s="8" t="s">
        <v>1211</v>
      </c>
      <c r="AB99" s="20" t="s">
        <v>1212</v>
      </c>
      <c r="AC99" s="20" t="s">
        <v>516</v>
      </c>
      <c r="AD99" s="20" t="s">
        <v>1213</v>
      </c>
      <c r="AE99" s="8" t="s">
        <v>223</v>
      </c>
      <c r="AF99" s="8" t="s">
        <v>224</v>
      </c>
    </row>
    <row r="100" customFormat="false" ht="15" hidden="false" customHeight="false" outlineLevel="0" collapsed="false">
      <c r="A100" s="8" t="s">
        <v>1214</v>
      </c>
      <c r="B100" s="8" t="s">
        <v>1215</v>
      </c>
      <c r="C100" s="8"/>
      <c r="D100" s="8" t="s">
        <v>206</v>
      </c>
      <c r="E100" s="8" t="s">
        <v>105</v>
      </c>
      <c r="F100" s="8" t="s">
        <v>70</v>
      </c>
      <c r="G100" s="8" t="s">
        <v>207</v>
      </c>
      <c r="H100" s="8" t="s">
        <v>79</v>
      </c>
      <c r="I100" s="8" t="s">
        <v>273</v>
      </c>
      <c r="J100" s="8" t="n">
        <v>1</v>
      </c>
      <c r="K100" s="8" t="n">
        <v>4</v>
      </c>
      <c r="L100" s="18" t="n">
        <f aca="false">INDEX('All Items'!$Q:$Q,MATCH($A100,'All Items'!$A:$A,0))</f>
        <v>8.7</v>
      </c>
      <c r="M100" s="8" t="s">
        <v>686</v>
      </c>
      <c r="N100" s="8" t="s">
        <v>861</v>
      </c>
      <c r="O100" s="8" t="s">
        <v>452</v>
      </c>
      <c r="P100" s="8" t="s">
        <v>477</v>
      </c>
      <c r="Q100" s="8" t="s">
        <v>1216</v>
      </c>
      <c r="R100" s="8" t="s">
        <v>1217</v>
      </c>
      <c r="S100" s="19" t="s">
        <v>1218</v>
      </c>
      <c r="T100" s="8" t="s">
        <v>1219</v>
      </c>
      <c r="U100" s="8"/>
      <c r="V100" s="8" t="n">
        <f aca="false">COUNTA(M100:R100)</f>
        <v>6</v>
      </c>
      <c r="W100" s="8" t="s">
        <v>218</v>
      </c>
      <c r="X100" s="8" t="s">
        <v>218</v>
      </c>
      <c r="Y100" s="8" t="s">
        <v>218</v>
      </c>
      <c r="Z100" s="8"/>
      <c r="AA100" s="8" t="s">
        <v>1220</v>
      </c>
      <c r="AB100" s="20"/>
      <c r="AC100" s="20"/>
      <c r="AD100" s="20"/>
      <c r="AE100" s="8" t="s">
        <v>237</v>
      </c>
      <c r="AF100" s="8" t="s">
        <v>224</v>
      </c>
    </row>
    <row r="101" customFormat="false" ht="15" hidden="false" customHeight="false" outlineLevel="0" collapsed="false">
      <c r="A101" s="8" t="s">
        <v>1221</v>
      </c>
      <c r="B101" s="8" t="s">
        <v>1222</v>
      </c>
      <c r="C101" s="8"/>
      <c r="D101" s="8" t="s">
        <v>206</v>
      </c>
      <c r="E101" s="8" t="s">
        <v>105</v>
      </c>
      <c r="F101" s="8" t="s">
        <v>70</v>
      </c>
      <c r="G101" s="8" t="s">
        <v>207</v>
      </c>
      <c r="H101" s="8" t="s">
        <v>86</v>
      </c>
      <c r="I101" s="8" t="s">
        <v>273</v>
      </c>
      <c r="J101" s="8" t="n">
        <v>2</v>
      </c>
      <c r="K101" s="8" t="n">
        <v>3</v>
      </c>
      <c r="L101" s="18" t="n">
        <f aca="false">INDEX('All Items'!$Q:$Q,MATCH($A101,'All Items'!$A:$A,0))</f>
        <v>6.9</v>
      </c>
      <c r="M101" s="8" t="s">
        <v>678</v>
      </c>
      <c r="N101" s="8" t="s">
        <v>476</v>
      </c>
      <c r="O101" s="8" t="s">
        <v>1104</v>
      </c>
      <c r="P101" s="8" t="s">
        <v>1223</v>
      </c>
      <c r="Q101" s="8" t="s">
        <v>1224</v>
      </c>
      <c r="R101" s="8" t="s">
        <v>328</v>
      </c>
      <c r="S101" s="19" t="s">
        <v>1225</v>
      </c>
      <c r="T101" s="8" t="s">
        <v>1226</v>
      </c>
      <c r="U101" s="8"/>
      <c r="V101" s="8" t="n">
        <f aca="false">COUNTA(M101:R101)</f>
        <v>6</v>
      </c>
      <c r="W101" s="8" t="s">
        <v>259</v>
      </c>
      <c r="X101" s="8" t="s">
        <v>218</v>
      </c>
      <c r="Y101" s="8" t="s">
        <v>218</v>
      </c>
      <c r="Z101" s="8"/>
      <c r="AA101" s="8" t="s">
        <v>1227</v>
      </c>
      <c r="AB101" s="20"/>
      <c r="AC101" s="20"/>
      <c r="AD101" s="20"/>
      <c r="AE101" s="8" t="s">
        <v>237</v>
      </c>
      <c r="AF101" s="8" t="s">
        <v>224</v>
      </c>
    </row>
    <row r="102" customFormat="false" ht="15" hidden="false" customHeight="false" outlineLevel="0" collapsed="false">
      <c r="A102" s="8" t="s">
        <v>1228</v>
      </c>
      <c r="B102" s="8" t="s">
        <v>1229</v>
      </c>
      <c r="C102" s="8"/>
      <c r="D102" s="8" t="s">
        <v>206</v>
      </c>
      <c r="E102" s="8" t="s">
        <v>105</v>
      </c>
      <c r="F102" s="8" t="s">
        <v>70</v>
      </c>
      <c r="G102" s="8" t="s">
        <v>207</v>
      </c>
      <c r="H102" s="8" t="s">
        <v>78</v>
      </c>
      <c r="I102" s="8" t="s">
        <v>208</v>
      </c>
      <c r="J102" s="8" t="n">
        <v>2</v>
      </c>
      <c r="K102" s="8" t="n">
        <v>3</v>
      </c>
      <c r="L102" s="18" t="n">
        <f aca="false">INDEX('All Items'!$Q:$Q,MATCH($A102,'All Items'!$A:$A,0))</f>
        <v>7.15</v>
      </c>
      <c r="M102" s="8" t="s">
        <v>668</v>
      </c>
      <c r="N102" s="8" t="s">
        <v>541</v>
      </c>
      <c r="O102" s="8" t="s">
        <v>1230</v>
      </c>
      <c r="P102" s="8" t="s">
        <v>1231</v>
      </c>
      <c r="Q102" s="8" t="s">
        <v>488</v>
      </c>
      <c r="R102" s="8"/>
      <c r="S102" s="19" t="s">
        <v>1232</v>
      </c>
      <c r="T102" s="8" t="s">
        <v>1233</v>
      </c>
      <c r="U102" s="8" t="s">
        <v>488</v>
      </c>
      <c r="V102" s="8" t="n">
        <f aca="false">COUNTA(M102:R102)</f>
        <v>5</v>
      </c>
      <c r="W102" s="8" t="s">
        <v>259</v>
      </c>
      <c r="X102" s="8" t="s">
        <v>218</v>
      </c>
      <c r="Y102" s="8" t="s">
        <v>218</v>
      </c>
      <c r="Z102" s="8"/>
      <c r="AA102" s="8" t="s">
        <v>1234</v>
      </c>
      <c r="AB102" s="20"/>
      <c r="AC102" s="20"/>
      <c r="AD102" s="20"/>
      <c r="AE102" s="8" t="s">
        <v>237</v>
      </c>
      <c r="AF102" s="8" t="s">
        <v>224</v>
      </c>
    </row>
    <row r="103" customFormat="false" ht="15" hidden="false" customHeight="false" outlineLevel="0" collapsed="false">
      <c r="A103" s="8" t="s">
        <v>1235</v>
      </c>
      <c r="B103" s="8" t="s">
        <v>1236</v>
      </c>
      <c r="C103" s="8"/>
      <c r="D103" s="8" t="s">
        <v>206</v>
      </c>
      <c r="E103" s="8" t="s">
        <v>107</v>
      </c>
      <c r="F103" s="8" t="s">
        <v>70</v>
      </c>
      <c r="G103" s="8" t="s">
        <v>207</v>
      </c>
      <c r="H103" s="8" t="s">
        <v>86</v>
      </c>
      <c r="I103" s="8" t="s">
        <v>227</v>
      </c>
      <c r="J103" s="8" t="n">
        <v>1</v>
      </c>
      <c r="K103" s="8" t="n">
        <v>4</v>
      </c>
      <c r="L103" s="18" t="n">
        <f aca="false">INDEX('All Items'!$Q:$Q,MATCH($A103,'All Items'!$A:$A,0))</f>
        <v>8.7</v>
      </c>
      <c r="M103" s="8" t="s">
        <v>324</v>
      </c>
      <c r="N103" s="8" t="s">
        <v>1237</v>
      </c>
      <c r="O103" s="8" t="s">
        <v>678</v>
      </c>
      <c r="P103" s="8" t="s">
        <v>812</v>
      </c>
      <c r="Q103" s="8" t="s">
        <v>1238</v>
      </c>
      <c r="R103" s="8" t="s">
        <v>1239</v>
      </c>
      <c r="S103" s="19" t="s">
        <v>1240</v>
      </c>
      <c r="T103" s="8" t="s">
        <v>1241</v>
      </c>
      <c r="U103" s="8"/>
      <c r="V103" s="8" t="n">
        <f aca="false">COUNTA(M103:R103)</f>
        <v>6</v>
      </c>
      <c r="W103" s="8" t="s">
        <v>218</v>
      </c>
      <c r="X103" s="8" t="s">
        <v>218</v>
      </c>
      <c r="Y103" s="8" t="s">
        <v>218</v>
      </c>
      <c r="Z103" s="8"/>
      <c r="AA103" s="8" t="s">
        <v>1242</v>
      </c>
      <c r="AB103" s="20"/>
      <c r="AC103" s="20"/>
      <c r="AD103" s="20"/>
      <c r="AE103" s="8" t="s">
        <v>237</v>
      </c>
      <c r="AF103" s="8" t="s">
        <v>224</v>
      </c>
    </row>
    <row r="104" customFormat="false" ht="15" hidden="false" customHeight="false" outlineLevel="0" collapsed="false">
      <c r="A104" s="8" t="s">
        <v>1243</v>
      </c>
      <c r="B104" s="8" t="s">
        <v>1244</v>
      </c>
      <c r="C104" s="8"/>
      <c r="D104" s="8" t="s">
        <v>206</v>
      </c>
      <c r="E104" s="8" t="s">
        <v>107</v>
      </c>
      <c r="F104" s="8" t="s">
        <v>70</v>
      </c>
      <c r="G104" s="8" t="s">
        <v>207</v>
      </c>
      <c r="H104" s="8" t="s">
        <v>78</v>
      </c>
      <c r="I104" s="8" t="s">
        <v>227</v>
      </c>
      <c r="J104" s="8" t="n">
        <v>1</v>
      </c>
      <c r="K104" s="8" t="n">
        <v>4</v>
      </c>
      <c r="L104" s="18" t="n">
        <f aca="false">INDEX('All Items'!$Q:$Q,MATCH($A104,'All Items'!$A:$A,0))</f>
        <v>8.7</v>
      </c>
      <c r="M104" s="8" t="s">
        <v>1245</v>
      </c>
      <c r="N104" s="8" t="s">
        <v>1060</v>
      </c>
      <c r="O104" s="8" t="s">
        <v>1246</v>
      </c>
      <c r="P104" s="8" t="s">
        <v>1247</v>
      </c>
      <c r="Q104" s="8" t="s">
        <v>1248</v>
      </c>
      <c r="R104" s="8" t="s">
        <v>1088</v>
      </c>
      <c r="S104" s="19" t="s">
        <v>1249</v>
      </c>
      <c r="T104" s="8" t="s">
        <v>1250</v>
      </c>
      <c r="U104" s="8"/>
      <c r="V104" s="8" t="n">
        <f aca="false">COUNTA(M104:R104)</f>
        <v>6</v>
      </c>
      <c r="W104" s="8" t="s">
        <v>218</v>
      </c>
      <c r="X104" s="8" t="s">
        <v>218</v>
      </c>
      <c r="Y104" s="8" t="s">
        <v>218</v>
      </c>
      <c r="Z104" s="8"/>
      <c r="AA104" s="8" t="s">
        <v>1251</v>
      </c>
      <c r="AB104" s="20"/>
      <c r="AC104" s="20"/>
      <c r="AD104" s="20"/>
      <c r="AE104" s="8" t="s">
        <v>237</v>
      </c>
      <c r="AF104" s="8" t="s">
        <v>224</v>
      </c>
    </row>
    <row r="105" customFormat="false" ht="15" hidden="false" customHeight="false" outlineLevel="0" collapsed="false">
      <c r="A105" s="8" t="s">
        <v>1252</v>
      </c>
      <c r="B105" s="8" t="s">
        <v>1253</v>
      </c>
      <c r="C105" s="8"/>
      <c r="D105" s="8" t="s">
        <v>206</v>
      </c>
      <c r="E105" s="8" t="s">
        <v>107</v>
      </c>
      <c r="F105" s="8" t="s">
        <v>70</v>
      </c>
      <c r="G105" s="8" t="s">
        <v>207</v>
      </c>
      <c r="H105" s="8" t="s">
        <v>82</v>
      </c>
      <c r="I105" s="8" t="s">
        <v>273</v>
      </c>
      <c r="J105" s="8" t="n">
        <v>1</v>
      </c>
      <c r="K105" s="8" t="n">
        <v>4</v>
      </c>
      <c r="L105" s="18" t="n">
        <f aca="false">INDEX('All Items'!$Q:$Q,MATCH($A105,'All Items'!$A:$A,0))</f>
        <v>8.7</v>
      </c>
      <c r="M105" s="8" t="s">
        <v>1254</v>
      </c>
      <c r="N105" s="8" t="s">
        <v>1255</v>
      </c>
      <c r="O105" s="8" t="s">
        <v>1256</v>
      </c>
      <c r="P105" s="8" t="s">
        <v>1257</v>
      </c>
      <c r="Q105" s="8" t="s">
        <v>861</v>
      </c>
      <c r="R105" s="8" t="s">
        <v>1258</v>
      </c>
      <c r="S105" s="19" t="s">
        <v>1259</v>
      </c>
      <c r="T105" s="8" t="s">
        <v>1260</v>
      </c>
      <c r="U105" s="8"/>
      <c r="V105" s="8" t="n">
        <f aca="false">COUNTA(M105:R105)</f>
        <v>6</v>
      </c>
      <c r="W105" s="8" t="s">
        <v>218</v>
      </c>
      <c r="X105" s="8" t="s">
        <v>218</v>
      </c>
      <c r="Y105" s="8" t="s">
        <v>218</v>
      </c>
      <c r="Z105" s="8"/>
      <c r="AA105" s="8" t="s">
        <v>1261</v>
      </c>
      <c r="AB105" s="20" t="s">
        <v>1262</v>
      </c>
      <c r="AC105" s="20" t="s">
        <v>221</v>
      </c>
      <c r="AD105" s="20" t="s">
        <v>1263</v>
      </c>
      <c r="AE105" s="8" t="s">
        <v>223</v>
      </c>
      <c r="AF105" s="8" t="s">
        <v>224</v>
      </c>
    </row>
    <row r="106" customFormat="false" ht="15" hidden="false" customHeight="false" outlineLevel="0" collapsed="false">
      <c r="A106" s="8" t="s">
        <v>1264</v>
      </c>
      <c r="B106" s="8" t="s">
        <v>1265</v>
      </c>
      <c r="C106" s="8"/>
      <c r="D106" s="8" t="s">
        <v>206</v>
      </c>
      <c r="E106" s="8" t="s">
        <v>107</v>
      </c>
      <c r="F106" s="8" t="s">
        <v>70</v>
      </c>
      <c r="G106" s="8" t="s">
        <v>207</v>
      </c>
      <c r="H106" s="8" t="s">
        <v>78</v>
      </c>
      <c r="I106" s="8" t="s">
        <v>273</v>
      </c>
      <c r="J106" s="8" t="n">
        <v>2</v>
      </c>
      <c r="K106" s="8" t="n">
        <v>3</v>
      </c>
      <c r="L106" s="18" t="n">
        <f aca="false">INDEX('All Items'!$Q:$Q,MATCH($A106,'All Items'!$A:$A,0))</f>
        <v>7.4</v>
      </c>
      <c r="M106" s="8" t="s">
        <v>678</v>
      </c>
      <c r="N106" s="8" t="s">
        <v>1015</v>
      </c>
      <c r="O106" s="8" t="s">
        <v>1266</v>
      </c>
      <c r="P106" s="8" t="s">
        <v>1267</v>
      </c>
      <c r="Q106" s="8" t="s">
        <v>1268</v>
      </c>
      <c r="R106" s="8" t="s">
        <v>668</v>
      </c>
      <c r="S106" s="19" t="s">
        <v>1269</v>
      </c>
      <c r="T106" s="8" t="s">
        <v>1270</v>
      </c>
      <c r="U106" s="8" t="s">
        <v>1271</v>
      </c>
      <c r="V106" s="8" t="n">
        <f aca="false">COUNTA(M106:R106)</f>
        <v>6</v>
      </c>
      <c r="W106" s="8" t="s">
        <v>259</v>
      </c>
      <c r="X106" s="8" t="s">
        <v>218</v>
      </c>
      <c r="Y106" s="8" t="s">
        <v>218</v>
      </c>
      <c r="Z106" s="8"/>
      <c r="AA106" s="8" t="s">
        <v>1272</v>
      </c>
      <c r="AB106" s="20"/>
      <c r="AC106" s="20"/>
      <c r="AD106" s="20"/>
      <c r="AE106" s="8" t="s">
        <v>237</v>
      </c>
      <c r="AF106" s="8" t="s">
        <v>224</v>
      </c>
    </row>
    <row r="107" customFormat="false" ht="15" hidden="false" customHeight="false" outlineLevel="0" collapsed="false">
      <c r="A107" s="8" t="s">
        <v>1273</v>
      </c>
      <c r="B107" s="8" t="s">
        <v>1274</v>
      </c>
      <c r="C107" s="8" t="s">
        <v>1275</v>
      </c>
      <c r="D107" s="8" t="s">
        <v>206</v>
      </c>
      <c r="E107" s="8" t="s">
        <v>107</v>
      </c>
      <c r="F107" s="8" t="s">
        <v>70</v>
      </c>
      <c r="G107" s="8" t="s">
        <v>207</v>
      </c>
      <c r="H107" s="8" t="s">
        <v>82</v>
      </c>
      <c r="I107" s="8" t="s">
        <v>273</v>
      </c>
      <c r="J107" s="8" t="n">
        <v>1</v>
      </c>
      <c r="K107" s="8" t="n">
        <v>4</v>
      </c>
      <c r="L107" s="18" t="n">
        <f aca="false">INDEX('All Items'!$Q:$Q,MATCH($A107,'All Items'!$A:$A,0))</f>
        <v>8.45</v>
      </c>
      <c r="M107" s="8" t="s">
        <v>678</v>
      </c>
      <c r="N107" s="8" t="s">
        <v>1276</v>
      </c>
      <c r="O107" s="8" t="s">
        <v>618</v>
      </c>
      <c r="P107" s="8" t="s">
        <v>1277</v>
      </c>
      <c r="Q107" s="8" t="s">
        <v>1278</v>
      </c>
      <c r="R107" s="8"/>
      <c r="S107" s="19" t="s">
        <v>1279</v>
      </c>
      <c r="T107" s="8" t="s">
        <v>1280</v>
      </c>
      <c r="U107" s="8"/>
      <c r="V107" s="8" t="n">
        <f aca="false">COUNTA(M107:R107)</f>
        <v>5</v>
      </c>
      <c r="W107" s="8" t="s">
        <v>218</v>
      </c>
      <c r="X107" s="8" t="s">
        <v>218</v>
      </c>
      <c r="Y107" s="8" t="s">
        <v>218</v>
      </c>
      <c r="Z107" s="8"/>
      <c r="AA107" s="8" t="s">
        <v>1281</v>
      </c>
      <c r="AB107" s="20" t="s">
        <v>1282</v>
      </c>
      <c r="AC107" s="20" t="s">
        <v>221</v>
      </c>
      <c r="AD107" s="20" t="s">
        <v>1283</v>
      </c>
      <c r="AE107" s="8" t="s">
        <v>223</v>
      </c>
      <c r="AF107" s="8" t="s">
        <v>224</v>
      </c>
    </row>
    <row r="108" customFormat="false" ht="15" hidden="false" customHeight="false" outlineLevel="0" collapsed="false">
      <c r="A108" s="8" t="s">
        <v>1284</v>
      </c>
      <c r="B108" s="8" t="s">
        <v>1285</v>
      </c>
      <c r="C108" s="8" t="s">
        <v>1286</v>
      </c>
      <c r="D108" s="8" t="s">
        <v>206</v>
      </c>
      <c r="E108" s="8" t="s">
        <v>107</v>
      </c>
      <c r="F108" s="8" t="s">
        <v>70</v>
      </c>
      <c r="G108" s="8" t="s">
        <v>207</v>
      </c>
      <c r="H108" s="8" t="s">
        <v>78</v>
      </c>
      <c r="I108" s="8" t="s">
        <v>208</v>
      </c>
      <c r="J108" s="8" t="n">
        <v>1</v>
      </c>
      <c r="K108" s="8" t="n">
        <v>4</v>
      </c>
      <c r="L108" s="18" t="n">
        <f aca="false">INDEX('All Items'!$Q:$Q,MATCH($A108,'All Items'!$A:$A,0))</f>
        <v>8.45</v>
      </c>
      <c r="M108" s="8" t="s">
        <v>1237</v>
      </c>
      <c r="N108" s="8" t="s">
        <v>1287</v>
      </c>
      <c r="O108" s="8" t="s">
        <v>1288</v>
      </c>
      <c r="P108" s="8" t="s">
        <v>700</v>
      </c>
      <c r="Q108" s="8" t="s">
        <v>668</v>
      </c>
      <c r="R108" s="8" t="s">
        <v>311</v>
      </c>
      <c r="S108" s="19" t="s">
        <v>1289</v>
      </c>
      <c r="T108" s="8" t="s">
        <v>1290</v>
      </c>
      <c r="U108" s="8" t="s">
        <v>1291</v>
      </c>
      <c r="V108" s="8" t="n">
        <f aca="false">COUNTA(M108:R108)</f>
        <v>6</v>
      </c>
      <c r="W108" s="8" t="s">
        <v>218</v>
      </c>
      <c r="X108" s="8" t="s">
        <v>218</v>
      </c>
      <c r="Y108" s="8" t="s">
        <v>218</v>
      </c>
      <c r="Z108" s="8"/>
      <c r="AA108" s="8" t="s">
        <v>1292</v>
      </c>
      <c r="AB108" s="20"/>
      <c r="AC108" s="20"/>
      <c r="AD108" s="20"/>
      <c r="AE108" s="8" t="s">
        <v>237</v>
      </c>
      <c r="AF108" s="8" t="s">
        <v>224</v>
      </c>
    </row>
    <row r="109" customFormat="false" ht="15" hidden="false" customHeight="false" outlineLevel="0" collapsed="false">
      <c r="A109" s="8" t="s">
        <v>1293</v>
      </c>
      <c r="B109" s="8" t="s">
        <v>1294</v>
      </c>
      <c r="C109" s="8"/>
      <c r="D109" s="8" t="s">
        <v>206</v>
      </c>
      <c r="E109" s="8" t="s">
        <v>107</v>
      </c>
      <c r="F109" s="8" t="s">
        <v>70</v>
      </c>
      <c r="G109" s="8" t="s">
        <v>207</v>
      </c>
      <c r="H109" s="8" t="s">
        <v>78</v>
      </c>
      <c r="I109" s="8" t="s">
        <v>208</v>
      </c>
      <c r="J109" s="8" t="n">
        <v>2</v>
      </c>
      <c r="K109" s="8" t="n">
        <v>3</v>
      </c>
      <c r="L109" s="18" t="n">
        <f aca="false">INDEX('All Items'!$Q:$Q,MATCH($A109,'All Items'!$A:$A,0))</f>
        <v>7.4</v>
      </c>
      <c r="M109" s="8" t="s">
        <v>1295</v>
      </c>
      <c r="N109" s="8" t="s">
        <v>1296</v>
      </c>
      <c r="O109" s="8" t="s">
        <v>1297</v>
      </c>
      <c r="P109" s="8" t="s">
        <v>1298</v>
      </c>
      <c r="Q109" s="8" t="s">
        <v>1299</v>
      </c>
      <c r="R109" s="8" t="s">
        <v>1300</v>
      </c>
      <c r="S109" s="19" t="s">
        <v>1301</v>
      </c>
      <c r="T109" s="8" t="s">
        <v>1302</v>
      </c>
      <c r="U109" s="8"/>
      <c r="V109" s="8" t="n">
        <f aca="false">COUNTA(M109:R109)</f>
        <v>6</v>
      </c>
      <c r="W109" s="8" t="s">
        <v>259</v>
      </c>
      <c r="X109" s="8" t="s">
        <v>218</v>
      </c>
      <c r="Y109" s="8" t="s">
        <v>218</v>
      </c>
      <c r="Z109" s="8"/>
      <c r="AA109" s="8" t="s">
        <v>1303</v>
      </c>
      <c r="AB109" s="20"/>
      <c r="AC109" s="20"/>
      <c r="AD109" s="20"/>
      <c r="AE109" s="8" t="s">
        <v>237</v>
      </c>
      <c r="AF109" s="8" t="s">
        <v>224</v>
      </c>
    </row>
    <row r="110" customFormat="false" ht="15" hidden="false" customHeight="false" outlineLevel="0" collapsed="false">
      <c r="A110" s="8" t="s">
        <v>1304</v>
      </c>
      <c r="B110" s="8" t="s">
        <v>1305</v>
      </c>
      <c r="C110" s="8"/>
      <c r="D110" s="8" t="s">
        <v>206</v>
      </c>
      <c r="E110" s="8" t="s">
        <v>107</v>
      </c>
      <c r="F110" s="8" t="s">
        <v>70</v>
      </c>
      <c r="G110" s="8" t="s">
        <v>207</v>
      </c>
      <c r="H110" s="8" t="s">
        <v>78</v>
      </c>
      <c r="I110" s="8" t="s">
        <v>208</v>
      </c>
      <c r="J110" s="8" t="n">
        <v>2</v>
      </c>
      <c r="K110" s="8" t="n">
        <v>3</v>
      </c>
      <c r="L110" s="18" t="n">
        <f aca="false">INDEX('All Items'!$Q:$Q,MATCH($A110,'All Items'!$A:$A,0))</f>
        <v>7.15</v>
      </c>
      <c r="M110" s="8" t="s">
        <v>668</v>
      </c>
      <c r="N110" s="8" t="s">
        <v>1306</v>
      </c>
      <c r="O110" s="8" t="s">
        <v>1237</v>
      </c>
      <c r="P110" s="8" t="s">
        <v>1230</v>
      </c>
      <c r="Q110" s="8" t="s">
        <v>1307</v>
      </c>
      <c r="R110" s="8"/>
      <c r="S110" s="19" t="s">
        <v>1308</v>
      </c>
      <c r="T110" s="8" t="s">
        <v>1309</v>
      </c>
      <c r="U110" s="8" t="s">
        <v>1307</v>
      </c>
      <c r="V110" s="8" t="n">
        <f aca="false">COUNTA(M110:R110)</f>
        <v>5</v>
      </c>
      <c r="W110" s="8" t="s">
        <v>259</v>
      </c>
      <c r="X110" s="8" t="s">
        <v>218</v>
      </c>
      <c r="Y110" s="8" t="s">
        <v>218</v>
      </c>
      <c r="Z110" s="8"/>
      <c r="AA110" s="8" t="s">
        <v>1310</v>
      </c>
      <c r="AB110" s="20"/>
      <c r="AC110" s="20"/>
      <c r="AD110" s="20"/>
      <c r="AE110" s="8" t="s">
        <v>237</v>
      </c>
      <c r="AF110" s="8" t="s">
        <v>224</v>
      </c>
    </row>
    <row r="111" customFormat="false" ht="15" hidden="false" customHeight="false" outlineLevel="0" collapsed="false">
      <c r="A111" s="8" t="s">
        <v>1311</v>
      </c>
      <c r="B111" s="8" t="s">
        <v>1312</v>
      </c>
      <c r="C111" s="8"/>
      <c r="D111" s="8" t="s">
        <v>206</v>
      </c>
      <c r="E111" s="8" t="s">
        <v>107</v>
      </c>
      <c r="F111" s="8" t="s">
        <v>70</v>
      </c>
      <c r="G111" s="8" t="s">
        <v>207</v>
      </c>
      <c r="H111" s="8" t="s">
        <v>87</v>
      </c>
      <c r="I111" s="8" t="s">
        <v>227</v>
      </c>
      <c r="J111" s="8" t="n">
        <v>1</v>
      </c>
      <c r="K111" s="8" t="n">
        <v>4</v>
      </c>
      <c r="L111" s="18" t="n">
        <f aca="false">INDEX('All Items'!$Q:$Q,MATCH($A111,'All Items'!$A:$A,0))</f>
        <v>8.2</v>
      </c>
      <c r="M111" s="8" t="s">
        <v>1313</v>
      </c>
      <c r="N111" s="8" t="s">
        <v>1314</v>
      </c>
      <c r="O111" s="8" t="s">
        <v>1032</v>
      </c>
      <c r="P111" s="8" t="s">
        <v>1315</v>
      </c>
      <c r="Q111" s="8" t="s">
        <v>1316</v>
      </c>
      <c r="R111" s="8"/>
      <c r="S111" s="19" t="s">
        <v>1317</v>
      </c>
      <c r="T111" s="8" t="s">
        <v>1313</v>
      </c>
      <c r="U111" s="8"/>
      <c r="V111" s="8" t="n">
        <f aca="false">COUNTA(M111:R111)</f>
        <v>5</v>
      </c>
      <c r="W111" s="8" t="s">
        <v>218</v>
      </c>
      <c r="X111" s="8" t="s">
        <v>218</v>
      </c>
      <c r="Y111" s="8" t="s">
        <v>218</v>
      </c>
      <c r="Z111" s="8"/>
      <c r="AA111" s="8" t="s">
        <v>1318</v>
      </c>
      <c r="AB111" s="20"/>
      <c r="AC111" s="20"/>
      <c r="AD111" s="20"/>
      <c r="AE111" s="8" t="s">
        <v>237</v>
      </c>
      <c r="AF111" s="8" t="s">
        <v>224</v>
      </c>
    </row>
    <row r="112" customFormat="false" ht="15" hidden="false" customHeight="false" outlineLevel="0" collapsed="false">
      <c r="A112" s="8" t="s">
        <v>1319</v>
      </c>
      <c r="B112" s="8" t="s">
        <v>1320</v>
      </c>
      <c r="C112" s="8" t="s">
        <v>1321</v>
      </c>
      <c r="D112" s="8" t="s">
        <v>206</v>
      </c>
      <c r="E112" s="8" t="s">
        <v>107</v>
      </c>
      <c r="F112" s="8" t="s">
        <v>70</v>
      </c>
      <c r="G112" s="8" t="s">
        <v>207</v>
      </c>
      <c r="H112" s="8" t="s">
        <v>78</v>
      </c>
      <c r="I112" s="8" t="s">
        <v>227</v>
      </c>
      <c r="J112" s="8" t="n">
        <v>2</v>
      </c>
      <c r="K112" s="8" t="n">
        <v>3</v>
      </c>
      <c r="L112" s="18" t="n">
        <f aca="false">INDEX('All Items'!$Q:$Q,MATCH($A112,'All Items'!$A:$A,0))</f>
        <v>6.9</v>
      </c>
      <c r="M112" s="8" t="s">
        <v>251</v>
      </c>
      <c r="N112" s="8" t="s">
        <v>995</v>
      </c>
      <c r="O112" s="8" t="s">
        <v>1322</v>
      </c>
      <c r="P112" s="8" t="s">
        <v>1323</v>
      </c>
      <c r="Q112" s="8" t="s">
        <v>1223</v>
      </c>
      <c r="R112" s="8"/>
      <c r="S112" s="19" t="s">
        <v>1324</v>
      </c>
      <c r="T112" s="8" t="s">
        <v>1325</v>
      </c>
      <c r="U112" s="8" t="s">
        <v>1323</v>
      </c>
      <c r="V112" s="8" t="n">
        <f aca="false">COUNTA(M112:R112)</f>
        <v>5</v>
      </c>
      <c r="W112" s="8" t="s">
        <v>259</v>
      </c>
      <c r="X112" s="8" t="s">
        <v>218</v>
      </c>
      <c r="Y112" s="8" t="s">
        <v>218</v>
      </c>
      <c r="Z112" s="8"/>
      <c r="AA112" s="8" t="s">
        <v>1326</v>
      </c>
      <c r="AB112" s="20"/>
      <c r="AC112" s="20"/>
      <c r="AD112" s="20"/>
      <c r="AE112" s="8" t="s">
        <v>237</v>
      </c>
      <c r="AF112" s="8" t="s">
        <v>224</v>
      </c>
    </row>
    <row r="113" customFormat="false" ht="15" hidden="false" customHeight="false" outlineLevel="0" collapsed="false">
      <c r="A113" s="8" t="s">
        <v>1327</v>
      </c>
      <c r="B113" s="8" t="s">
        <v>1328</v>
      </c>
      <c r="C113" s="8" t="s">
        <v>1329</v>
      </c>
      <c r="D113" s="8" t="s">
        <v>206</v>
      </c>
      <c r="E113" s="8" t="s">
        <v>107</v>
      </c>
      <c r="F113" s="8" t="s">
        <v>70</v>
      </c>
      <c r="G113" s="8" t="s">
        <v>207</v>
      </c>
      <c r="H113" s="8" t="s">
        <v>85</v>
      </c>
      <c r="I113" s="8" t="s">
        <v>208</v>
      </c>
      <c r="J113" s="8" t="n">
        <v>2</v>
      </c>
      <c r="K113" s="8" t="n">
        <v>3</v>
      </c>
      <c r="L113" s="18" t="n">
        <f aca="false">INDEX('All Items'!$Q:$Q,MATCH($A113,'All Items'!$A:$A,0))</f>
        <v>7.4</v>
      </c>
      <c r="M113" s="8" t="s">
        <v>346</v>
      </c>
      <c r="N113" s="8" t="s">
        <v>366</v>
      </c>
      <c r="O113" s="8" t="s">
        <v>1330</v>
      </c>
      <c r="P113" s="8" t="s">
        <v>213</v>
      </c>
      <c r="Q113" s="8" t="s">
        <v>1331</v>
      </c>
      <c r="R113" s="8" t="s">
        <v>1332</v>
      </c>
      <c r="S113" s="19" t="s">
        <v>1333</v>
      </c>
      <c r="T113" s="8" t="s">
        <v>1334</v>
      </c>
      <c r="U113" s="8"/>
      <c r="V113" s="8" t="n">
        <f aca="false">COUNTA(M113:R113)</f>
        <v>6</v>
      </c>
      <c r="W113" s="8" t="s">
        <v>259</v>
      </c>
      <c r="X113" s="8" t="s">
        <v>218</v>
      </c>
      <c r="Y113" s="8" t="s">
        <v>218</v>
      </c>
      <c r="Z113" s="8"/>
      <c r="AA113" s="8" t="s">
        <v>1335</v>
      </c>
      <c r="AB113" s="20"/>
      <c r="AC113" s="20"/>
      <c r="AD113" s="20"/>
      <c r="AE113" s="8" t="s">
        <v>237</v>
      </c>
      <c r="AF113" s="8" t="s">
        <v>224</v>
      </c>
    </row>
    <row r="114" customFormat="false" ht="15" hidden="false" customHeight="false" outlineLevel="0" collapsed="false">
      <c r="A114" s="8" t="s">
        <v>1336</v>
      </c>
      <c r="B114" s="8" t="s">
        <v>1337</v>
      </c>
      <c r="C114" s="8"/>
      <c r="D114" s="8" t="s">
        <v>206</v>
      </c>
      <c r="E114" s="8" t="s">
        <v>107</v>
      </c>
      <c r="F114" s="8" t="s">
        <v>70</v>
      </c>
      <c r="G114" s="8" t="s">
        <v>207</v>
      </c>
      <c r="H114" s="8" t="s">
        <v>84</v>
      </c>
      <c r="I114" s="8" t="s">
        <v>273</v>
      </c>
      <c r="J114" s="8" t="n">
        <v>2</v>
      </c>
      <c r="K114" s="8" t="n">
        <v>3</v>
      </c>
      <c r="L114" s="18" t="n">
        <f aca="false">INDEX('All Items'!$Q:$Q,MATCH($A114,'All Items'!$A:$A,0))</f>
        <v>7.4</v>
      </c>
      <c r="M114" s="8" t="s">
        <v>861</v>
      </c>
      <c r="N114" s="8" t="s">
        <v>1254</v>
      </c>
      <c r="O114" s="8" t="s">
        <v>586</v>
      </c>
      <c r="P114" s="8" t="s">
        <v>1338</v>
      </c>
      <c r="Q114" s="8" t="s">
        <v>1339</v>
      </c>
      <c r="R114" s="8" t="s">
        <v>1340</v>
      </c>
      <c r="S114" s="19" t="s">
        <v>1341</v>
      </c>
      <c r="T114" s="8" t="s">
        <v>1342</v>
      </c>
      <c r="U114" s="8"/>
      <c r="V114" s="8" t="n">
        <f aca="false">COUNTA(M114:R114)</f>
        <v>6</v>
      </c>
      <c r="W114" s="8" t="s">
        <v>259</v>
      </c>
      <c r="X114" s="8" t="s">
        <v>218</v>
      </c>
      <c r="Y114" s="8" t="s">
        <v>218</v>
      </c>
      <c r="Z114" s="8"/>
      <c r="AA114" s="8" t="s">
        <v>1343</v>
      </c>
      <c r="AB114" s="20" t="s">
        <v>1344</v>
      </c>
      <c r="AC114" s="20" t="s">
        <v>221</v>
      </c>
      <c r="AD114" s="20" t="s">
        <v>1345</v>
      </c>
      <c r="AE114" s="8" t="s">
        <v>223</v>
      </c>
      <c r="AF114" s="8" t="s">
        <v>224</v>
      </c>
    </row>
    <row r="115" customFormat="false" ht="15" hidden="false" customHeight="false" outlineLevel="0" collapsed="false">
      <c r="A115" s="8" t="s">
        <v>1346</v>
      </c>
      <c r="B115" s="8" t="s">
        <v>1347</v>
      </c>
      <c r="C115" s="8"/>
      <c r="D115" s="8" t="s">
        <v>206</v>
      </c>
      <c r="E115" s="8" t="s">
        <v>107</v>
      </c>
      <c r="F115" s="8" t="s">
        <v>70</v>
      </c>
      <c r="G115" s="8" t="s">
        <v>207</v>
      </c>
      <c r="H115" s="8" t="s">
        <v>79</v>
      </c>
      <c r="I115" s="8" t="s">
        <v>273</v>
      </c>
      <c r="J115" s="8" t="n">
        <v>1</v>
      </c>
      <c r="K115" s="8" t="n">
        <v>4</v>
      </c>
      <c r="L115" s="18" t="n">
        <f aca="false">INDEX('All Items'!$Q:$Q,MATCH($A115,'All Items'!$A:$A,0))</f>
        <v>7.95</v>
      </c>
      <c r="M115" s="8" t="s">
        <v>477</v>
      </c>
      <c r="N115" s="8" t="s">
        <v>1348</v>
      </c>
      <c r="O115" s="8" t="s">
        <v>1349</v>
      </c>
      <c r="P115" s="8" t="s">
        <v>745</v>
      </c>
      <c r="Q115" s="8" t="s">
        <v>1350</v>
      </c>
      <c r="R115" s="8" t="s">
        <v>1351</v>
      </c>
      <c r="S115" s="19" t="s">
        <v>1352</v>
      </c>
      <c r="T115" s="8" t="s">
        <v>1348</v>
      </c>
      <c r="U115" s="8"/>
      <c r="V115" s="8" t="n">
        <f aca="false">COUNTA(M115:R115)</f>
        <v>6</v>
      </c>
      <c r="W115" s="8" t="s">
        <v>218</v>
      </c>
      <c r="X115" s="8" t="s">
        <v>218</v>
      </c>
      <c r="Y115" s="8" t="s">
        <v>218</v>
      </c>
      <c r="Z115" s="8"/>
      <c r="AA115" s="8" t="s">
        <v>1353</v>
      </c>
      <c r="AB115" s="20"/>
      <c r="AC115" s="20"/>
      <c r="AD115" s="20"/>
      <c r="AE115" s="8" t="s">
        <v>237</v>
      </c>
      <c r="AF115" s="8" t="s">
        <v>224</v>
      </c>
    </row>
    <row r="116" customFormat="false" ht="15" hidden="false" customHeight="false" outlineLevel="0" collapsed="false">
      <c r="A116" s="8" t="s">
        <v>1354</v>
      </c>
      <c r="B116" s="8" t="s">
        <v>1355</v>
      </c>
      <c r="C116" s="8"/>
      <c r="D116" s="8" t="s">
        <v>206</v>
      </c>
      <c r="E116" s="8" t="s">
        <v>107</v>
      </c>
      <c r="F116" s="8" t="s">
        <v>70</v>
      </c>
      <c r="G116" s="8" t="s">
        <v>207</v>
      </c>
      <c r="H116" s="8" t="s">
        <v>80</v>
      </c>
      <c r="I116" s="8" t="s">
        <v>273</v>
      </c>
      <c r="J116" s="8" t="n">
        <v>2</v>
      </c>
      <c r="K116" s="8" t="n">
        <v>3</v>
      </c>
      <c r="L116" s="18" t="n">
        <f aca="false">INDEX('All Items'!$Q:$Q,MATCH($A116,'All Items'!$A:$A,0))</f>
        <v>7.4</v>
      </c>
      <c r="M116" s="8" t="s">
        <v>346</v>
      </c>
      <c r="N116" s="8" t="s">
        <v>995</v>
      </c>
      <c r="O116" s="8" t="s">
        <v>586</v>
      </c>
      <c r="P116" s="8" t="s">
        <v>1356</v>
      </c>
      <c r="Q116" s="8" t="s">
        <v>1357</v>
      </c>
      <c r="R116" s="8" t="s">
        <v>1246</v>
      </c>
      <c r="S116" s="19" t="s">
        <v>1358</v>
      </c>
      <c r="T116" s="8" t="s">
        <v>1359</v>
      </c>
      <c r="U116" s="8"/>
      <c r="V116" s="8" t="n">
        <f aca="false">COUNTA(M116:R116)</f>
        <v>6</v>
      </c>
      <c r="W116" s="8" t="s">
        <v>259</v>
      </c>
      <c r="X116" s="8" t="s">
        <v>218</v>
      </c>
      <c r="Y116" s="8" t="s">
        <v>218</v>
      </c>
      <c r="Z116" s="8"/>
      <c r="AA116" s="8" t="s">
        <v>1360</v>
      </c>
      <c r="AB116" s="20"/>
      <c r="AC116" s="20"/>
      <c r="AD116" s="20"/>
      <c r="AE116" s="8" t="s">
        <v>237</v>
      </c>
      <c r="AF116" s="8" t="s">
        <v>224</v>
      </c>
    </row>
    <row r="117" customFormat="false" ht="15" hidden="false" customHeight="false" outlineLevel="0" collapsed="false">
      <c r="A117" s="8" t="s">
        <v>1361</v>
      </c>
      <c r="B117" s="8" t="s">
        <v>1362</v>
      </c>
      <c r="C117" s="8"/>
      <c r="D117" s="8" t="s">
        <v>206</v>
      </c>
      <c r="E117" s="8" t="s">
        <v>107</v>
      </c>
      <c r="F117" s="8" t="s">
        <v>70</v>
      </c>
      <c r="G117" s="8" t="s">
        <v>207</v>
      </c>
      <c r="H117" s="8" t="s">
        <v>80</v>
      </c>
      <c r="I117" s="8" t="s">
        <v>227</v>
      </c>
      <c r="J117" s="8" t="n">
        <v>2</v>
      </c>
      <c r="K117" s="8" t="n">
        <v>3</v>
      </c>
      <c r="L117" s="18" t="n">
        <f aca="false">INDEX('All Items'!$Q:$Q,MATCH($A117,'All Items'!$A:$A,0))</f>
        <v>7.15</v>
      </c>
      <c r="M117" s="8" t="s">
        <v>764</v>
      </c>
      <c r="N117" s="8" t="s">
        <v>1363</v>
      </c>
      <c r="O117" s="8" t="s">
        <v>1356</v>
      </c>
      <c r="P117" s="8" t="s">
        <v>1364</v>
      </c>
      <c r="Q117" s="8" t="s">
        <v>1365</v>
      </c>
      <c r="R117" s="8" t="s">
        <v>1246</v>
      </c>
      <c r="S117" s="19" t="s">
        <v>1366</v>
      </c>
      <c r="T117" s="8" t="s">
        <v>1367</v>
      </c>
      <c r="U117" s="8"/>
      <c r="V117" s="8" t="n">
        <f aca="false">COUNTA(M117:R117)</f>
        <v>6</v>
      </c>
      <c r="W117" s="8" t="s">
        <v>259</v>
      </c>
      <c r="X117" s="8" t="s">
        <v>218</v>
      </c>
      <c r="Y117" s="8" t="s">
        <v>218</v>
      </c>
      <c r="Z117" s="8"/>
      <c r="AA117" s="8" t="s">
        <v>1368</v>
      </c>
      <c r="AB117" s="20"/>
      <c r="AC117" s="20"/>
      <c r="AD117" s="20"/>
      <c r="AE117" s="8" t="s">
        <v>237</v>
      </c>
      <c r="AF117" s="8" t="s">
        <v>224</v>
      </c>
    </row>
    <row r="118" customFormat="false" ht="15" hidden="false" customHeight="false" outlineLevel="0" collapsed="false">
      <c r="A118" s="8" t="s">
        <v>1369</v>
      </c>
      <c r="B118" s="8" t="s">
        <v>1370</v>
      </c>
      <c r="C118" s="8"/>
      <c r="D118" s="8" t="s">
        <v>206</v>
      </c>
      <c r="E118" s="8" t="s">
        <v>107</v>
      </c>
      <c r="F118" s="8" t="s">
        <v>70</v>
      </c>
      <c r="G118" s="8" t="s">
        <v>207</v>
      </c>
      <c r="H118" s="8" t="s">
        <v>86</v>
      </c>
      <c r="I118" s="8" t="s">
        <v>273</v>
      </c>
      <c r="J118" s="8" t="n">
        <v>2</v>
      </c>
      <c r="K118" s="8" t="n">
        <v>3</v>
      </c>
      <c r="L118" s="18" t="n">
        <f aca="false">INDEX('All Items'!$Q:$Q,MATCH($A118,'All Items'!$A:$A,0))</f>
        <v>7.15</v>
      </c>
      <c r="M118" s="8" t="s">
        <v>835</v>
      </c>
      <c r="N118" s="8" t="s">
        <v>668</v>
      </c>
      <c r="O118" s="8" t="s">
        <v>1371</v>
      </c>
      <c r="P118" s="8" t="s">
        <v>1256</v>
      </c>
      <c r="Q118" s="8" t="s">
        <v>1372</v>
      </c>
      <c r="R118" s="8" t="s">
        <v>1373</v>
      </c>
      <c r="S118" s="19" t="s">
        <v>1374</v>
      </c>
      <c r="T118" s="8" t="s">
        <v>1375</v>
      </c>
      <c r="U118" s="8"/>
      <c r="V118" s="8" t="n">
        <f aca="false">COUNTA(M118:R118)</f>
        <v>6</v>
      </c>
      <c r="W118" s="8" t="s">
        <v>259</v>
      </c>
      <c r="X118" s="8" t="s">
        <v>218</v>
      </c>
      <c r="Y118" s="8" t="s">
        <v>218</v>
      </c>
      <c r="Z118" s="8"/>
      <c r="AA118" s="8" t="s">
        <v>1376</v>
      </c>
      <c r="AB118" s="20"/>
      <c r="AC118" s="20"/>
      <c r="AD118" s="20"/>
      <c r="AE118" s="8" t="s">
        <v>237</v>
      </c>
      <c r="AF118" s="8" t="s">
        <v>224</v>
      </c>
    </row>
    <row r="119" customFormat="false" ht="15" hidden="false" customHeight="false" outlineLevel="0" collapsed="false">
      <c r="A119" s="8" t="s">
        <v>1377</v>
      </c>
      <c r="B119" s="8" t="s">
        <v>1378</v>
      </c>
      <c r="C119" s="8"/>
      <c r="D119" s="8" t="s">
        <v>206</v>
      </c>
      <c r="E119" s="8" t="s">
        <v>107</v>
      </c>
      <c r="F119" s="8" t="s">
        <v>70</v>
      </c>
      <c r="G119" s="8" t="s">
        <v>207</v>
      </c>
      <c r="H119" s="8" t="s">
        <v>78</v>
      </c>
      <c r="I119" s="8" t="s">
        <v>208</v>
      </c>
      <c r="J119" s="8" t="n">
        <v>2</v>
      </c>
      <c r="K119" s="8" t="n">
        <v>3</v>
      </c>
      <c r="L119" s="18" t="n">
        <f aca="false">INDEX('All Items'!$Q:$Q,MATCH($A119,'All Items'!$A:$A,0))</f>
        <v>7.15</v>
      </c>
      <c r="M119" s="8" t="s">
        <v>1237</v>
      </c>
      <c r="N119" s="8" t="s">
        <v>1379</v>
      </c>
      <c r="O119" s="8" t="s">
        <v>1380</v>
      </c>
      <c r="P119" s="8" t="s">
        <v>1381</v>
      </c>
      <c r="Q119" s="8" t="s">
        <v>1382</v>
      </c>
      <c r="R119" s="8" t="s">
        <v>1383</v>
      </c>
      <c r="S119" s="19" t="s">
        <v>1384</v>
      </c>
      <c r="T119" s="8" t="s">
        <v>1385</v>
      </c>
      <c r="U119" s="8" t="s">
        <v>1386</v>
      </c>
      <c r="V119" s="8" t="n">
        <f aca="false">COUNTA(M119:R119)</f>
        <v>6</v>
      </c>
      <c r="W119" s="8" t="s">
        <v>259</v>
      </c>
      <c r="X119" s="8" t="s">
        <v>218</v>
      </c>
      <c r="Y119" s="8" t="s">
        <v>218</v>
      </c>
      <c r="Z119" s="8"/>
      <c r="AA119" s="8" t="s">
        <v>1387</v>
      </c>
      <c r="AB119" s="20"/>
      <c r="AC119" s="20"/>
      <c r="AD119" s="20"/>
      <c r="AE119" s="8" t="s">
        <v>237</v>
      </c>
      <c r="AF119" s="8" t="s">
        <v>224</v>
      </c>
    </row>
    <row r="120" customFormat="false" ht="15" hidden="false" customHeight="false" outlineLevel="0" collapsed="false">
      <c r="A120" s="8" t="s">
        <v>1388</v>
      </c>
      <c r="B120" s="8" t="s">
        <v>1389</v>
      </c>
      <c r="C120" s="8"/>
      <c r="D120" s="8" t="s">
        <v>206</v>
      </c>
      <c r="E120" s="8" t="s">
        <v>109</v>
      </c>
      <c r="F120" s="8" t="s">
        <v>70</v>
      </c>
      <c r="G120" s="8" t="s">
        <v>207</v>
      </c>
      <c r="H120" s="8" t="s">
        <v>82</v>
      </c>
      <c r="I120" s="8" t="s">
        <v>273</v>
      </c>
      <c r="J120" s="8" t="n">
        <v>2</v>
      </c>
      <c r="K120" s="8" t="n">
        <v>3</v>
      </c>
      <c r="L120" s="18" t="n">
        <f aca="false">INDEX('All Items'!$Q:$Q,MATCH($A120,'All Items'!$A:$A,0))</f>
        <v>7.15</v>
      </c>
      <c r="M120" s="8" t="s">
        <v>678</v>
      </c>
      <c r="N120" s="8" t="s">
        <v>1390</v>
      </c>
      <c r="O120" s="8" t="s">
        <v>1391</v>
      </c>
      <c r="P120" s="8" t="s">
        <v>1392</v>
      </c>
      <c r="Q120" s="8" t="s">
        <v>1393</v>
      </c>
      <c r="R120" s="8" t="s">
        <v>1394</v>
      </c>
      <c r="S120" s="19" t="s">
        <v>1395</v>
      </c>
      <c r="T120" s="8" t="s">
        <v>1396</v>
      </c>
      <c r="U120" s="8"/>
      <c r="V120" s="8" t="n">
        <f aca="false">COUNTA(M120:R120)</f>
        <v>6</v>
      </c>
      <c r="W120" s="8" t="s">
        <v>259</v>
      </c>
      <c r="X120" s="8" t="s">
        <v>218</v>
      </c>
      <c r="Y120" s="8" t="s">
        <v>218</v>
      </c>
      <c r="Z120" s="8"/>
      <c r="AA120" s="8" t="s">
        <v>1397</v>
      </c>
      <c r="AB120" s="20"/>
      <c r="AC120" s="20"/>
      <c r="AD120" s="20"/>
      <c r="AE120" s="8" t="s">
        <v>237</v>
      </c>
      <c r="AF120" s="8" t="s">
        <v>224</v>
      </c>
    </row>
    <row r="121" customFormat="false" ht="15" hidden="false" customHeight="false" outlineLevel="0" collapsed="false">
      <c r="A121" s="8" t="s">
        <v>1398</v>
      </c>
      <c r="B121" s="8" t="s">
        <v>1399</v>
      </c>
      <c r="C121" s="8"/>
      <c r="D121" s="8" t="s">
        <v>206</v>
      </c>
      <c r="E121" s="8" t="s">
        <v>109</v>
      </c>
      <c r="F121" s="8" t="s">
        <v>70</v>
      </c>
      <c r="G121" s="8" t="s">
        <v>207</v>
      </c>
      <c r="H121" s="8" t="s">
        <v>85</v>
      </c>
      <c r="I121" s="8" t="s">
        <v>227</v>
      </c>
      <c r="J121" s="8" t="n">
        <v>1</v>
      </c>
      <c r="K121" s="8" t="n">
        <v>4</v>
      </c>
      <c r="L121" s="18" t="n">
        <f aca="false">INDEX('All Items'!$Q:$Q,MATCH($A121,'All Items'!$A:$A,0))</f>
        <v>8.7</v>
      </c>
      <c r="M121" s="8" t="s">
        <v>443</v>
      </c>
      <c r="N121" s="8" t="s">
        <v>1104</v>
      </c>
      <c r="O121" s="8" t="s">
        <v>794</v>
      </c>
      <c r="P121" s="8" t="s">
        <v>1400</v>
      </c>
      <c r="Q121" s="8" t="s">
        <v>109</v>
      </c>
      <c r="R121" s="8" t="s">
        <v>1401</v>
      </c>
      <c r="S121" s="19" t="s">
        <v>1402</v>
      </c>
      <c r="T121" s="8" t="s">
        <v>1403</v>
      </c>
      <c r="U121" s="8" t="s">
        <v>1401</v>
      </c>
      <c r="V121" s="8" t="n">
        <f aca="false">COUNTA(M121:R121)</f>
        <v>6</v>
      </c>
      <c r="W121" s="8" t="s">
        <v>218</v>
      </c>
      <c r="X121" s="8" t="s">
        <v>218</v>
      </c>
      <c r="Y121" s="8" t="s">
        <v>218</v>
      </c>
      <c r="Z121" s="8"/>
      <c r="AA121" s="8" t="s">
        <v>1404</v>
      </c>
      <c r="AB121" s="20" t="s">
        <v>1405</v>
      </c>
      <c r="AC121" s="20" t="s">
        <v>1174</v>
      </c>
      <c r="AD121" s="20" t="s">
        <v>1406</v>
      </c>
      <c r="AE121" s="8" t="s">
        <v>223</v>
      </c>
      <c r="AF121" s="8" t="s">
        <v>224</v>
      </c>
    </row>
    <row r="122" customFormat="false" ht="15" hidden="false" customHeight="false" outlineLevel="0" collapsed="false">
      <c r="A122" s="8" t="s">
        <v>1407</v>
      </c>
      <c r="B122" s="8" t="s">
        <v>1408</v>
      </c>
      <c r="C122" s="8"/>
      <c r="D122" s="8" t="s">
        <v>206</v>
      </c>
      <c r="E122" s="8" t="s">
        <v>109</v>
      </c>
      <c r="F122" s="8" t="s">
        <v>70</v>
      </c>
      <c r="G122" s="8" t="s">
        <v>207</v>
      </c>
      <c r="H122" s="8" t="s">
        <v>78</v>
      </c>
      <c r="I122" s="8" t="s">
        <v>273</v>
      </c>
      <c r="J122" s="8" t="n">
        <v>2</v>
      </c>
      <c r="K122" s="8" t="n">
        <v>3</v>
      </c>
      <c r="L122" s="18" t="n">
        <f aca="false">INDEX('All Items'!$Q:$Q,MATCH($A122,'All Items'!$A:$A,0))</f>
        <v>6.9</v>
      </c>
      <c r="M122" s="8" t="s">
        <v>1409</v>
      </c>
      <c r="N122" s="8" t="s">
        <v>1410</v>
      </c>
      <c r="O122" s="8" t="s">
        <v>1411</v>
      </c>
      <c r="P122" s="8" t="s">
        <v>1412</v>
      </c>
      <c r="Q122" s="8" t="s">
        <v>1413</v>
      </c>
      <c r="R122" s="8"/>
      <c r="S122" s="19" t="s">
        <v>1414</v>
      </c>
      <c r="T122" s="8" t="s">
        <v>1415</v>
      </c>
      <c r="U122" s="8"/>
      <c r="V122" s="8" t="n">
        <f aca="false">COUNTA(M122:R122)</f>
        <v>5</v>
      </c>
      <c r="W122" s="8" t="s">
        <v>259</v>
      </c>
      <c r="X122" s="8" t="s">
        <v>218</v>
      </c>
      <c r="Y122" s="8" t="s">
        <v>218</v>
      </c>
      <c r="Z122" s="8"/>
      <c r="AA122" s="8" t="s">
        <v>1416</v>
      </c>
      <c r="AB122" s="20"/>
      <c r="AC122" s="20"/>
      <c r="AD122" s="20"/>
      <c r="AE122" s="8" t="s">
        <v>237</v>
      </c>
      <c r="AF122" s="8" t="s">
        <v>224</v>
      </c>
    </row>
    <row r="123" customFormat="false" ht="15" hidden="false" customHeight="false" outlineLevel="0" collapsed="false">
      <c r="A123" s="8" t="s">
        <v>1417</v>
      </c>
      <c r="B123" s="8" t="s">
        <v>1418</v>
      </c>
      <c r="C123" s="8"/>
      <c r="D123" s="8" t="s">
        <v>206</v>
      </c>
      <c r="E123" s="8" t="s">
        <v>109</v>
      </c>
      <c r="F123" s="8" t="s">
        <v>70</v>
      </c>
      <c r="G123" s="8" t="s">
        <v>207</v>
      </c>
      <c r="H123" s="8" t="s">
        <v>78</v>
      </c>
      <c r="I123" s="8" t="s">
        <v>208</v>
      </c>
      <c r="J123" s="8" t="n">
        <v>2</v>
      </c>
      <c r="K123" s="8" t="n">
        <v>3</v>
      </c>
      <c r="L123" s="18" t="n">
        <f aca="false">INDEX('All Items'!$Q:$Q,MATCH($A123,'All Items'!$A:$A,0))</f>
        <v>7.4</v>
      </c>
      <c r="M123" s="8" t="s">
        <v>443</v>
      </c>
      <c r="N123" s="8" t="s">
        <v>1419</v>
      </c>
      <c r="O123" s="8" t="s">
        <v>678</v>
      </c>
      <c r="P123" s="8" t="s">
        <v>1420</v>
      </c>
      <c r="Q123" s="8" t="s">
        <v>1421</v>
      </c>
      <c r="R123" s="8" t="s">
        <v>1394</v>
      </c>
      <c r="S123" s="19" t="s">
        <v>1422</v>
      </c>
      <c r="T123" s="8" t="s">
        <v>1423</v>
      </c>
      <c r="U123" s="8" t="s">
        <v>1421</v>
      </c>
      <c r="V123" s="8" t="n">
        <f aca="false">COUNTA(M123:R123)</f>
        <v>6</v>
      </c>
      <c r="W123" s="8" t="s">
        <v>259</v>
      </c>
      <c r="X123" s="8" t="s">
        <v>218</v>
      </c>
      <c r="Y123" s="8" t="s">
        <v>218</v>
      </c>
      <c r="Z123" s="8"/>
      <c r="AA123" s="8" t="s">
        <v>1424</v>
      </c>
      <c r="AB123" s="20"/>
      <c r="AC123" s="20"/>
      <c r="AD123" s="20"/>
      <c r="AE123" s="8" t="s">
        <v>237</v>
      </c>
      <c r="AF123" s="8" t="s">
        <v>224</v>
      </c>
    </row>
    <row r="124" customFormat="false" ht="15" hidden="false" customHeight="false" outlineLevel="0" collapsed="false">
      <c r="A124" s="8" t="s">
        <v>1425</v>
      </c>
      <c r="B124" s="8" t="s">
        <v>1426</v>
      </c>
      <c r="C124" s="8"/>
      <c r="D124" s="8" t="s">
        <v>206</v>
      </c>
      <c r="E124" s="8" t="s">
        <v>109</v>
      </c>
      <c r="F124" s="8" t="s">
        <v>70</v>
      </c>
      <c r="G124" s="8" t="s">
        <v>207</v>
      </c>
      <c r="H124" s="8" t="s">
        <v>78</v>
      </c>
      <c r="I124" s="8" t="s">
        <v>208</v>
      </c>
      <c r="J124" s="8" t="n">
        <v>2</v>
      </c>
      <c r="K124" s="8" t="n">
        <v>3</v>
      </c>
      <c r="L124" s="18" t="n">
        <f aca="false">INDEX('All Items'!$Q:$Q,MATCH($A124,'All Items'!$A:$A,0))</f>
        <v>7.4</v>
      </c>
      <c r="M124" s="8" t="s">
        <v>1419</v>
      </c>
      <c r="N124" s="8" t="s">
        <v>995</v>
      </c>
      <c r="O124" s="8" t="s">
        <v>1427</v>
      </c>
      <c r="P124" s="8" t="s">
        <v>1428</v>
      </c>
      <c r="Q124" s="8" t="s">
        <v>1394</v>
      </c>
      <c r="R124" s="8"/>
      <c r="S124" s="19" t="s">
        <v>1429</v>
      </c>
      <c r="T124" s="8" t="s">
        <v>1430</v>
      </c>
      <c r="U124" s="8"/>
      <c r="V124" s="8" t="n">
        <f aca="false">COUNTA(M124:R124)</f>
        <v>5</v>
      </c>
      <c r="W124" s="8" t="s">
        <v>259</v>
      </c>
      <c r="X124" s="8" t="s">
        <v>218</v>
      </c>
      <c r="Y124" s="8" t="s">
        <v>218</v>
      </c>
      <c r="Z124" s="8"/>
      <c r="AA124" s="8" t="s">
        <v>1431</v>
      </c>
      <c r="AB124" s="20" t="s">
        <v>1432</v>
      </c>
      <c r="AC124" s="20" t="s">
        <v>221</v>
      </c>
      <c r="AD124" s="20" t="s">
        <v>1433</v>
      </c>
      <c r="AE124" s="8" t="s">
        <v>223</v>
      </c>
      <c r="AF124" s="8" t="s">
        <v>224</v>
      </c>
    </row>
    <row r="125" customFormat="false" ht="15" hidden="false" customHeight="false" outlineLevel="0" collapsed="false">
      <c r="A125" s="8" t="s">
        <v>1434</v>
      </c>
      <c r="B125" s="8" t="s">
        <v>1435</v>
      </c>
      <c r="C125" s="8"/>
      <c r="D125" s="8" t="s">
        <v>206</v>
      </c>
      <c r="E125" s="8" t="s">
        <v>109</v>
      </c>
      <c r="F125" s="8" t="s">
        <v>70</v>
      </c>
      <c r="G125" s="8" t="s">
        <v>207</v>
      </c>
      <c r="H125" s="8" t="s">
        <v>82</v>
      </c>
      <c r="I125" s="8" t="s">
        <v>273</v>
      </c>
      <c r="J125" s="8" t="n">
        <v>2</v>
      </c>
      <c r="K125" s="8" t="n">
        <v>3</v>
      </c>
      <c r="L125" s="18" t="n">
        <f aca="false">INDEX('All Items'!$Q:$Q,MATCH($A125,'All Items'!$A:$A,0))</f>
        <v>6.65</v>
      </c>
      <c r="M125" s="8" t="s">
        <v>678</v>
      </c>
      <c r="N125" s="8" t="s">
        <v>861</v>
      </c>
      <c r="O125" s="8" t="s">
        <v>1436</v>
      </c>
      <c r="P125" s="8" t="s">
        <v>1437</v>
      </c>
      <c r="Q125" s="8" t="s">
        <v>1438</v>
      </c>
      <c r="R125" s="8" t="s">
        <v>1439</v>
      </c>
      <c r="S125" s="19" t="s">
        <v>1440</v>
      </c>
      <c r="T125" s="8" t="s">
        <v>1441</v>
      </c>
      <c r="U125" s="8"/>
      <c r="V125" s="8" t="n">
        <f aca="false">COUNTA(M125:R125)</f>
        <v>6</v>
      </c>
      <c r="W125" s="8" t="s">
        <v>259</v>
      </c>
      <c r="X125" s="8" t="s">
        <v>218</v>
      </c>
      <c r="Y125" s="8" t="s">
        <v>218</v>
      </c>
      <c r="Z125" s="8"/>
      <c r="AA125" s="8" t="s">
        <v>1442</v>
      </c>
      <c r="AB125" s="20"/>
      <c r="AC125" s="20"/>
      <c r="AD125" s="20"/>
      <c r="AE125" s="8" t="s">
        <v>237</v>
      </c>
      <c r="AF125" s="8" t="s">
        <v>224</v>
      </c>
    </row>
    <row r="126" customFormat="false" ht="15" hidden="false" customHeight="false" outlineLevel="0" collapsed="false">
      <c r="A126" s="8" t="s">
        <v>1443</v>
      </c>
      <c r="B126" s="8" t="s">
        <v>1444</v>
      </c>
      <c r="C126" s="8"/>
      <c r="D126" s="8" t="s">
        <v>206</v>
      </c>
      <c r="E126" s="8" t="s">
        <v>109</v>
      </c>
      <c r="F126" s="8" t="s">
        <v>70</v>
      </c>
      <c r="G126" s="8" t="s">
        <v>207</v>
      </c>
      <c r="H126" s="8" t="s">
        <v>79</v>
      </c>
      <c r="I126" s="8" t="s">
        <v>227</v>
      </c>
      <c r="J126" s="8" t="n">
        <v>2</v>
      </c>
      <c r="K126" s="8" t="n">
        <v>3</v>
      </c>
      <c r="L126" s="18" t="n">
        <f aca="false">INDEX('All Items'!$Q:$Q,MATCH($A126,'All Items'!$A:$A,0))</f>
        <v>7.4</v>
      </c>
      <c r="M126" s="8" t="s">
        <v>892</v>
      </c>
      <c r="N126" s="8" t="s">
        <v>861</v>
      </c>
      <c r="O126" s="8" t="s">
        <v>742</v>
      </c>
      <c r="P126" s="8" t="s">
        <v>1445</v>
      </c>
      <c r="Q126" s="8" t="s">
        <v>1446</v>
      </c>
      <c r="R126" s="8" t="s">
        <v>1447</v>
      </c>
      <c r="S126" s="19" t="s">
        <v>1448</v>
      </c>
      <c r="T126" s="8" t="s">
        <v>1449</v>
      </c>
      <c r="U126" s="8" t="s">
        <v>1447</v>
      </c>
      <c r="V126" s="8" t="n">
        <f aca="false">COUNTA(M126:R126)</f>
        <v>6</v>
      </c>
      <c r="W126" s="8" t="s">
        <v>259</v>
      </c>
      <c r="X126" s="8" t="s">
        <v>218</v>
      </c>
      <c r="Y126" s="8" t="s">
        <v>218</v>
      </c>
      <c r="Z126" s="8"/>
      <c r="AA126" s="8" t="s">
        <v>1450</v>
      </c>
      <c r="AB126" s="20" t="s">
        <v>1451</v>
      </c>
      <c r="AC126" s="20" t="s">
        <v>221</v>
      </c>
      <c r="AD126" s="20" t="s">
        <v>1452</v>
      </c>
      <c r="AE126" s="8" t="s">
        <v>223</v>
      </c>
      <c r="AF126" s="8" t="s">
        <v>224</v>
      </c>
    </row>
    <row r="127" customFormat="false" ht="15" hidden="false" customHeight="false" outlineLevel="0" collapsed="false">
      <c r="A127" s="8" t="s">
        <v>1453</v>
      </c>
      <c r="B127" s="8" t="s">
        <v>1454</v>
      </c>
      <c r="C127" s="8"/>
      <c r="D127" s="8" t="s">
        <v>206</v>
      </c>
      <c r="E127" s="8" t="s">
        <v>109</v>
      </c>
      <c r="F127" s="8" t="s">
        <v>70</v>
      </c>
      <c r="G127" s="8" t="s">
        <v>207</v>
      </c>
      <c r="H127" s="8" t="s">
        <v>84</v>
      </c>
      <c r="I127" s="8" t="s">
        <v>227</v>
      </c>
      <c r="J127" s="8" t="n">
        <v>2</v>
      </c>
      <c r="K127" s="8" t="n">
        <v>3</v>
      </c>
      <c r="L127" s="18" t="n">
        <f aca="false">INDEX('All Items'!$Q:$Q,MATCH($A127,'All Items'!$A:$A,0))</f>
        <v>7.15</v>
      </c>
      <c r="M127" s="8" t="s">
        <v>1363</v>
      </c>
      <c r="N127" s="8" t="s">
        <v>1455</v>
      </c>
      <c r="O127" s="8" t="s">
        <v>1456</v>
      </c>
      <c r="P127" s="8" t="s">
        <v>1457</v>
      </c>
      <c r="Q127" s="8" t="s">
        <v>1458</v>
      </c>
      <c r="R127" s="8" t="s">
        <v>1459</v>
      </c>
      <c r="S127" s="19" t="s">
        <v>1460</v>
      </c>
      <c r="T127" s="8" t="s">
        <v>1363</v>
      </c>
      <c r="U127" s="8" t="s">
        <v>1459</v>
      </c>
      <c r="V127" s="8" t="n">
        <f aca="false">COUNTA(M127:R127)</f>
        <v>6</v>
      </c>
      <c r="W127" s="8" t="s">
        <v>259</v>
      </c>
      <c r="X127" s="8" t="s">
        <v>218</v>
      </c>
      <c r="Y127" s="8" t="s">
        <v>218</v>
      </c>
      <c r="Z127" s="8"/>
      <c r="AA127" s="8" t="s">
        <v>1461</v>
      </c>
      <c r="AB127" s="20"/>
      <c r="AC127" s="20"/>
      <c r="AD127" s="20"/>
      <c r="AE127" s="8" t="s">
        <v>237</v>
      </c>
      <c r="AF127" s="8" t="s">
        <v>224</v>
      </c>
    </row>
    <row r="128" customFormat="false" ht="15" hidden="false" customHeight="false" outlineLevel="0" collapsed="false">
      <c r="A128" s="8" t="s">
        <v>1462</v>
      </c>
      <c r="B128" s="8" t="s">
        <v>1463</v>
      </c>
      <c r="C128" s="8"/>
      <c r="D128" s="8" t="s">
        <v>206</v>
      </c>
      <c r="E128" s="8" t="s">
        <v>109</v>
      </c>
      <c r="F128" s="8" t="s">
        <v>70</v>
      </c>
      <c r="G128" s="8" t="s">
        <v>207</v>
      </c>
      <c r="H128" s="8" t="s">
        <v>82</v>
      </c>
      <c r="I128" s="8" t="s">
        <v>227</v>
      </c>
      <c r="J128" s="8" t="n">
        <v>2</v>
      </c>
      <c r="K128" s="8" t="n">
        <v>3</v>
      </c>
      <c r="L128" s="18" t="n">
        <f aca="false">INDEX('All Items'!$Q:$Q,MATCH($A128,'All Items'!$A:$A,0))</f>
        <v>6.9</v>
      </c>
      <c r="M128" s="8" t="s">
        <v>324</v>
      </c>
      <c r="N128" s="8" t="s">
        <v>1464</v>
      </c>
      <c r="O128" s="8" t="s">
        <v>477</v>
      </c>
      <c r="P128" s="8" t="s">
        <v>1465</v>
      </c>
      <c r="Q128" s="8" t="s">
        <v>1069</v>
      </c>
      <c r="R128" s="8"/>
      <c r="S128" s="19" t="s">
        <v>1466</v>
      </c>
      <c r="T128" s="8" t="s">
        <v>1467</v>
      </c>
      <c r="U128" s="8"/>
      <c r="V128" s="8" t="n">
        <f aca="false">COUNTA(M128:R128)</f>
        <v>5</v>
      </c>
      <c r="W128" s="8" t="s">
        <v>259</v>
      </c>
      <c r="X128" s="8" t="s">
        <v>218</v>
      </c>
      <c r="Y128" s="8" t="s">
        <v>218</v>
      </c>
      <c r="Z128" s="8"/>
      <c r="AA128" s="8" t="s">
        <v>1468</v>
      </c>
      <c r="AB128" s="20"/>
      <c r="AC128" s="20"/>
      <c r="AD128" s="20"/>
      <c r="AE128" s="8" t="s">
        <v>237</v>
      </c>
      <c r="AF128" s="8" t="s">
        <v>224</v>
      </c>
    </row>
    <row r="129" customFormat="false" ht="15" hidden="false" customHeight="false" outlineLevel="0" collapsed="false">
      <c r="A129" s="8" t="s">
        <v>1469</v>
      </c>
      <c r="B129" s="8" t="s">
        <v>1470</v>
      </c>
      <c r="C129" s="8"/>
      <c r="D129" s="8" t="s">
        <v>206</v>
      </c>
      <c r="E129" s="8" t="s">
        <v>109</v>
      </c>
      <c r="F129" s="8" t="s">
        <v>70</v>
      </c>
      <c r="G129" s="8" t="s">
        <v>207</v>
      </c>
      <c r="H129" s="8" t="s">
        <v>78</v>
      </c>
      <c r="I129" s="8" t="s">
        <v>208</v>
      </c>
      <c r="J129" s="8" t="n">
        <v>2</v>
      </c>
      <c r="K129" s="8" t="n">
        <v>3</v>
      </c>
      <c r="L129" s="18" t="n">
        <f aca="false">INDEX('All Items'!$Q:$Q,MATCH($A129,'All Items'!$A:$A,0))</f>
        <v>6.9</v>
      </c>
      <c r="M129" s="8" t="s">
        <v>1008</v>
      </c>
      <c r="N129" s="8" t="s">
        <v>1471</v>
      </c>
      <c r="O129" s="8" t="s">
        <v>1472</v>
      </c>
      <c r="P129" s="8" t="s">
        <v>1473</v>
      </c>
      <c r="Q129" s="8" t="s">
        <v>1474</v>
      </c>
      <c r="R129" s="8"/>
      <c r="S129" s="19" t="s">
        <v>1475</v>
      </c>
      <c r="T129" s="8" t="s">
        <v>1476</v>
      </c>
      <c r="U129" s="8" t="s">
        <v>1477</v>
      </c>
      <c r="V129" s="8" t="n">
        <f aca="false">COUNTA(M129:R129)</f>
        <v>5</v>
      </c>
      <c r="W129" s="8" t="s">
        <v>259</v>
      </c>
      <c r="X129" s="8" t="s">
        <v>218</v>
      </c>
      <c r="Y129" s="8" t="s">
        <v>218</v>
      </c>
      <c r="Z129" s="8"/>
      <c r="AA129" s="8" t="s">
        <v>1478</v>
      </c>
      <c r="AB129" s="20"/>
      <c r="AC129" s="20"/>
      <c r="AD129" s="20"/>
      <c r="AE129" s="8" t="s">
        <v>237</v>
      </c>
      <c r="AF129" s="8" t="s">
        <v>224</v>
      </c>
    </row>
    <row r="130" customFormat="false" ht="15" hidden="false" customHeight="false" outlineLevel="0" collapsed="false">
      <c r="A130" s="8" t="s">
        <v>1479</v>
      </c>
      <c r="B130" s="8" t="s">
        <v>1480</v>
      </c>
      <c r="C130" s="8"/>
      <c r="D130" s="8" t="s">
        <v>206</v>
      </c>
      <c r="E130" s="8" t="s">
        <v>114</v>
      </c>
      <c r="F130" s="8" t="s">
        <v>70</v>
      </c>
      <c r="G130" s="8" t="s">
        <v>207</v>
      </c>
      <c r="H130" s="8" t="s">
        <v>85</v>
      </c>
      <c r="I130" s="8" t="s">
        <v>208</v>
      </c>
      <c r="J130" s="8" t="n">
        <v>1</v>
      </c>
      <c r="K130" s="8" t="n">
        <v>5</v>
      </c>
      <c r="L130" s="18" t="n">
        <f aca="false">INDEX('All Items'!$Q:$Q,MATCH($A130,'All Items'!$A:$A,0))</f>
        <v>10</v>
      </c>
      <c r="M130" s="8" t="s">
        <v>1330</v>
      </c>
      <c r="N130" s="8" t="s">
        <v>487</v>
      </c>
      <c r="O130" s="8" t="s">
        <v>488</v>
      </c>
      <c r="P130" s="8" t="s">
        <v>1481</v>
      </c>
      <c r="Q130" s="8" t="s">
        <v>1482</v>
      </c>
      <c r="R130" s="8" t="s">
        <v>1483</v>
      </c>
      <c r="S130" s="19" t="s">
        <v>1484</v>
      </c>
      <c r="T130" s="8" t="s">
        <v>1485</v>
      </c>
      <c r="U130" s="8"/>
      <c r="V130" s="8" t="n">
        <f aca="false">COUNTA(M130:R130)</f>
        <v>6</v>
      </c>
      <c r="W130" s="8" t="s">
        <v>218</v>
      </c>
      <c r="X130" s="8" t="s">
        <v>218</v>
      </c>
      <c r="Y130" s="8" t="s">
        <v>218</v>
      </c>
      <c r="Z130" s="8"/>
      <c r="AA130" s="8" t="s">
        <v>1486</v>
      </c>
      <c r="AB130" s="20" t="s">
        <v>1487</v>
      </c>
      <c r="AC130" s="20" t="s">
        <v>384</v>
      </c>
      <c r="AD130" s="20" t="s">
        <v>1488</v>
      </c>
      <c r="AE130" s="8" t="s">
        <v>223</v>
      </c>
      <c r="AF130" s="8" t="s">
        <v>224</v>
      </c>
    </row>
    <row r="131" customFormat="false" ht="15" hidden="false" customHeight="false" outlineLevel="0" collapsed="false">
      <c r="A131" s="8" t="s">
        <v>1489</v>
      </c>
      <c r="B131" s="8" t="s">
        <v>1490</v>
      </c>
      <c r="C131" s="8"/>
      <c r="D131" s="8" t="s">
        <v>206</v>
      </c>
      <c r="E131" s="8" t="s">
        <v>114</v>
      </c>
      <c r="F131" s="8" t="s">
        <v>70</v>
      </c>
      <c r="G131" s="8" t="s">
        <v>207</v>
      </c>
      <c r="H131" s="8" t="s">
        <v>78</v>
      </c>
      <c r="I131" s="8" t="s">
        <v>208</v>
      </c>
      <c r="J131" s="8" t="n">
        <v>1</v>
      </c>
      <c r="K131" s="8" t="n">
        <v>4</v>
      </c>
      <c r="L131" s="18" t="n">
        <f aca="false">INDEX('All Items'!$Q:$Q,MATCH($A131,'All Items'!$A:$A,0))</f>
        <v>8.7</v>
      </c>
      <c r="M131" s="8" t="s">
        <v>1330</v>
      </c>
      <c r="N131" s="8" t="s">
        <v>599</v>
      </c>
      <c r="O131" s="8" t="s">
        <v>1491</v>
      </c>
      <c r="P131" s="8" t="s">
        <v>488</v>
      </c>
      <c r="Q131" s="8" t="s">
        <v>1492</v>
      </c>
      <c r="R131" s="8" t="s">
        <v>1493</v>
      </c>
      <c r="S131" s="19" t="s">
        <v>1494</v>
      </c>
      <c r="T131" s="8" t="s">
        <v>1495</v>
      </c>
      <c r="U131" s="8"/>
      <c r="V131" s="8" t="n">
        <f aca="false">COUNTA(M131:R131)</f>
        <v>6</v>
      </c>
      <c r="W131" s="8" t="s">
        <v>218</v>
      </c>
      <c r="X131" s="8" t="s">
        <v>218</v>
      </c>
      <c r="Y131" s="8" t="s">
        <v>218</v>
      </c>
      <c r="Z131" s="8"/>
      <c r="AA131" s="8" t="s">
        <v>1496</v>
      </c>
      <c r="AB131" s="20" t="s">
        <v>1497</v>
      </c>
      <c r="AC131" s="20" t="s">
        <v>1174</v>
      </c>
      <c r="AD131" s="20" t="s">
        <v>1498</v>
      </c>
      <c r="AE131" s="8" t="s">
        <v>223</v>
      </c>
      <c r="AF131" s="8" t="s">
        <v>224</v>
      </c>
    </row>
    <row r="132" customFormat="false" ht="15" hidden="false" customHeight="false" outlineLevel="0" collapsed="false">
      <c r="A132" s="8" t="s">
        <v>1499</v>
      </c>
      <c r="B132" s="8" t="s">
        <v>1500</v>
      </c>
      <c r="C132" s="8"/>
      <c r="D132" s="8" t="s">
        <v>206</v>
      </c>
      <c r="E132" s="8" t="s">
        <v>114</v>
      </c>
      <c r="F132" s="8" t="s">
        <v>70</v>
      </c>
      <c r="G132" s="8" t="s">
        <v>207</v>
      </c>
      <c r="H132" s="8" t="s">
        <v>86</v>
      </c>
      <c r="I132" s="8" t="s">
        <v>273</v>
      </c>
      <c r="J132" s="8" t="n">
        <v>2</v>
      </c>
      <c r="K132" s="8" t="n">
        <v>3</v>
      </c>
      <c r="L132" s="18" t="n">
        <f aca="false">INDEX('All Items'!$Q:$Q,MATCH($A132,'All Items'!$A:$A,0))</f>
        <v>7.4</v>
      </c>
      <c r="M132" s="8" t="s">
        <v>791</v>
      </c>
      <c r="N132" s="8" t="s">
        <v>678</v>
      </c>
      <c r="O132" s="8" t="s">
        <v>1501</v>
      </c>
      <c r="P132" s="8" t="s">
        <v>1502</v>
      </c>
      <c r="Q132" s="8" t="s">
        <v>1503</v>
      </c>
      <c r="R132" s="8" t="s">
        <v>1504</v>
      </c>
      <c r="S132" s="19" t="s">
        <v>1505</v>
      </c>
      <c r="T132" s="8" t="s">
        <v>1506</v>
      </c>
      <c r="U132" s="8"/>
      <c r="V132" s="8" t="n">
        <f aca="false">COUNTA(M132:R132)</f>
        <v>6</v>
      </c>
      <c r="W132" s="8" t="s">
        <v>259</v>
      </c>
      <c r="X132" s="8" t="s">
        <v>218</v>
      </c>
      <c r="Y132" s="8" t="s">
        <v>218</v>
      </c>
      <c r="Z132" s="8"/>
      <c r="AA132" s="8" t="s">
        <v>1507</v>
      </c>
      <c r="AB132" s="20" t="s">
        <v>1508</v>
      </c>
      <c r="AC132" s="20" t="s">
        <v>527</v>
      </c>
      <c r="AD132" s="20" t="s">
        <v>528</v>
      </c>
      <c r="AE132" s="8" t="s">
        <v>223</v>
      </c>
      <c r="AF132" s="8" t="s">
        <v>224</v>
      </c>
    </row>
    <row r="133" customFormat="false" ht="15" hidden="false" customHeight="false" outlineLevel="0" collapsed="false">
      <c r="A133" s="8" t="s">
        <v>1509</v>
      </c>
      <c r="B133" s="8" t="s">
        <v>1510</v>
      </c>
      <c r="C133" s="8"/>
      <c r="D133" s="8" t="s">
        <v>206</v>
      </c>
      <c r="E133" s="8" t="s">
        <v>114</v>
      </c>
      <c r="F133" s="8" t="s">
        <v>70</v>
      </c>
      <c r="G133" s="8" t="s">
        <v>207</v>
      </c>
      <c r="H133" s="8" t="s">
        <v>80</v>
      </c>
      <c r="I133" s="8" t="s">
        <v>227</v>
      </c>
      <c r="J133" s="8" t="n">
        <v>2</v>
      </c>
      <c r="K133" s="8" t="n">
        <v>3</v>
      </c>
      <c r="L133" s="18" t="n">
        <f aca="false">INDEX('All Items'!$Q:$Q,MATCH($A133,'All Items'!$A:$A,0))</f>
        <v>6.9</v>
      </c>
      <c r="M133" s="8" t="s">
        <v>764</v>
      </c>
      <c r="N133" s="8" t="s">
        <v>1363</v>
      </c>
      <c r="O133" s="8" t="s">
        <v>1511</v>
      </c>
      <c r="P133" s="8" t="s">
        <v>1512</v>
      </c>
      <c r="Q133" s="8" t="s">
        <v>1513</v>
      </c>
      <c r="R133" s="8"/>
      <c r="S133" s="19" t="s">
        <v>1514</v>
      </c>
      <c r="T133" s="8" t="s">
        <v>1515</v>
      </c>
      <c r="U133" s="8"/>
      <c r="V133" s="8" t="n">
        <f aca="false">COUNTA(M133:R133)</f>
        <v>5</v>
      </c>
      <c r="W133" s="8" t="s">
        <v>259</v>
      </c>
      <c r="X133" s="8" t="s">
        <v>218</v>
      </c>
      <c r="Y133" s="8" t="s">
        <v>218</v>
      </c>
      <c r="Z133" s="8"/>
      <c r="AA133" s="8" t="s">
        <v>1516</v>
      </c>
      <c r="AB133" s="20" t="s">
        <v>1517</v>
      </c>
      <c r="AC133" s="20" t="s">
        <v>221</v>
      </c>
      <c r="AD133" s="20" t="s">
        <v>1518</v>
      </c>
      <c r="AE133" s="8" t="s">
        <v>223</v>
      </c>
      <c r="AF133" s="8" t="s">
        <v>224</v>
      </c>
    </row>
    <row r="134" customFormat="false" ht="15" hidden="false" customHeight="false" outlineLevel="0" collapsed="false">
      <c r="A134" s="8" t="s">
        <v>1519</v>
      </c>
      <c r="B134" s="8" t="s">
        <v>1520</v>
      </c>
      <c r="C134" s="8"/>
      <c r="D134" s="8" t="s">
        <v>206</v>
      </c>
      <c r="E134" s="8" t="s">
        <v>114</v>
      </c>
      <c r="F134" s="8" t="s">
        <v>70</v>
      </c>
      <c r="G134" s="8" t="s">
        <v>207</v>
      </c>
      <c r="H134" s="8" t="s">
        <v>80</v>
      </c>
      <c r="I134" s="8" t="s">
        <v>227</v>
      </c>
      <c r="J134" s="8" t="n">
        <v>2</v>
      </c>
      <c r="K134" s="8" t="n">
        <v>3</v>
      </c>
      <c r="L134" s="18" t="n">
        <f aca="false">INDEX('All Items'!$Q:$Q,MATCH($A134,'All Items'!$A:$A,0))</f>
        <v>6.9</v>
      </c>
      <c r="M134" s="8" t="s">
        <v>345</v>
      </c>
      <c r="N134" s="8" t="s">
        <v>1521</v>
      </c>
      <c r="O134" s="8" t="s">
        <v>1522</v>
      </c>
      <c r="P134" s="8" t="s">
        <v>1523</v>
      </c>
      <c r="Q134" s="8" t="s">
        <v>1524</v>
      </c>
      <c r="R134" s="8" t="s">
        <v>1525</v>
      </c>
      <c r="S134" s="19" t="s">
        <v>1526</v>
      </c>
      <c r="T134" s="8" t="s">
        <v>1527</v>
      </c>
      <c r="U134" s="8"/>
      <c r="V134" s="8" t="n">
        <f aca="false">COUNTA(M134:R134)</f>
        <v>6</v>
      </c>
      <c r="W134" s="8" t="s">
        <v>259</v>
      </c>
      <c r="X134" s="8" t="s">
        <v>218</v>
      </c>
      <c r="Y134" s="8" t="s">
        <v>218</v>
      </c>
      <c r="Z134" s="8"/>
      <c r="AA134" s="8" t="s">
        <v>1528</v>
      </c>
      <c r="AB134" s="20"/>
      <c r="AC134" s="20"/>
      <c r="AD134" s="20"/>
      <c r="AE134" s="8" t="s">
        <v>237</v>
      </c>
      <c r="AF134" s="8" t="s">
        <v>224</v>
      </c>
    </row>
    <row r="135" customFormat="false" ht="15" hidden="false" customHeight="false" outlineLevel="0" collapsed="false">
      <c r="A135" s="8" t="s">
        <v>1529</v>
      </c>
      <c r="B135" s="8" t="s">
        <v>1530</v>
      </c>
      <c r="C135" s="8"/>
      <c r="D135" s="8" t="s">
        <v>206</v>
      </c>
      <c r="E135" s="8" t="s">
        <v>113</v>
      </c>
      <c r="F135" s="8" t="s">
        <v>70</v>
      </c>
      <c r="G135" s="8" t="s">
        <v>207</v>
      </c>
      <c r="H135" s="8" t="s">
        <v>82</v>
      </c>
      <c r="I135" s="8" t="s">
        <v>273</v>
      </c>
      <c r="J135" s="8" t="n">
        <v>2</v>
      </c>
      <c r="K135" s="8" t="n">
        <v>3</v>
      </c>
      <c r="L135" s="18" t="n">
        <f aca="false">INDEX('All Items'!$Q:$Q,MATCH($A135,'All Items'!$A:$A,0))</f>
        <v>6.65</v>
      </c>
      <c r="M135" s="8" t="s">
        <v>1531</v>
      </c>
      <c r="N135" s="8" t="s">
        <v>1532</v>
      </c>
      <c r="O135" s="8" t="s">
        <v>1533</v>
      </c>
      <c r="P135" s="8" t="s">
        <v>1534</v>
      </c>
      <c r="Q135" s="8" t="s">
        <v>1535</v>
      </c>
      <c r="R135" s="8" t="s">
        <v>1536</v>
      </c>
      <c r="S135" s="19" t="s">
        <v>1537</v>
      </c>
      <c r="T135" s="8" t="s">
        <v>1538</v>
      </c>
      <c r="U135" s="8"/>
      <c r="V135" s="8" t="n">
        <f aca="false">COUNTA(M135:R135)</f>
        <v>6</v>
      </c>
      <c r="W135" s="8" t="s">
        <v>259</v>
      </c>
      <c r="X135" s="8" t="s">
        <v>218</v>
      </c>
      <c r="Y135" s="8" t="s">
        <v>218</v>
      </c>
      <c r="Z135" s="8"/>
      <c r="AA135" s="8" t="s">
        <v>1539</v>
      </c>
      <c r="AB135" s="20"/>
      <c r="AC135" s="20"/>
      <c r="AD135" s="20"/>
      <c r="AE135" s="8" t="s">
        <v>237</v>
      </c>
      <c r="AF135" s="8" t="s">
        <v>224</v>
      </c>
    </row>
    <row r="136" customFormat="false" ht="15" hidden="false" customHeight="false" outlineLevel="0" collapsed="false">
      <c r="A136" s="8" t="s">
        <v>1540</v>
      </c>
      <c r="B136" s="8" t="s">
        <v>1541</v>
      </c>
      <c r="C136" s="8"/>
      <c r="D136" s="8" t="s">
        <v>206</v>
      </c>
      <c r="E136" s="8" t="s">
        <v>113</v>
      </c>
      <c r="F136" s="8" t="s">
        <v>70</v>
      </c>
      <c r="G136" s="8" t="s">
        <v>207</v>
      </c>
      <c r="H136" s="8" t="s">
        <v>88</v>
      </c>
      <c r="I136" s="8" t="s">
        <v>273</v>
      </c>
      <c r="J136" s="8" t="n">
        <v>2</v>
      </c>
      <c r="K136" s="8" t="n">
        <v>3</v>
      </c>
      <c r="L136" s="18" t="n">
        <f aca="false">INDEX('All Items'!$Q:$Q,MATCH($A136,'All Items'!$A:$A,0))</f>
        <v>6.9</v>
      </c>
      <c r="M136" s="8" t="s">
        <v>835</v>
      </c>
      <c r="N136" s="8" t="s">
        <v>1167</v>
      </c>
      <c r="O136" s="8" t="s">
        <v>1542</v>
      </c>
      <c r="P136" s="8" t="s">
        <v>1543</v>
      </c>
      <c r="Q136" s="8" t="s">
        <v>1544</v>
      </c>
      <c r="R136" s="8"/>
      <c r="S136" s="19" t="s">
        <v>1545</v>
      </c>
      <c r="T136" s="8" t="s">
        <v>1546</v>
      </c>
      <c r="U136" s="8"/>
      <c r="V136" s="8" t="n">
        <f aca="false">COUNTA(M136:R136)</f>
        <v>5</v>
      </c>
      <c r="W136" s="8" t="s">
        <v>259</v>
      </c>
      <c r="X136" s="8" t="s">
        <v>218</v>
      </c>
      <c r="Y136" s="8" t="s">
        <v>218</v>
      </c>
      <c r="Z136" s="8"/>
      <c r="AA136" s="8" t="s">
        <v>1547</v>
      </c>
      <c r="AB136" s="20"/>
      <c r="AC136" s="20"/>
      <c r="AD136" s="20"/>
      <c r="AE136" s="8" t="s">
        <v>237</v>
      </c>
      <c r="AF136" s="8" t="s">
        <v>224</v>
      </c>
    </row>
    <row r="137" customFormat="false" ht="15" hidden="false" customHeight="false" outlineLevel="0" collapsed="false">
      <c r="A137" s="8" t="s">
        <v>1548</v>
      </c>
      <c r="B137" s="8" t="s">
        <v>1549</v>
      </c>
      <c r="C137" s="8"/>
      <c r="D137" s="8" t="s">
        <v>206</v>
      </c>
      <c r="E137" s="8" t="s">
        <v>113</v>
      </c>
      <c r="F137" s="8" t="s">
        <v>70</v>
      </c>
      <c r="G137" s="8" t="s">
        <v>207</v>
      </c>
      <c r="H137" s="8" t="s">
        <v>78</v>
      </c>
      <c r="I137" s="8" t="s">
        <v>208</v>
      </c>
      <c r="J137" s="8" t="n">
        <v>2</v>
      </c>
      <c r="K137" s="8" t="n">
        <v>3</v>
      </c>
      <c r="L137" s="18" t="n">
        <f aca="false">INDEX('All Items'!$Q:$Q,MATCH($A137,'All Items'!$A:$A,0))</f>
        <v>6.65</v>
      </c>
      <c r="M137" s="8" t="s">
        <v>1542</v>
      </c>
      <c r="N137" s="8" t="s">
        <v>1550</v>
      </c>
      <c r="O137" s="8" t="s">
        <v>1551</v>
      </c>
      <c r="P137" s="8" t="s">
        <v>1552</v>
      </c>
      <c r="Q137" s="8" t="s">
        <v>488</v>
      </c>
      <c r="R137" s="8"/>
      <c r="S137" s="19" t="s">
        <v>1553</v>
      </c>
      <c r="T137" s="8" t="s">
        <v>1554</v>
      </c>
      <c r="U137" s="8" t="s">
        <v>488</v>
      </c>
      <c r="V137" s="8" t="n">
        <f aca="false">COUNTA(M137:R137)</f>
        <v>5</v>
      </c>
      <c r="W137" s="8" t="s">
        <v>259</v>
      </c>
      <c r="X137" s="8" t="s">
        <v>218</v>
      </c>
      <c r="Y137" s="8" t="s">
        <v>218</v>
      </c>
      <c r="Z137" s="8"/>
      <c r="AA137" s="8" t="s">
        <v>1555</v>
      </c>
      <c r="AB137" s="20"/>
      <c r="AC137" s="20"/>
      <c r="AD137" s="20"/>
      <c r="AE137" s="8" t="s">
        <v>237</v>
      </c>
      <c r="AF137" s="8" t="s">
        <v>224</v>
      </c>
    </row>
    <row r="138" customFormat="false" ht="15" hidden="false" customHeight="false" outlineLevel="0" collapsed="false">
      <c r="A138" s="8" t="s">
        <v>1556</v>
      </c>
      <c r="B138" s="8" t="s">
        <v>1557</v>
      </c>
      <c r="C138" s="8"/>
      <c r="D138" s="8" t="s">
        <v>206</v>
      </c>
      <c r="E138" s="8" t="s">
        <v>113</v>
      </c>
      <c r="F138" s="8" t="s">
        <v>70</v>
      </c>
      <c r="G138" s="8" t="s">
        <v>207</v>
      </c>
      <c r="H138" s="8" t="s">
        <v>78</v>
      </c>
      <c r="I138" s="8" t="s">
        <v>208</v>
      </c>
      <c r="J138" s="8" t="n">
        <v>2</v>
      </c>
      <c r="K138" s="8" t="n">
        <v>3</v>
      </c>
      <c r="L138" s="18" t="n">
        <f aca="false">INDEX('All Items'!$Q:$Q,MATCH($A138,'All Items'!$A:$A,0))</f>
        <v>7.15</v>
      </c>
      <c r="M138" s="8" t="s">
        <v>668</v>
      </c>
      <c r="N138" s="8" t="s">
        <v>1558</v>
      </c>
      <c r="O138" s="8" t="s">
        <v>213</v>
      </c>
      <c r="P138" s="8" t="s">
        <v>1559</v>
      </c>
      <c r="Q138" s="8" t="s">
        <v>1560</v>
      </c>
      <c r="R138" s="8"/>
      <c r="S138" s="19" t="s">
        <v>1561</v>
      </c>
      <c r="T138" s="8" t="s">
        <v>1562</v>
      </c>
      <c r="U138" s="8" t="s">
        <v>1563</v>
      </c>
      <c r="V138" s="8" t="n">
        <f aca="false">COUNTA(M138:R138)</f>
        <v>5</v>
      </c>
      <c r="W138" s="8" t="s">
        <v>259</v>
      </c>
      <c r="X138" s="8" t="s">
        <v>218</v>
      </c>
      <c r="Y138" s="8" t="s">
        <v>218</v>
      </c>
      <c r="Z138" s="8"/>
      <c r="AA138" s="8" t="s">
        <v>1564</v>
      </c>
      <c r="AB138" s="20"/>
      <c r="AC138" s="20"/>
      <c r="AD138" s="20"/>
      <c r="AE138" s="8" t="s">
        <v>237</v>
      </c>
      <c r="AF138" s="8" t="s">
        <v>224</v>
      </c>
    </row>
    <row r="139" customFormat="false" ht="15" hidden="false" customHeight="false" outlineLevel="0" collapsed="false">
      <c r="A139" s="8" t="s">
        <v>1565</v>
      </c>
      <c r="B139" s="8" t="s">
        <v>1566</v>
      </c>
      <c r="C139" s="8"/>
      <c r="D139" s="8" t="s">
        <v>206</v>
      </c>
      <c r="E139" s="8" t="s">
        <v>113</v>
      </c>
      <c r="F139" s="8" t="s">
        <v>70</v>
      </c>
      <c r="G139" s="8" t="s">
        <v>207</v>
      </c>
      <c r="H139" s="8" t="s">
        <v>85</v>
      </c>
      <c r="I139" s="8" t="s">
        <v>273</v>
      </c>
      <c r="J139" s="8" t="n">
        <v>2</v>
      </c>
      <c r="K139" s="8" t="n">
        <v>3</v>
      </c>
      <c r="L139" s="18" t="n">
        <f aca="false">INDEX('All Items'!$Q:$Q,MATCH($A139,'All Items'!$A:$A,0))</f>
        <v>7.4</v>
      </c>
      <c r="M139" s="8" t="s">
        <v>275</v>
      </c>
      <c r="N139" s="8" t="s">
        <v>791</v>
      </c>
      <c r="O139" s="8" t="s">
        <v>443</v>
      </c>
      <c r="P139" s="8" t="s">
        <v>1567</v>
      </c>
      <c r="Q139" s="8" t="s">
        <v>1568</v>
      </c>
      <c r="R139" s="8" t="s">
        <v>1340</v>
      </c>
      <c r="S139" s="19" t="s">
        <v>1569</v>
      </c>
      <c r="T139" s="8" t="s">
        <v>1570</v>
      </c>
      <c r="U139" s="8"/>
      <c r="V139" s="8" t="n">
        <f aca="false">COUNTA(M139:R139)</f>
        <v>6</v>
      </c>
      <c r="W139" s="8" t="s">
        <v>259</v>
      </c>
      <c r="X139" s="8" t="s">
        <v>218</v>
      </c>
      <c r="Y139" s="8" t="s">
        <v>218</v>
      </c>
      <c r="Z139" s="8"/>
      <c r="AA139" s="8" t="s">
        <v>1571</v>
      </c>
      <c r="AB139" s="20" t="s">
        <v>1173</v>
      </c>
      <c r="AC139" s="20" t="s">
        <v>1174</v>
      </c>
      <c r="AD139" s="20" t="s">
        <v>1175</v>
      </c>
      <c r="AE139" s="8" t="s">
        <v>223</v>
      </c>
      <c r="AF139" s="8" t="s">
        <v>224</v>
      </c>
    </row>
    <row r="140" customFormat="false" ht="15" hidden="false" customHeight="false" outlineLevel="0" collapsed="false">
      <c r="A140" s="8" t="s">
        <v>1572</v>
      </c>
      <c r="B140" s="8" t="s">
        <v>1573</v>
      </c>
      <c r="C140" s="8"/>
      <c r="D140" s="8" t="s">
        <v>206</v>
      </c>
      <c r="E140" s="8" t="s">
        <v>113</v>
      </c>
      <c r="F140" s="8" t="s">
        <v>70</v>
      </c>
      <c r="G140" s="8" t="s">
        <v>207</v>
      </c>
      <c r="H140" s="8" t="s">
        <v>78</v>
      </c>
      <c r="I140" s="8" t="s">
        <v>273</v>
      </c>
      <c r="J140" s="8" t="n">
        <v>2</v>
      </c>
      <c r="K140" s="8" t="n">
        <v>3</v>
      </c>
      <c r="L140" s="18" t="n">
        <f aca="false">INDEX('All Items'!$Q:$Q,MATCH($A140,'All Items'!$A:$A,0))</f>
        <v>7.4</v>
      </c>
      <c r="M140" s="8" t="s">
        <v>686</v>
      </c>
      <c r="N140" s="8" t="s">
        <v>791</v>
      </c>
      <c r="O140" s="8" t="s">
        <v>678</v>
      </c>
      <c r="P140" s="8" t="s">
        <v>443</v>
      </c>
      <c r="Q140" s="8" t="s">
        <v>1574</v>
      </c>
      <c r="R140" s="8" t="s">
        <v>1575</v>
      </c>
      <c r="S140" s="19" t="s">
        <v>1576</v>
      </c>
      <c r="T140" s="8" t="s">
        <v>1577</v>
      </c>
      <c r="U140" s="8"/>
      <c r="V140" s="8" t="n">
        <f aca="false">COUNTA(M140:R140)</f>
        <v>6</v>
      </c>
      <c r="W140" s="8" t="s">
        <v>259</v>
      </c>
      <c r="X140" s="8" t="s">
        <v>218</v>
      </c>
      <c r="Y140" s="8" t="s">
        <v>218</v>
      </c>
      <c r="Z140" s="8"/>
      <c r="AA140" s="8" t="s">
        <v>1578</v>
      </c>
      <c r="AB140" s="20"/>
      <c r="AC140" s="20"/>
      <c r="AD140" s="20"/>
      <c r="AE140" s="8" t="s">
        <v>237</v>
      </c>
      <c r="AF140" s="8" t="s">
        <v>224</v>
      </c>
    </row>
    <row r="141" customFormat="false" ht="15" hidden="false" customHeight="false" outlineLevel="0" collapsed="false">
      <c r="A141" s="8" t="s">
        <v>1579</v>
      </c>
      <c r="B141" s="8" t="s">
        <v>1580</v>
      </c>
      <c r="C141" s="8"/>
      <c r="D141" s="8" t="s">
        <v>206</v>
      </c>
      <c r="E141" s="8" t="s">
        <v>114</v>
      </c>
      <c r="F141" s="8" t="s">
        <v>70</v>
      </c>
      <c r="G141" s="8" t="s">
        <v>207</v>
      </c>
      <c r="H141" s="8" t="s">
        <v>79</v>
      </c>
      <c r="I141" s="8" t="s">
        <v>227</v>
      </c>
      <c r="J141" s="8" t="n">
        <v>2</v>
      </c>
      <c r="K141" s="8" t="n">
        <v>3</v>
      </c>
      <c r="L141" s="18" t="n">
        <f aca="false">INDEX('All Items'!$Q:$Q,MATCH($A141,'All Items'!$A:$A,0))</f>
        <v>6.9</v>
      </c>
      <c r="M141" s="8" t="s">
        <v>214</v>
      </c>
      <c r="N141" s="8" t="s">
        <v>1581</v>
      </c>
      <c r="O141" s="8" t="s">
        <v>1582</v>
      </c>
      <c r="P141" s="8" t="s">
        <v>1583</v>
      </c>
      <c r="Q141" s="8" t="s">
        <v>1584</v>
      </c>
      <c r="R141" s="8" t="s">
        <v>932</v>
      </c>
      <c r="S141" s="19" t="s">
        <v>1585</v>
      </c>
      <c r="T141" s="8" t="s">
        <v>1586</v>
      </c>
      <c r="U141" s="8"/>
      <c r="V141" s="8" t="n">
        <f aca="false">COUNTA(M141:R141)</f>
        <v>6</v>
      </c>
      <c r="W141" s="8" t="s">
        <v>259</v>
      </c>
      <c r="X141" s="8" t="s">
        <v>218</v>
      </c>
      <c r="Y141" s="8" t="s">
        <v>218</v>
      </c>
      <c r="Z141" s="8"/>
      <c r="AA141" s="8" t="s">
        <v>1587</v>
      </c>
      <c r="AB141" s="20"/>
      <c r="AC141" s="20"/>
      <c r="AD141" s="20"/>
      <c r="AE141" s="8" t="s">
        <v>237</v>
      </c>
      <c r="AF141" s="8" t="s">
        <v>224</v>
      </c>
    </row>
    <row r="142" customFormat="false" ht="15" hidden="false" customHeight="false" outlineLevel="0" collapsed="false">
      <c r="A142" s="8" t="s">
        <v>1588</v>
      </c>
      <c r="B142" s="8" t="s">
        <v>1589</v>
      </c>
      <c r="C142" s="8"/>
      <c r="D142" s="8" t="s">
        <v>206</v>
      </c>
      <c r="E142" s="8" t="s">
        <v>106</v>
      </c>
      <c r="F142" s="8" t="s">
        <v>70</v>
      </c>
      <c r="G142" s="8" t="s">
        <v>207</v>
      </c>
      <c r="H142" s="8" t="s">
        <v>78</v>
      </c>
      <c r="I142" s="8" t="s">
        <v>208</v>
      </c>
      <c r="J142" s="8" t="n">
        <v>1</v>
      </c>
      <c r="K142" s="8" t="n">
        <v>4</v>
      </c>
      <c r="L142" s="18" t="n">
        <f aca="false">INDEX('All Items'!$Q:$Q,MATCH($A142,'All Items'!$A:$A,0))</f>
        <v>8.2</v>
      </c>
      <c r="M142" s="8" t="s">
        <v>251</v>
      </c>
      <c r="N142" s="8" t="s">
        <v>1590</v>
      </c>
      <c r="O142" s="8" t="s">
        <v>488</v>
      </c>
      <c r="P142" s="8" t="s">
        <v>1591</v>
      </c>
      <c r="Q142" s="8" t="s">
        <v>1592</v>
      </c>
      <c r="R142" s="8" t="s">
        <v>1593</v>
      </c>
      <c r="S142" s="19" t="s">
        <v>1594</v>
      </c>
      <c r="T142" s="8" t="s">
        <v>1595</v>
      </c>
      <c r="U142" s="8"/>
      <c r="V142" s="8" t="n">
        <f aca="false">COUNTA(M142:R142)</f>
        <v>6</v>
      </c>
      <c r="W142" s="8" t="s">
        <v>218</v>
      </c>
      <c r="X142" s="8" t="s">
        <v>218</v>
      </c>
      <c r="Y142" s="8" t="s">
        <v>218</v>
      </c>
      <c r="Z142" s="8"/>
      <c r="AA142" s="8" t="s">
        <v>1596</v>
      </c>
      <c r="AB142" s="20" t="s">
        <v>1597</v>
      </c>
      <c r="AC142" s="20" t="s">
        <v>221</v>
      </c>
      <c r="AD142" s="20" t="s">
        <v>1598</v>
      </c>
      <c r="AE142" s="8" t="s">
        <v>223</v>
      </c>
      <c r="AF142" s="8" t="s">
        <v>224</v>
      </c>
    </row>
    <row r="143" customFormat="false" ht="15" hidden="false" customHeight="false" outlineLevel="0" collapsed="false">
      <c r="A143" s="8" t="s">
        <v>1599</v>
      </c>
      <c r="B143" s="8" t="s">
        <v>1600</v>
      </c>
      <c r="C143" s="8"/>
      <c r="D143" s="8" t="s">
        <v>206</v>
      </c>
      <c r="E143" s="8" t="s">
        <v>106</v>
      </c>
      <c r="F143" s="8" t="s">
        <v>70</v>
      </c>
      <c r="G143" s="8" t="s">
        <v>207</v>
      </c>
      <c r="H143" s="8" t="s">
        <v>78</v>
      </c>
      <c r="I143" s="8" t="s">
        <v>208</v>
      </c>
      <c r="J143" s="8" t="n">
        <v>1</v>
      </c>
      <c r="K143" s="8" t="n">
        <v>4</v>
      </c>
      <c r="L143" s="18" t="n">
        <f aca="false">INDEX('All Items'!$Q:$Q,MATCH($A143,'All Items'!$A:$A,0))</f>
        <v>8.2</v>
      </c>
      <c r="M143" s="8" t="s">
        <v>1590</v>
      </c>
      <c r="N143" s="8" t="s">
        <v>1601</v>
      </c>
      <c r="O143" s="8" t="s">
        <v>1602</v>
      </c>
      <c r="P143" s="8" t="s">
        <v>1603</v>
      </c>
      <c r="Q143" s="8" t="s">
        <v>1604</v>
      </c>
      <c r="R143" s="8"/>
      <c r="S143" s="19" t="s">
        <v>1605</v>
      </c>
      <c r="T143" s="8" t="s">
        <v>1606</v>
      </c>
      <c r="U143" s="8"/>
      <c r="V143" s="8" t="n">
        <f aca="false">COUNTA(M143:R143)</f>
        <v>5</v>
      </c>
      <c r="W143" s="8" t="s">
        <v>218</v>
      </c>
      <c r="X143" s="8" t="s">
        <v>218</v>
      </c>
      <c r="Y143" s="8" t="s">
        <v>218</v>
      </c>
      <c r="Z143" s="8"/>
      <c r="AA143" s="8" t="s">
        <v>1607</v>
      </c>
      <c r="AB143" s="20"/>
      <c r="AC143" s="20"/>
      <c r="AD143" s="20"/>
      <c r="AE143" s="8" t="s">
        <v>237</v>
      </c>
      <c r="AF143" s="8" t="s">
        <v>224</v>
      </c>
    </row>
    <row r="144" customFormat="false" ht="15" hidden="false" customHeight="false" outlineLevel="0" collapsed="false">
      <c r="A144" s="8" t="s">
        <v>1608</v>
      </c>
      <c r="B144" s="8" t="s">
        <v>1609</v>
      </c>
      <c r="C144" s="8"/>
      <c r="D144" s="8" t="s">
        <v>206</v>
      </c>
      <c r="E144" s="8" t="s">
        <v>106</v>
      </c>
      <c r="F144" s="8" t="s">
        <v>70</v>
      </c>
      <c r="G144" s="8" t="s">
        <v>207</v>
      </c>
      <c r="H144" s="8" t="s">
        <v>78</v>
      </c>
      <c r="I144" s="8" t="s">
        <v>208</v>
      </c>
      <c r="J144" s="8" t="n">
        <v>1</v>
      </c>
      <c r="K144" s="8" t="n">
        <v>4</v>
      </c>
      <c r="L144" s="18" t="n">
        <f aca="false">INDEX('All Items'!$Q:$Q,MATCH($A144,'All Items'!$A:$A,0))</f>
        <v>8.2</v>
      </c>
      <c r="M144" s="8" t="s">
        <v>251</v>
      </c>
      <c r="N144" s="8" t="s">
        <v>1590</v>
      </c>
      <c r="O144" s="8" t="s">
        <v>1610</v>
      </c>
      <c r="P144" s="8" t="s">
        <v>1611</v>
      </c>
      <c r="Q144" s="8" t="s">
        <v>1612</v>
      </c>
      <c r="R144" s="8"/>
      <c r="S144" s="19" t="s">
        <v>1613</v>
      </c>
      <c r="T144" s="8" t="s">
        <v>1614</v>
      </c>
      <c r="U144" s="8"/>
      <c r="V144" s="8" t="n">
        <f aca="false">COUNTA(M144:R144)</f>
        <v>5</v>
      </c>
      <c r="W144" s="8" t="s">
        <v>218</v>
      </c>
      <c r="X144" s="8" t="s">
        <v>218</v>
      </c>
      <c r="Y144" s="8" t="s">
        <v>218</v>
      </c>
      <c r="Z144" s="8"/>
      <c r="AA144" s="8" t="s">
        <v>1615</v>
      </c>
      <c r="AB144" s="20"/>
      <c r="AC144" s="20"/>
      <c r="AD144" s="20"/>
      <c r="AE144" s="8" t="s">
        <v>237</v>
      </c>
      <c r="AF144" s="8" t="s">
        <v>224</v>
      </c>
    </row>
    <row r="145" customFormat="false" ht="15" hidden="false" customHeight="false" outlineLevel="0" collapsed="false">
      <c r="A145" s="8" t="s">
        <v>1616</v>
      </c>
      <c r="B145" s="8" t="s">
        <v>1617</v>
      </c>
      <c r="C145" s="8"/>
      <c r="D145" s="8" t="s">
        <v>206</v>
      </c>
      <c r="E145" s="8" t="s">
        <v>106</v>
      </c>
      <c r="F145" s="8" t="s">
        <v>70</v>
      </c>
      <c r="G145" s="8" t="s">
        <v>207</v>
      </c>
      <c r="H145" s="8" t="s">
        <v>78</v>
      </c>
      <c r="I145" s="8" t="s">
        <v>208</v>
      </c>
      <c r="J145" s="8" t="n">
        <v>2</v>
      </c>
      <c r="K145" s="8" t="n">
        <v>3</v>
      </c>
      <c r="L145" s="18" t="n">
        <f aca="false">INDEX('All Items'!$Q:$Q,MATCH($A145,'All Items'!$A:$A,0))</f>
        <v>6.65</v>
      </c>
      <c r="M145" s="8" t="s">
        <v>995</v>
      </c>
      <c r="N145" s="8" t="s">
        <v>1618</v>
      </c>
      <c r="O145" s="8" t="s">
        <v>1619</v>
      </c>
      <c r="P145" s="8" t="s">
        <v>1620</v>
      </c>
      <c r="Q145" s="8" t="s">
        <v>1621</v>
      </c>
      <c r="R145" s="8" t="s">
        <v>1622</v>
      </c>
      <c r="S145" s="19" t="s">
        <v>1623</v>
      </c>
      <c r="T145" s="8" t="s">
        <v>1624</v>
      </c>
      <c r="U145" s="8" t="s">
        <v>1619</v>
      </c>
      <c r="V145" s="8" t="n">
        <f aca="false">COUNTA(M145:R145)</f>
        <v>6</v>
      </c>
      <c r="W145" s="8" t="s">
        <v>259</v>
      </c>
      <c r="X145" s="8" t="s">
        <v>218</v>
      </c>
      <c r="Y145" s="8" t="s">
        <v>218</v>
      </c>
      <c r="Z145" s="8"/>
      <c r="AA145" s="8" t="s">
        <v>1625</v>
      </c>
      <c r="AB145" s="20" t="s">
        <v>1626</v>
      </c>
      <c r="AC145" s="20" t="s">
        <v>516</v>
      </c>
      <c r="AD145" s="20" t="s">
        <v>1627</v>
      </c>
      <c r="AE145" s="8" t="s">
        <v>223</v>
      </c>
      <c r="AF145" s="8" t="s">
        <v>224</v>
      </c>
    </row>
    <row r="146" customFormat="false" ht="15" hidden="false" customHeight="false" outlineLevel="0" collapsed="false">
      <c r="A146" s="8" t="s">
        <v>1628</v>
      </c>
      <c r="B146" s="8" t="s">
        <v>1629</v>
      </c>
      <c r="C146" s="8"/>
      <c r="D146" s="8" t="s">
        <v>206</v>
      </c>
      <c r="E146" s="8" t="s">
        <v>106</v>
      </c>
      <c r="F146" s="8" t="s">
        <v>70</v>
      </c>
      <c r="G146" s="8" t="s">
        <v>207</v>
      </c>
      <c r="H146" s="8" t="s">
        <v>85</v>
      </c>
      <c r="I146" s="8" t="s">
        <v>208</v>
      </c>
      <c r="J146" s="8" t="n">
        <v>1</v>
      </c>
      <c r="K146" s="8" t="n">
        <v>4</v>
      </c>
      <c r="L146" s="18" t="n">
        <f aca="false">INDEX('All Items'!$Q:$Q,MATCH($A146,'All Items'!$A:$A,0))</f>
        <v>8.7</v>
      </c>
      <c r="M146" s="8" t="s">
        <v>251</v>
      </c>
      <c r="N146" s="8" t="s">
        <v>509</v>
      </c>
      <c r="O146" s="8" t="s">
        <v>852</v>
      </c>
      <c r="P146" s="8" t="s">
        <v>488</v>
      </c>
      <c r="Q146" s="8" t="s">
        <v>1630</v>
      </c>
      <c r="R146" s="8" t="s">
        <v>1631</v>
      </c>
      <c r="S146" s="19" t="s">
        <v>1632</v>
      </c>
      <c r="T146" s="8" t="s">
        <v>1633</v>
      </c>
      <c r="U146" s="8"/>
      <c r="V146" s="8" t="n">
        <f aca="false">COUNTA(M146:R146)</f>
        <v>6</v>
      </c>
      <c r="W146" s="8" t="s">
        <v>218</v>
      </c>
      <c r="X146" s="8" t="s">
        <v>218</v>
      </c>
      <c r="Y146" s="8" t="s">
        <v>218</v>
      </c>
      <c r="Z146" s="8"/>
      <c r="AA146" s="8" t="s">
        <v>1634</v>
      </c>
      <c r="AB146" s="20" t="s">
        <v>1635</v>
      </c>
      <c r="AC146" s="20" t="s">
        <v>221</v>
      </c>
      <c r="AD146" s="20" t="s">
        <v>1636</v>
      </c>
      <c r="AE146" s="8" t="s">
        <v>223</v>
      </c>
      <c r="AF146" s="8" t="s">
        <v>224</v>
      </c>
    </row>
    <row r="147" customFormat="false" ht="15" hidden="false" customHeight="false" outlineLevel="0" collapsed="false">
      <c r="A147" s="8" t="s">
        <v>1637</v>
      </c>
      <c r="B147" s="8" t="s">
        <v>1638</v>
      </c>
      <c r="C147" s="8"/>
      <c r="D147" s="8" t="s">
        <v>206</v>
      </c>
      <c r="E147" s="8" t="s">
        <v>106</v>
      </c>
      <c r="F147" s="8" t="s">
        <v>70</v>
      </c>
      <c r="G147" s="8" t="s">
        <v>207</v>
      </c>
      <c r="H147" s="8" t="s">
        <v>81</v>
      </c>
      <c r="I147" s="8" t="s">
        <v>208</v>
      </c>
      <c r="J147" s="8" t="n">
        <v>1</v>
      </c>
      <c r="K147" s="8" t="n">
        <v>5</v>
      </c>
      <c r="L147" s="18" t="n">
        <f aca="false">INDEX('All Items'!$Q:$Q,MATCH($A147,'All Items'!$A:$A,0))</f>
        <v>9.75</v>
      </c>
      <c r="M147" s="8" t="s">
        <v>1313</v>
      </c>
      <c r="N147" s="8" t="s">
        <v>1639</v>
      </c>
      <c r="O147" s="8" t="s">
        <v>1640</v>
      </c>
      <c r="P147" s="8" t="s">
        <v>1641</v>
      </c>
      <c r="Q147" s="8" t="s">
        <v>1642</v>
      </c>
      <c r="R147" s="8" t="s">
        <v>1643</v>
      </c>
      <c r="S147" s="19" t="s">
        <v>1644</v>
      </c>
      <c r="T147" s="8" t="s">
        <v>1645</v>
      </c>
      <c r="U147" s="8" t="s">
        <v>1642</v>
      </c>
      <c r="V147" s="8" t="n">
        <f aca="false">COUNTA(M147:R147)</f>
        <v>6</v>
      </c>
      <c r="W147" s="8" t="s">
        <v>218</v>
      </c>
      <c r="X147" s="8" t="s">
        <v>218</v>
      </c>
      <c r="Y147" s="8" t="s">
        <v>218</v>
      </c>
      <c r="Z147" s="8"/>
      <c r="AA147" s="8" t="s">
        <v>1646</v>
      </c>
      <c r="AB147" s="20"/>
      <c r="AC147" s="20"/>
      <c r="AD147" s="20"/>
      <c r="AE147" s="8" t="s">
        <v>237</v>
      </c>
      <c r="AF147" s="8" t="s">
        <v>224</v>
      </c>
    </row>
    <row r="148" customFormat="false" ht="15" hidden="false" customHeight="false" outlineLevel="0" collapsed="false">
      <c r="A148" s="8" t="s">
        <v>1647</v>
      </c>
      <c r="B148" s="8" t="s">
        <v>1648</v>
      </c>
      <c r="C148" s="8"/>
      <c r="D148" s="8" t="s">
        <v>206</v>
      </c>
      <c r="E148" s="8" t="s">
        <v>106</v>
      </c>
      <c r="F148" s="8" t="s">
        <v>70</v>
      </c>
      <c r="G148" s="8" t="s">
        <v>207</v>
      </c>
      <c r="H148" s="8" t="s">
        <v>81</v>
      </c>
      <c r="I148" s="8" t="s">
        <v>273</v>
      </c>
      <c r="J148" s="8" t="n">
        <v>1</v>
      </c>
      <c r="K148" s="8" t="n">
        <v>4</v>
      </c>
      <c r="L148" s="18" t="n">
        <f aca="false">INDEX('All Items'!$Q:$Q,MATCH($A148,'All Items'!$A:$A,0))</f>
        <v>8.2</v>
      </c>
      <c r="M148" s="8" t="s">
        <v>791</v>
      </c>
      <c r="N148" s="8" t="s">
        <v>1590</v>
      </c>
      <c r="O148" s="8" t="s">
        <v>960</v>
      </c>
      <c r="P148" s="8" t="s">
        <v>1649</v>
      </c>
      <c r="Q148" s="8" t="s">
        <v>1650</v>
      </c>
      <c r="R148" s="8"/>
      <c r="S148" s="19" t="s">
        <v>1651</v>
      </c>
      <c r="T148" s="8" t="s">
        <v>1652</v>
      </c>
      <c r="U148" s="8"/>
      <c r="V148" s="8" t="n">
        <f aca="false">COUNTA(M148:R148)</f>
        <v>5</v>
      </c>
      <c r="W148" s="8" t="s">
        <v>218</v>
      </c>
      <c r="X148" s="8" t="s">
        <v>218</v>
      </c>
      <c r="Y148" s="8" t="s">
        <v>218</v>
      </c>
      <c r="Z148" s="8"/>
      <c r="AA148" s="8" t="s">
        <v>1653</v>
      </c>
      <c r="AB148" s="20" t="s">
        <v>1654</v>
      </c>
      <c r="AC148" s="20" t="s">
        <v>221</v>
      </c>
      <c r="AD148" s="20" t="s">
        <v>1655</v>
      </c>
      <c r="AE148" s="8" t="s">
        <v>223</v>
      </c>
      <c r="AF148" s="8" t="s">
        <v>224</v>
      </c>
    </row>
    <row r="149" customFormat="false" ht="15" hidden="false" customHeight="false" outlineLevel="0" collapsed="false">
      <c r="A149" s="8" t="s">
        <v>1656</v>
      </c>
      <c r="B149" s="8" t="s">
        <v>1657</v>
      </c>
      <c r="C149" s="8"/>
      <c r="D149" s="8" t="s">
        <v>206</v>
      </c>
      <c r="E149" s="8" t="s">
        <v>106</v>
      </c>
      <c r="F149" s="8" t="s">
        <v>70</v>
      </c>
      <c r="G149" s="8" t="s">
        <v>207</v>
      </c>
      <c r="H149" s="8" t="s">
        <v>82</v>
      </c>
      <c r="I149" s="8" t="s">
        <v>273</v>
      </c>
      <c r="J149" s="8" t="n">
        <v>2</v>
      </c>
      <c r="K149" s="8" t="n">
        <v>3</v>
      </c>
      <c r="L149" s="18" t="n">
        <f aca="false">INDEX('All Items'!$Q:$Q,MATCH($A149,'All Items'!$A:$A,0))</f>
        <v>6.65</v>
      </c>
      <c r="M149" s="8" t="s">
        <v>251</v>
      </c>
      <c r="N149" s="8" t="s">
        <v>1658</v>
      </c>
      <c r="O149" s="8" t="s">
        <v>1659</v>
      </c>
      <c r="P149" s="8" t="s">
        <v>1660</v>
      </c>
      <c r="Q149" s="8" t="s">
        <v>1661</v>
      </c>
      <c r="R149" s="8" t="s">
        <v>1662</v>
      </c>
      <c r="S149" s="19" t="s">
        <v>1663</v>
      </c>
      <c r="T149" s="8" t="s">
        <v>1664</v>
      </c>
      <c r="U149" s="8"/>
      <c r="V149" s="8" t="n">
        <f aca="false">COUNTA(M149:R149)</f>
        <v>6</v>
      </c>
      <c r="W149" s="8" t="s">
        <v>259</v>
      </c>
      <c r="X149" s="8" t="s">
        <v>218</v>
      </c>
      <c r="Y149" s="8" t="s">
        <v>218</v>
      </c>
      <c r="Z149" s="8"/>
      <c r="AA149" s="8" t="s">
        <v>1665</v>
      </c>
      <c r="AB149" s="20"/>
      <c r="AC149" s="20"/>
      <c r="AD149" s="20"/>
      <c r="AE149" s="8" t="s">
        <v>237</v>
      </c>
      <c r="AF149" s="8" t="s">
        <v>224</v>
      </c>
    </row>
    <row r="150" customFormat="false" ht="15" hidden="false" customHeight="false" outlineLevel="0" collapsed="false">
      <c r="A150" s="8" t="s">
        <v>1666</v>
      </c>
      <c r="B150" s="8" t="s">
        <v>1667</v>
      </c>
      <c r="C150" s="8"/>
      <c r="D150" s="8" t="s">
        <v>206</v>
      </c>
      <c r="E150" s="8" t="s">
        <v>106</v>
      </c>
      <c r="F150" s="8" t="s">
        <v>70</v>
      </c>
      <c r="G150" s="8" t="s">
        <v>207</v>
      </c>
      <c r="H150" s="8" t="s">
        <v>86</v>
      </c>
      <c r="I150" s="8" t="s">
        <v>227</v>
      </c>
      <c r="J150" s="8" t="n">
        <v>2</v>
      </c>
      <c r="K150" s="8" t="n">
        <v>3</v>
      </c>
      <c r="L150" s="18" t="n">
        <f aca="false">INDEX('All Items'!$Q:$Q,MATCH($A150,'All Items'!$A:$A,0))</f>
        <v>7.4</v>
      </c>
      <c r="M150" s="8" t="s">
        <v>1668</v>
      </c>
      <c r="N150" s="8" t="s">
        <v>1669</v>
      </c>
      <c r="O150" s="8" t="s">
        <v>812</v>
      </c>
      <c r="P150" s="8" t="s">
        <v>1670</v>
      </c>
      <c r="Q150" s="8" t="s">
        <v>1671</v>
      </c>
      <c r="R150" s="8" t="s">
        <v>1593</v>
      </c>
      <c r="S150" s="19" t="s">
        <v>1672</v>
      </c>
      <c r="T150" s="8" t="s">
        <v>1673</v>
      </c>
      <c r="U150" s="8"/>
      <c r="V150" s="8" t="n">
        <f aca="false">COUNTA(M150:R150)</f>
        <v>6</v>
      </c>
      <c r="W150" s="8" t="s">
        <v>259</v>
      </c>
      <c r="X150" s="8" t="s">
        <v>218</v>
      </c>
      <c r="Y150" s="8" t="s">
        <v>218</v>
      </c>
      <c r="Z150" s="8"/>
      <c r="AA150" s="8" t="s">
        <v>1674</v>
      </c>
      <c r="AB150" s="20" t="s">
        <v>1675</v>
      </c>
      <c r="AC150" s="20" t="s">
        <v>221</v>
      </c>
      <c r="AD150" s="20" t="s">
        <v>1676</v>
      </c>
      <c r="AE150" s="8" t="s">
        <v>223</v>
      </c>
      <c r="AF150" s="8" t="s">
        <v>224</v>
      </c>
    </row>
    <row r="151" customFormat="false" ht="15" hidden="false" customHeight="false" outlineLevel="0" collapsed="false">
      <c r="A151" s="8" t="s">
        <v>1677</v>
      </c>
      <c r="B151" s="8" t="s">
        <v>1678</v>
      </c>
      <c r="C151" s="8"/>
      <c r="D151" s="8" t="s">
        <v>206</v>
      </c>
      <c r="E151" s="8" t="s">
        <v>106</v>
      </c>
      <c r="F151" s="8" t="s">
        <v>70</v>
      </c>
      <c r="G151" s="8" t="s">
        <v>207</v>
      </c>
      <c r="H151" s="8" t="s">
        <v>86</v>
      </c>
      <c r="I151" s="8" t="s">
        <v>273</v>
      </c>
      <c r="J151" s="8" t="n">
        <v>2</v>
      </c>
      <c r="K151" s="8" t="n">
        <v>3</v>
      </c>
      <c r="L151" s="18" t="n">
        <f aca="false">INDEX('All Items'!$Q:$Q,MATCH($A151,'All Items'!$A:$A,0))</f>
        <v>6.65</v>
      </c>
      <c r="M151" s="8" t="s">
        <v>1590</v>
      </c>
      <c r="N151" s="8" t="s">
        <v>1679</v>
      </c>
      <c r="O151" s="8" t="s">
        <v>1680</v>
      </c>
      <c r="P151" s="8" t="s">
        <v>742</v>
      </c>
      <c r="Q151" s="8" t="s">
        <v>1681</v>
      </c>
      <c r="R151" s="8"/>
      <c r="S151" s="19" t="s">
        <v>1682</v>
      </c>
      <c r="T151" s="8" t="s">
        <v>1683</v>
      </c>
      <c r="U151" s="8"/>
      <c r="V151" s="8" t="n">
        <f aca="false">COUNTA(M151:R151)</f>
        <v>5</v>
      </c>
      <c r="W151" s="8" t="s">
        <v>259</v>
      </c>
      <c r="X151" s="8" t="s">
        <v>218</v>
      </c>
      <c r="Y151" s="8" t="s">
        <v>218</v>
      </c>
      <c r="Z151" s="8"/>
      <c r="AA151" s="8" t="s">
        <v>1684</v>
      </c>
      <c r="AB151" s="20"/>
      <c r="AC151" s="20"/>
      <c r="AD151" s="20"/>
      <c r="AE151" s="8" t="s">
        <v>237</v>
      </c>
      <c r="AF151" s="8" t="s">
        <v>224</v>
      </c>
    </row>
    <row r="152" customFormat="false" ht="15" hidden="false" customHeight="false" outlineLevel="0" collapsed="false">
      <c r="A152" s="8" t="s">
        <v>1685</v>
      </c>
      <c r="B152" s="8" t="s">
        <v>1686</v>
      </c>
      <c r="C152" s="8"/>
      <c r="D152" s="8" t="s">
        <v>206</v>
      </c>
      <c r="E152" s="8" t="s">
        <v>106</v>
      </c>
      <c r="F152" s="8" t="s">
        <v>70</v>
      </c>
      <c r="G152" s="8" t="s">
        <v>207</v>
      </c>
      <c r="H152" s="8" t="s">
        <v>86</v>
      </c>
      <c r="I152" s="8" t="s">
        <v>273</v>
      </c>
      <c r="J152" s="8" t="n">
        <v>2</v>
      </c>
      <c r="K152" s="8" t="n">
        <v>3</v>
      </c>
      <c r="L152" s="18" t="n">
        <f aca="false">INDEX('All Items'!$Q:$Q,MATCH($A152,'All Items'!$A:$A,0))</f>
        <v>6.9</v>
      </c>
      <c r="M152" s="8" t="s">
        <v>251</v>
      </c>
      <c r="N152" s="8" t="s">
        <v>1590</v>
      </c>
      <c r="O152" s="8" t="s">
        <v>1687</v>
      </c>
      <c r="P152" s="8" t="s">
        <v>1688</v>
      </c>
      <c r="Q152" s="8" t="s">
        <v>1593</v>
      </c>
      <c r="R152" s="8"/>
      <c r="S152" s="19" t="s">
        <v>1689</v>
      </c>
      <c r="T152" s="8" t="s">
        <v>1690</v>
      </c>
      <c r="U152" s="8"/>
      <c r="V152" s="8" t="n">
        <f aca="false">COUNTA(M152:R152)</f>
        <v>5</v>
      </c>
      <c r="W152" s="8" t="s">
        <v>259</v>
      </c>
      <c r="X152" s="8" t="s">
        <v>218</v>
      </c>
      <c r="Y152" s="8" t="s">
        <v>218</v>
      </c>
      <c r="Z152" s="8"/>
      <c r="AA152" s="8" t="s">
        <v>1691</v>
      </c>
      <c r="AB152" s="20"/>
      <c r="AC152" s="20"/>
      <c r="AD152" s="20"/>
      <c r="AE152" s="8" t="s">
        <v>237</v>
      </c>
      <c r="AF152" s="8" t="s">
        <v>224</v>
      </c>
    </row>
    <row r="153" customFormat="false" ht="15" hidden="false" customHeight="false" outlineLevel="0" collapsed="false">
      <c r="A153" s="8" t="s">
        <v>1692</v>
      </c>
      <c r="B153" s="8" t="s">
        <v>1693</v>
      </c>
      <c r="C153" s="8"/>
      <c r="D153" s="8" t="s">
        <v>206</v>
      </c>
      <c r="E153" s="8" t="s">
        <v>106</v>
      </c>
      <c r="F153" s="8" t="s">
        <v>70</v>
      </c>
      <c r="G153" s="8" t="s">
        <v>207</v>
      </c>
      <c r="H153" s="8" t="s">
        <v>80</v>
      </c>
      <c r="I153" s="8" t="s">
        <v>227</v>
      </c>
      <c r="J153" s="8" t="n">
        <v>1</v>
      </c>
      <c r="K153" s="8" t="n">
        <v>4</v>
      </c>
      <c r="L153" s="18" t="n">
        <f aca="false">INDEX('All Items'!$Q:$Q,MATCH($A153,'All Items'!$A:$A,0))</f>
        <v>8.7</v>
      </c>
      <c r="M153" s="8" t="s">
        <v>324</v>
      </c>
      <c r="N153" s="8" t="s">
        <v>700</v>
      </c>
      <c r="O153" s="8" t="s">
        <v>1694</v>
      </c>
      <c r="P153" s="8" t="s">
        <v>1695</v>
      </c>
      <c r="Q153" s="8" t="s">
        <v>1696</v>
      </c>
      <c r="R153" s="8" t="s">
        <v>1697</v>
      </c>
      <c r="S153" s="19" t="s">
        <v>1698</v>
      </c>
      <c r="T153" s="8" t="s">
        <v>1699</v>
      </c>
      <c r="U153" s="8"/>
      <c r="V153" s="8" t="n">
        <f aca="false">COUNTA(M153:R153)</f>
        <v>6</v>
      </c>
      <c r="W153" s="8" t="s">
        <v>218</v>
      </c>
      <c r="X153" s="8" t="s">
        <v>218</v>
      </c>
      <c r="Y153" s="8" t="s">
        <v>218</v>
      </c>
      <c r="Z153" s="8"/>
      <c r="AA153" s="8" t="s">
        <v>1700</v>
      </c>
      <c r="AB153" s="20"/>
      <c r="AC153" s="20"/>
      <c r="AD153" s="20"/>
      <c r="AE153" s="8" t="s">
        <v>237</v>
      </c>
      <c r="AF153" s="8" t="s">
        <v>224</v>
      </c>
    </row>
    <row r="154" customFormat="false" ht="15" hidden="false" customHeight="false" outlineLevel="0" collapsed="false">
      <c r="A154" s="8" t="s">
        <v>1701</v>
      </c>
      <c r="B154" s="8" t="s">
        <v>1702</v>
      </c>
      <c r="C154" s="8" t="s">
        <v>1703</v>
      </c>
      <c r="D154" s="8" t="s">
        <v>206</v>
      </c>
      <c r="E154" s="8" t="s">
        <v>106</v>
      </c>
      <c r="F154" s="8" t="s">
        <v>70</v>
      </c>
      <c r="G154" s="8" t="s">
        <v>207</v>
      </c>
      <c r="H154" s="8" t="s">
        <v>84</v>
      </c>
      <c r="I154" s="8" t="s">
        <v>227</v>
      </c>
      <c r="J154" s="8" t="n">
        <v>1</v>
      </c>
      <c r="K154" s="8" t="n">
        <v>5</v>
      </c>
      <c r="L154" s="18" t="n">
        <f aca="false">INDEX('All Items'!$Q:$Q,MATCH($A154,'All Items'!$A:$A,0))</f>
        <v>9.5</v>
      </c>
      <c r="M154" s="8" t="s">
        <v>764</v>
      </c>
      <c r="N154" s="8" t="s">
        <v>1704</v>
      </c>
      <c r="O154" s="8" t="s">
        <v>1705</v>
      </c>
      <c r="P154" s="8" t="s">
        <v>1706</v>
      </c>
      <c r="Q154" s="8" t="s">
        <v>1707</v>
      </c>
      <c r="R154" s="8"/>
      <c r="S154" s="19" t="s">
        <v>1708</v>
      </c>
      <c r="T154" s="8" t="s">
        <v>1709</v>
      </c>
      <c r="U154" s="8"/>
      <c r="V154" s="8" t="n">
        <f aca="false">COUNTA(M154:R154)</f>
        <v>5</v>
      </c>
      <c r="W154" s="8" t="s">
        <v>218</v>
      </c>
      <c r="X154" s="8" t="s">
        <v>218</v>
      </c>
      <c r="Y154" s="8" t="s">
        <v>218</v>
      </c>
      <c r="Z154" s="8"/>
      <c r="AA154" s="8" t="s">
        <v>1710</v>
      </c>
      <c r="AB154" s="20" t="s">
        <v>1711</v>
      </c>
      <c r="AC154" s="20" t="s">
        <v>221</v>
      </c>
      <c r="AD154" s="20" t="s">
        <v>1712</v>
      </c>
      <c r="AE154" s="8" t="s">
        <v>223</v>
      </c>
      <c r="AF154" s="8" t="s">
        <v>224</v>
      </c>
    </row>
    <row r="155" customFormat="false" ht="15" hidden="false" customHeight="false" outlineLevel="0" collapsed="false">
      <c r="A155" s="8" t="s">
        <v>1713</v>
      </c>
      <c r="B155" s="8" t="s">
        <v>1714</v>
      </c>
      <c r="C155" s="8"/>
      <c r="D155" s="8" t="s">
        <v>206</v>
      </c>
      <c r="E155" s="8" t="s">
        <v>106</v>
      </c>
      <c r="F155" s="8" t="s">
        <v>70</v>
      </c>
      <c r="G155" s="8" t="s">
        <v>207</v>
      </c>
      <c r="H155" s="8" t="s">
        <v>84</v>
      </c>
      <c r="I155" s="8" t="s">
        <v>227</v>
      </c>
      <c r="J155" s="8" t="n">
        <v>1</v>
      </c>
      <c r="K155" s="8" t="n">
        <v>4</v>
      </c>
      <c r="L155" s="18" t="n">
        <f aca="false">INDEX('All Items'!$Q:$Q,MATCH($A155,'All Items'!$A:$A,0))</f>
        <v>8.45</v>
      </c>
      <c r="M155" s="8" t="s">
        <v>764</v>
      </c>
      <c r="N155" s="8" t="s">
        <v>463</v>
      </c>
      <c r="O155" s="8" t="s">
        <v>1715</v>
      </c>
      <c r="P155" s="8" t="s">
        <v>1716</v>
      </c>
      <c r="Q155" s="8" t="s">
        <v>1717</v>
      </c>
      <c r="R155" s="8" t="s">
        <v>1718</v>
      </c>
      <c r="S155" s="19" t="s">
        <v>1719</v>
      </c>
      <c r="T155" s="8" t="s">
        <v>1720</v>
      </c>
      <c r="U155" s="8"/>
      <c r="V155" s="8" t="n">
        <f aca="false">COUNTA(M155:R155)</f>
        <v>6</v>
      </c>
      <c r="W155" s="8" t="s">
        <v>218</v>
      </c>
      <c r="X155" s="8" t="s">
        <v>218</v>
      </c>
      <c r="Y155" s="8" t="s">
        <v>218</v>
      </c>
      <c r="Z155" s="8"/>
      <c r="AA155" s="8" t="s">
        <v>1721</v>
      </c>
      <c r="AB155" s="20"/>
      <c r="AC155" s="20"/>
      <c r="AD155" s="20"/>
      <c r="AE155" s="8" t="s">
        <v>237</v>
      </c>
      <c r="AF155" s="8" t="s">
        <v>224</v>
      </c>
    </row>
    <row r="156" customFormat="false" ht="15" hidden="false" customHeight="false" outlineLevel="0" collapsed="false">
      <c r="A156" s="8" t="s">
        <v>1722</v>
      </c>
      <c r="B156" s="8" t="s">
        <v>1723</v>
      </c>
      <c r="C156" s="8"/>
      <c r="D156" s="8" t="s">
        <v>206</v>
      </c>
      <c r="E156" s="8" t="s">
        <v>106</v>
      </c>
      <c r="F156" s="8" t="s">
        <v>70</v>
      </c>
      <c r="G156" s="8" t="s">
        <v>207</v>
      </c>
      <c r="H156" s="8" t="s">
        <v>79</v>
      </c>
      <c r="I156" s="8" t="s">
        <v>208</v>
      </c>
      <c r="J156" s="8" t="n">
        <v>2</v>
      </c>
      <c r="K156" s="8" t="n">
        <v>3</v>
      </c>
      <c r="L156" s="18" t="n">
        <f aca="false">INDEX('All Items'!$Q:$Q,MATCH($A156,'All Items'!$A:$A,0))</f>
        <v>7.4</v>
      </c>
      <c r="M156" s="8" t="s">
        <v>1724</v>
      </c>
      <c r="N156" s="8" t="s">
        <v>412</v>
      </c>
      <c r="O156" s="8" t="s">
        <v>1725</v>
      </c>
      <c r="P156" s="8" t="s">
        <v>1726</v>
      </c>
      <c r="Q156" s="8" t="s">
        <v>1727</v>
      </c>
      <c r="R156" s="8" t="s">
        <v>1650</v>
      </c>
      <c r="S156" s="19" t="s">
        <v>1728</v>
      </c>
      <c r="T156" s="8" t="s">
        <v>1729</v>
      </c>
      <c r="U156" s="8"/>
      <c r="V156" s="8" t="n">
        <f aca="false">COUNTA(M156:R156)</f>
        <v>6</v>
      </c>
      <c r="W156" s="8" t="s">
        <v>259</v>
      </c>
      <c r="X156" s="8" t="s">
        <v>218</v>
      </c>
      <c r="Y156" s="8" t="s">
        <v>218</v>
      </c>
      <c r="Z156" s="8"/>
      <c r="AA156" s="8" t="s">
        <v>1730</v>
      </c>
      <c r="AB156" s="20"/>
      <c r="AC156" s="20"/>
      <c r="AD156" s="20"/>
      <c r="AE156" s="8" t="s">
        <v>237</v>
      </c>
      <c r="AF156" s="8" t="s">
        <v>224</v>
      </c>
    </row>
    <row r="157" customFormat="false" ht="15" hidden="false" customHeight="false" outlineLevel="0" collapsed="false">
      <c r="A157" s="8" t="s">
        <v>1731</v>
      </c>
      <c r="B157" s="8" t="s">
        <v>1732</v>
      </c>
      <c r="C157" s="8"/>
      <c r="D157" s="8" t="s">
        <v>206</v>
      </c>
      <c r="E157" s="8" t="s">
        <v>106</v>
      </c>
      <c r="F157" s="8" t="s">
        <v>70</v>
      </c>
      <c r="G157" s="8" t="s">
        <v>207</v>
      </c>
      <c r="H157" s="8" t="s">
        <v>81</v>
      </c>
      <c r="I157" s="8" t="s">
        <v>273</v>
      </c>
      <c r="J157" s="8" t="n">
        <v>2</v>
      </c>
      <c r="K157" s="8" t="n">
        <v>3</v>
      </c>
      <c r="L157" s="18" t="n">
        <f aca="false">INDEX('All Items'!$Q:$Q,MATCH($A157,'All Items'!$A:$A,0))</f>
        <v>6.9</v>
      </c>
      <c r="M157" s="8" t="s">
        <v>443</v>
      </c>
      <c r="N157" s="8" t="s">
        <v>678</v>
      </c>
      <c r="O157" s="8" t="s">
        <v>1733</v>
      </c>
      <c r="P157" s="8" t="s">
        <v>1734</v>
      </c>
      <c r="Q157" s="8" t="s">
        <v>416</v>
      </c>
      <c r="R157" s="8"/>
      <c r="S157" s="19" t="s">
        <v>1735</v>
      </c>
      <c r="T157" s="8" t="s">
        <v>1736</v>
      </c>
      <c r="U157" s="8"/>
      <c r="V157" s="8" t="n">
        <f aca="false">COUNTA(M157:R157)</f>
        <v>5</v>
      </c>
      <c r="W157" s="8" t="s">
        <v>259</v>
      </c>
      <c r="X157" s="8" t="s">
        <v>218</v>
      </c>
      <c r="Y157" s="8" t="s">
        <v>218</v>
      </c>
      <c r="Z157" s="8"/>
      <c r="AA157" s="8" t="s">
        <v>1737</v>
      </c>
      <c r="AB157" s="20"/>
      <c r="AC157" s="20"/>
      <c r="AD157" s="20"/>
      <c r="AE157" s="8" t="s">
        <v>237</v>
      </c>
      <c r="AF157" s="8" t="s">
        <v>224</v>
      </c>
    </row>
    <row r="158" customFormat="false" ht="15" hidden="false" customHeight="false" outlineLevel="0" collapsed="false">
      <c r="A158" s="8" t="s">
        <v>1738</v>
      </c>
      <c r="B158" s="8" t="s">
        <v>1739</v>
      </c>
      <c r="C158" s="8"/>
      <c r="D158" s="8" t="s">
        <v>206</v>
      </c>
      <c r="E158" s="8" t="s">
        <v>119</v>
      </c>
      <c r="F158" s="8" t="s">
        <v>70</v>
      </c>
      <c r="G158" s="8" t="s">
        <v>207</v>
      </c>
      <c r="H158" s="8" t="s">
        <v>78</v>
      </c>
      <c r="I158" s="8" t="s">
        <v>273</v>
      </c>
      <c r="J158" s="8" t="n">
        <v>2</v>
      </c>
      <c r="K158" s="8" t="n">
        <v>3</v>
      </c>
      <c r="L158" s="18" t="n">
        <f aca="false">INDEX('All Items'!$Q:$Q,MATCH($A158,'All Items'!$A:$A,0))</f>
        <v>6.9</v>
      </c>
      <c r="M158" s="8" t="s">
        <v>497</v>
      </c>
      <c r="N158" s="8" t="s">
        <v>1740</v>
      </c>
      <c r="O158" s="8" t="s">
        <v>794</v>
      </c>
      <c r="P158" s="8" t="s">
        <v>1741</v>
      </c>
      <c r="Q158" s="8" t="s">
        <v>1742</v>
      </c>
      <c r="R158" s="8" t="s">
        <v>119</v>
      </c>
      <c r="S158" s="19" t="s">
        <v>1743</v>
      </c>
      <c r="T158" s="8" t="s">
        <v>1744</v>
      </c>
      <c r="U158" s="8"/>
      <c r="V158" s="8" t="n">
        <f aca="false">COUNTA(M158:R158)</f>
        <v>6</v>
      </c>
      <c r="W158" s="8" t="s">
        <v>259</v>
      </c>
      <c r="X158" s="8" t="s">
        <v>218</v>
      </c>
      <c r="Y158" s="8" t="s">
        <v>218</v>
      </c>
      <c r="Z158" s="8"/>
      <c r="AA158" s="8" t="s">
        <v>1745</v>
      </c>
      <c r="AB158" s="20"/>
      <c r="AC158" s="20"/>
      <c r="AD158" s="20"/>
      <c r="AE158" s="8" t="s">
        <v>237</v>
      </c>
      <c r="AF158" s="8" t="s">
        <v>224</v>
      </c>
    </row>
    <row r="159" customFormat="false" ht="15" hidden="false" customHeight="false" outlineLevel="0" collapsed="false">
      <c r="A159" s="8" t="s">
        <v>1746</v>
      </c>
      <c r="B159" s="8" t="s">
        <v>1747</v>
      </c>
      <c r="C159" s="8"/>
      <c r="D159" s="8" t="s">
        <v>206</v>
      </c>
      <c r="E159" s="8" t="s">
        <v>119</v>
      </c>
      <c r="F159" s="8" t="s">
        <v>70</v>
      </c>
      <c r="G159" s="8" t="s">
        <v>207</v>
      </c>
      <c r="H159" s="8" t="s">
        <v>85</v>
      </c>
      <c r="I159" s="8" t="s">
        <v>273</v>
      </c>
      <c r="J159" s="8" t="n">
        <v>2</v>
      </c>
      <c r="K159" s="8" t="n">
        <v>3</v>
      </c>
      <c r="L159" s="18" t="n">
        <f aca="false">INDEX('All Items'!$Q:$Q,MATCH($A159,'All Items'!$A:$A,0))</f>
        <v>6.9</v>
      </c>
      <c r="M159" s="8" t="s">
        <v>1748</v>
      </c>
      <c r="N159" s="8" t="s">
        <v>1749</v>
      </c>
      <c r="O159" s="8" t="s">
        <v>1750</v>
      </c>
      <c r="P159" s="8" t="s">
        <v>1751</v>
      </c>
      <c r="Q159" s="8" t="s">
        <v>1752</v>
      </c>
      <c r="R159" s="8" t="s">
        <v>119</v>
      </c>
      <c r="S159" s="19" t="s">
        <v>1753</v>
      </c>
      <c r="T159" s="8" t="s">
        <v>1754</v>
      </c>
      <c r="U159" s="8"/>
      <c r="V159" s="8" t="n">
        <f aca="false">COUNTA(M159:R159)</f>
        <v>6</v>
      </c>
      <c r="W159" s="8" t="s">
        <v>259</v>
      </c>
      <c r="X159" s="8" t="s">
        <v>218</v>
      </c>
      <c r="Y159" s="8" t="s">
        <v>218</v>
      </c>
      <c r="Z159" s="8"/>
      <c r="AA159" s="8" t="s">
        <v>1755</v>
      </c>
      <c r="AB159" s="20"/>
      <c r="AC159" s="20"/>
      <c r="AD159" s="20"/>
      <c r="AE159" s="8" t="s">
        <v>237</v>
      </c>
      <c r="AF159" s="8" t="s">
        <v>224</v>
      </c>
    </row>
    <row r="160" customFormat="false" ht="15" hidden="false" customHeight="false" outlineLevel="0" collapsed="false">
      <c r="A160" s="8" t="s">
        <v>1756</v>
      </c>
      <c r="B160" s="8" t="s">
        <v>1757</v>
      </c>
      <c r="C160" s="8"/>
      <c r="D160" s="8" t="s">
        <v>206</v>
      </c>
      <c r="E160" s="8" t="s">
        <v>119</v>
      </c>
      <c r="F160" s="8" t="s">
        <v>70</v>
      </c>
      <c r="G160" s="8" t="s">
        <v>207</v>
      </c>
      <c r="H160" s="8" t="s">
        <v>80</v>
      </c>
      <c r="I160" s="8" t="s">
        <v>227</v>
      </c>
      <c r="J160" s="8" t="n">
        <v>1</v>
      </c>
      <c r="K160" s="8" t="n">
        <v>4</v>
      </c>
      <c r="L160" s="18" t="n">
        <f aca="false">INDEX('All Items'!$Q:$Q,MATCH($A160,'All Items'!$A:$A,0))</f>
        <v>8.7</v>
      </c>
      <c r="M160" s="8" t="s">
        <v>1758</v>
      </c>
      <c r="N160" s="8" t="s">
        <v>1759</v>
      </c>
      <c r="O160" s="8" t="s">
        <v>1760</v>
      </c>
      <c r="P160" s="8" t="s">
        <v>1761</v>
      </c>
      <c r="Q160" s="8" t="s">
        <v>119</v>
      </c>
      <c r="R160" s="8" t="s">
        <v>1716</v>
      </c>
      <c r="S160" s="19" t="s">
        <v>1762</v>
      </c>
      <c r="T160" s="8" t="s">
        <v>1716</v>
      </c>
      <c r="U160" s="8" t="s">
        <v>1716</v>
      </c>
      <c r="V160" s="8" t="n">
        <f aca="false">COUNTA(M160:R160)</f>
        <v>6</v>
      </c>
      <c r="W160" s="8" t="s">
        <v>218</v>
      </c>
      <c r="X160" s="8" t="s">
        <v>218</v>
      </c>
      <c r="Y160" s="8" t="s">
        <v>218</v>
      </c>
      <c r="Z160" s="8"/>
      <c r="AA160" s="8" t="s">
        <v>1763</v>
      </c>
      <c r="AB160" s="20"/>
      <c r="AC160" s="20"/>
      <c r="AD160" s="20"/>
      <c r="AE160" s="8" t="s">
        <v>237</v>
      </c>
      <c r="AF160" s="8" t="s">
        <v>224</v>
      </c>
    </row>
    <row r="161" customFormat="false" ht="15" hidden="false" customHeight="false" outlineLevel="0" collapsed="false">
      <c r="A161" s="8" t="s">
        <v>1764</v>
      </c>
      <c r="B161" s="8" t="s">
        <v>1765</v>
      </c>
      <c r="C161" s="8" t="s">
        <v>1766</v>
      </c>
      <c r="D161" s="8" t="s">
        <v>206</v>
      </c>
      <c r="E161" s="8" t="s">
        <v>121</v>
      </c>
      <c r="F161" s="8" t="s">
        <v>70</v>
      </c>
      <c r="G161" s="8" t="s">
        <v>207</v>
      </c>
      <c r="H161" s="8" t="s">
        <v>78</v>
      </c>
      <c r="I161" s="8" t="s">
        <v>208</v>
      </c>
      <c r="J161" s="8" t="n">
        <v>2</v>
      </c>
      <c r="K161" s="8" t="n">
        <v>3</v>
      </c>
      <c r="L161" s="18" t="n">
        <f aca="false">INDEX('All Items'!$Q:$Q,MATCH($A161,'All Items'!$A:$A,0))</f>
        <v>7.4</v>
      </c>
      <c r="M161" s="8" t="s">
        <v>1590</v>
      </c>
      <c r="N161" s="8" t="s">
        <v>741</v>
      </c>
      <c r="O161" s="8" t="s">
        <v>1767</v>
      </c>
      <c r="P161" s="8" t="s">
        <v>1113</v>
      </c>
      <c r="Q161" s="8" t="s">
        <v>1610</v>
      </c>
      <c r="R161" s="8" t="s">
        <v>1768</v>
      </c>
      <c r="S161" s="19" t="s">
        <v>1769</v>
      </c>
      <c r="T161" s="8" t="s">
        <v>1770</v>
      </c>
      <c r="U161" s="8"/>
      <c r="V161" s="8" t="n">
        <f aca="false">COUNTA(M161:R161)</f>
        <v>6</v>
      </c>
      <c r="W161" s="8" t="s">
        <v>259</v>
      </c>
      <c r="X161" s="8" t="s">
        <v>218</v>
      </c>
      <c r="Y161" s="8" t="s">
        <v>218</v>
      </c>
      <c r="Z161" s="8"/>
      <c r="AA161" s="8" t="s">
        <v>1771</v>
      </c>
      <c r="AB161" s="20"/>
      <c r="AC161" s="20"/>
      <c r="AD161" s="20"/>
      <c r="AE161" s="8" t="s">
        <v>237</v>
      </c>
      <c r="AF161" s="8" t="s">
        <v>224</v>
      </c>
    </row>
    <row r="162" customFormat="false" ht="15" hidden="false" customHeight="false" outlineLevel="0" collapsed="false">
      <c r="A162" s="8" t="s">
        <v>1772</v>
      </c>
      <c r="B162" s="8" t="s">
        <v>1773</v>
      </c>
      <c r="C162" s="8"/>
      <c r="D162" s="8" t="s">
        <v>206</v>
      </c>
      <c r="E162" s="8" t="s">
        <v>121</v>
      </c>
      <c r="F162" s="8" t="s">
        <v>70</v>
      </c>
      <c r="G162" s="8" t="s">
        <v>207</v>
      </c>
      <c r="H162" s="8" t="s">
        <v>84</v>
      </c>
      <c r="I162" s="8" t="s">
        <v>273</v>
      </c>
      <c r="J162" s="8" t="n">
        <v>2</v>
      </c>
      <c r="K162" s="8" t="n">
        <v>3</v>
      </c>
      <c r="L162" s="18" t="n">
        <f aca="false">INDEX('All Items'!$Q:$Q,MATCH($A162,'All Items'!$A:$A,0))</f>
        <v>7.4</v>
      </c>
      <c r="M162" s="8" t="s">
        <v>586</v>
      </c>
      <c r="N162" s="8" t="s">
        <v>861</v>
      </c>
      <c r="O162" s="8" t="s">
        <v>1774</v>
      </c>
      <c r="P162" s="8" t="s">
        <v>1775</v>
      </c>
      <c r="Q162" s="8" t="s">
        <v>1088</v>
      </c>
      <c r="R162" s="8" t="s">
        <v>121</v>
      </c>
      <c r="S162" s="19" t="s">
        <v>1776</v>
      </c>
      <c r="T162" s="8" t="s">
        <v>1777</v>
      </c>
      <c r="U162" s="8"/>
      <c r="V162" s="8" t="n">
        <f aca="false">COUNTA(M162:R162)</f>
        <v>6</v>
      </c>
      <c r="W162" s="8" t="s">
        <v>259</v>
      </c>
      <c r="X162" s="8" t="s">
        <v>218</v>
      </c>
      <c r="Y162" s="8" t="s">
        <v>218</v>
      </c>
      <c r="Z162" s="8"/>
      <c r="AA162" s="8" t="s">
        <v>1778</v>
      </c>
      <c r="AB162" s="20"/>
      <c r="AC162" s="20"/>
      <c r="AD162" s="20"/>
      <c r="AE162" s="8" t="s">
        <v>237</v>
      </c>
      <c r="AF162" s="8" t="s">
        <v>224</v>
      </c>
    </row>
    <row r="163" customFormat="false" ht="15" hidden="false" customHeight="false" outlineLevel="0" collapsed="false">
      <c r="A163" s="8" t="s">
        <v>1779</v>
      </c>
      <c r="B163" s="8" t="s">
        <v>1780</v>
      </c>
      <c r="C163" s="8"/>
      <c r="D163" s="8" t="s">
        <v>206</v>
      </c>
      <c r="E163" s="8" t="s">
        <v>122</v>
      </c>
      <c r="F163" s="8" t="s">
        <v>70</v>
      </c>
      <c r="G163" s="8" t="s">
        <v>207</v>
      </c>
      <c r="H163" s="8" t="s">
        <v>79</v>
      </c>
      <c r="I163" s="8" t="s">
        <v>208</v>
      </c>
      <c r="J163" s="8" t="n">
        <v>1</v>
      </c>
      <c r="K163" s="8" t="n">
        <v>5</v>
      </c>
      <c r="L163" s="18" t="n">
        <f aca="false">INDEX('All Items'!$Q:$Q,MATCH($A163,'All Items'!$A:$A,0))</f>
        <v>10</v>
      </c>
      <c r="M163" s="8" t="s">
        <v>1781</v>
      </c>
      <c r="N163" s="8" t="s">
        <v>618</v>
      </c>
      <c r="O163" s="8" t="s">
        <v>213</v>
      </c>
      <c r="P163" s="8" t="s">
        <v>1782</v>
      </c>
      <c r="Q163" s="8" t="s">
        <v>1783</v>
      </c>
      <c r="R163" s="8" t="s">
        <v>1784</v>
      </c>
      <c r="S163" s="19" t="s">
        <v>1785</v>
      </c>
      <c r="T163" s="8" t="s">
        <v>1786</v>
      </c>
      <c r="U163" s="8"/>
      <c r="V163" s="8" t="n">
        <f aca="false">COUNTA(M163:R163)</f>
        <v>6</v>
      </c>
      <c r="W163" s="8" t="s">
        <v>218</v>
      </c>
      <c r="X163" s="8" t="s">
        <v>218</v>
      </c>
      <c r="Y163" s="8" t="s">
        <v>259</v>
      </c>
      <c r="Z163" s="8" t="s">
        <v>1787</v>
      </c>
      <c r="AA163" s="8" t="s">
        <v>1788</v>
      </c>
      <c r="AB163" s="20"/>
      <c r="AC163" s="20"/>
      <c r="AD163" s="20"/>
      <c r="AE163" s="8" t="s">
        <v>237</v>
      </c>
      <c r="AF163" s="8" t="s">
        <v>224</v>
      </c>
    </row>
    <row r="164" customFormat="false" ht="15" hidden="false" customHeight="false" outlineLevel="0" collapsed="false">
      <c r="A164" s="8" t="s">
        <v>1789</v>
      </c>
      <c r="B164" s="8" t="s">
        <v>1790</v>
      </c>
      <c r="C164" s="8"/>
      <c r="D164" s="8" t="s">
        <v>206</v>
      </c>
      <c r="E164" s="8" t="s">
        <v>122</v>
      </c>
      <c r="F164" s="8" t="s">
        <v>70</v>
      </c>
      <c r="G164" s="8" t="s">
        <v>207</v>
      </c>
      <c r="H164" s="8" t="s">
        <v>83</v>
      </c>
      <c r="I164" s="8" t="s">
        <v>208</v>
      </c>
      <c r="J164" s="8" t="n">
        <v>1</v>
      </c>
      <c r="K164" s="8" t="n">
        <v>4</v>
      </c>
      <c r="L164" s="18" t="n">
        <f aca="false">INDEX('All Items'!$Q:$Q,MATCH($A164,'All Items'!$A:$A,0))</f>
        <v>8.7</v>
      </c>
      <c r="M164" s="8" t="s">
        <v>1104</v>
      </c>
      <c r="N164" s="8" t="s">
        <v>213</v>
      </c>
      <c r="O164" s="8" t="s">
        <v>1791</v>
      </c>
      <c r="P164" s="8" t="s">
        <v>1792</v>
      </c>
      <c r="Q164" s="8" t="s">
        <v>1793</v>
      </c>
      <c r="R164" s="8" t="s">
        <v>1794</v>
      </c>
      <c r="S164" s="19" t="s">
        <v>1795</v>
      </c>
      <c r="T164" s="8" t="s">
        <v>1796</v>
      </c>
      <c r="U164" s="8"/>
      <c r="V164" s="8" t="n">
        <f aca="false">COUNTA(M164:R164)</f>
        <v>6</v>
      </c>
      <c r="W164" s="8" t="s">
        <v>218</v>
      </c>
      <c r="X164" s="8" t="s">
        <v>218</v>
      </c>
      <c r="Y164" s="8" t="s">
        <v>259</v>
      </c>
      <c r="Z164" s="8" t="s">
        <v>1797</v>
      </c>
      <c r="AA164" s="8" t="s">
        <v>1798</v>
      </c>
      <c r="AB164" s="20"/>
      <c r="AC164" s="20"/>
      <c r="AD164" s="20"/>
      <c r="AE164" s="8" t="s">
        <v>237</v>
      </c>
      <c r="AF164" s="8" t="s">
        <v>224</v>
      </c>
    </row>
    <row r="165" customFormat="false" ht="15" hidden="false" customHeight="false" outlineLevel="0" collapsed="false">
      <c r="A165" s="8" t="s">
        <v>1799</v>
      </c>
      <c r="B165" s="8" t="s">
        <v>1800</v>
      </c>
      <c r="C165" s="8"/>
      <c r="D165" s="8" t="s">
        <v>206</v>
      </c>
      <c r="E165" s="8" t="s">
        <v>122</v>
      </c>
      <c r="F165" s="8" t="s">
        <v>70</v>
      </c>
      <c r="G165" s="8" t="s">
        <v>207</v>
      </c>
      <c r="H165" s="8" t="s">
        <v>79</v>
      </c>
      <c r="I165" s="8" t="s">
        <v>227</v>
      </c>
      <c r="J165" s="8" t="n">
        <v>2</v>
      </c>
      <c r="K165" s="8" t="n">
        <v>3</v>
      </c>
      <c r="L165" s="18" t="n">
        <f aca="false">INDEX('All Items'!$Q:$Q,MATCH($A165,'All Items'!$A:$A,0))</f>
        <v>7.15</v>
      </c>
      <c r="M165" s="8" t="s">
        <v>764</v>
      </c>
      <c r="N165" s="8" t="s">
        <v>477</v>
      </c>
      <c r="O165" s="8" t="s">
        <v>1801</v>
      </c>
      <c r="P165" s="8" t="s">
        <v>861</v>
      </c>
      <c r="Q165" s="8" t="s">
        <v>1802</v>
      </c>
      <c r="R165" s="8" t="s">
        <v>1803</v>
      </c>
      <c r="S165" s="19" t="s">
        <v>1804</v>
      </c>
      <c r="T165" s="8" t="s">
        <v>1805</v>
      </c>
      <c r="U165" s="8"/>
      <c r="V165" s="8" t="n">
        <f aca="false">COUNTA(M165:R165)</f>
        <v>6</v>
      </c>
      <c r="W165" s="8" t="s">
        <v>259</v>
      </c>
      <c r="X165" s="8" t="s">
        <v>218</v>
      </c>
      <c r="Y165" s="8" t="s">
        <v>218</v>
      </c>
      <c r="Z165" s="8"/>
      <c r="AA165" s="8" t="s">
        <v>1806</v>
      </c>
      <c r="AB165" s="20"/>
      <c r="AC165" s="20"/>
      <c r="AD165" s="20"/>
      <c r="AE165" s="8" t="s">
        <v>237</v>
      </c>
      <c r="AF165" s="8" t="s">
        <v>224</v>
      </c>
    </row>
    <row r="166" customFormat="false" ht="15" hidden="false" customHeight="false" outlineLevel="0" collapsed="false">
      <c r="A166" s="8" t="s">
        <v>1807</v>
      </c>
      <c r="B166" s="8" t="s">
        <v>1808</v>
      </c>
      <c r="C166" s="8"/>
      <c r="D166" s="8" t="s">
        <v>206</v>
      </c>
      <c r="E166" s="8" t="s">
        <v>127</v>
      </c>
      <c r="F166" s="8" t="s">
        <v>70</v>
      </c>
      <c r="G166" s="8" t="s">
        <v>207</v>
      </c>
      <c r="H166" s="8" t="s">
        <v>78</v>
      </c>
      <c r="I166" s="8" t="s">
        <v>208</v>
      </c>
      <c r="J166" s="8" t="n">
        <v>2</v>
      </c>
      <c r="K166" s="8" t="n">
        <v>3</v>
      </c>
      <c r="L166" s="18" t="n">
        <f aca="false">INDEX('All Items'!$Q:$Q,MATCH($A166,'All Items'!$A:$A,0))</f>
        <v>6.9</v>
      </c>
      <c r="M166" s="8" t="s">
        <v>1809</v>
      </c>
      <c r="N166" s="8" t="s">
        <v>1810</v>
      </c>
      <c r="O166" s="8" t="s">
        <v>1811</v>
      </c>
      <c r="P166" s="8" t="s">
        <v>1812</v>
      </c>
      <c r="Q166" s="8" t="s">
        <v>1813</v>
      </c>
      <c r="R166" s="8" t="s">
        <v>1814</v>
      </c>
      <c r="S166" s="19" t="s">
        <v>1815</v>
      </c>
      <c r="T166" s="8" t="s">
        <v>1816</v>
      </c>
      <c r="U166" s="8" t="s">
        <v>1817</v>
      </c>
      <c r="V166" s="8" t="n">
        <f aca="false">COUNTA(M166:R166)</f>
        <v>6</v>
      </c>
      <c r="W166" s="8" t="s">
        <v>259</v>
      </c>
      <c r="X166" s="8" t="s">
        <v>218</v>
      </c>
      <c r="Y166" s="8" t="s">
        <v>218</v>
      </c>
      <c r="Z166" s="8"/>
      <c r="AA166" s="8" t="s">
        <v>1818</v>
      </c>
      <c r="AB166" s="20"/>
      <c r="AC166" s="20"/>
      <c r="AD166" s="20"/>
      <c r="AE166" s="8" t="s">
        <v>237</v>
      </c>
      <c r="AF166" s="8" t="s">
        <v>224</v>
      </c>
    </row>
    <row r="167" customFormat="false" ht="15" hidden="false" customHeight="false" outlineLevel="0" collapsed="false">
      <c r="A167" s="8" t="s">
        <v>1819</v>
      </c>
      <c r="B167" s="8" t="s">
        <v>1820</v>
      </c>
      <c r="C167" s="8"/>
      <c r="D167" s="8" t="s">
        <v>206</v>
      </c>
      <c r="E167" s="8" t="s">
        <v>117</v>
      </c>
      <c r="F167" s="8" t="s">
        <v>70</v>
      </c>
      <c r="G167" s="8" t="s">
        <v>207</v>
      </c>
      <c r="H167" s="8" t="s">
        <v>78</v>
      </c>
      <c r="I167" s="8" t="s">
        <v>208</v>
      </c>
      <c r="J167" s="8" t="n">
        <v>1</v>
      </c>
      <c r="K167" s="8" t="n">
        <v>4</v>
      </c>
      <c r="L167" s="18" t="n">
        <f aca="false">INDEX('All Items'!$Q:$Q,MATCH($A167,'All Items'!$A:$A,0))</f>
        <v>8.7</v>
      </c>
      <c r="M167" s="8" t="s">
        <v>1821</v>
      </c>
      <c r="N167" s="8" t="s">
        <v>1822</v>
      </c>
      <c r="O167" s="8" t="s">
        <v>297</v>
      </c>
      <c r="P167" s="8" t="s">
        <v>488</v>
      </c>
      <c r="Q167" s="8" t="s">
        <v>1823</v>
      </c>
      <c r="R167" s="8" t="s">
        <v>1824</v>
      </c>
      <c r="S167" s="19" t="s">
        <v>1825</v>
      </c>
      <c r="T167" s="8" t="s">
        <v>1826</v>
      </c>
      <c r="U167" s="8"/>
      <c r="V167" s="8" t="n">
        <f aca="false">COUNTA(M167:R167)</f>
        <v>6</v>
      </c>
      <c r="W167" s="8" t="s">
        <v>218</v>
      </c>
      <c r="X167" s="8" t="s">
        <v>218</v>
      </c>
      <c r="Y167" s="8" t="s">
        <v>218</v>
      </c>
      <c r="Z167" s="8"/>
      <c r="AA167" s="8" t="s">
        <v>1827</v>
      </c>
      <c r="AB167" s="20"/>
      <c r="AC167" s="20"/>
      <c r="AD167" s="20"/>
      <c r="AE167" s="8" t="s">
        <v>237</v>
      </c>
      <c r="AF167" s="8" t="s">
        <v>224</v>
      </c>
    </row>
    <row r="168" customFormat="false" ht="15" hidden="false" customHeight="false" outlineLevel="0" collapsed="false">
      <c r="A168" s="8" t="s">
        <v>1828</v>
      </c>
      <c r="B168" s="8" t="s">
        <v>1829</v>
      </c>
      <c r="C168" s="8"/>
      <c r="D168" s="8" t="s">
        <v>206</v>
      </c>
      <c r="E168" s="8" t="s">
        <v>117</v>
      </c>
      <c r="F168" s="8" t="s">
        <v>70</v>
      </c>
      <c r="G168" s="8" t="s">
        <v>207</v>
      </c>
      <c r="H168" s="8" t="s">
        <v>78</v>
      </c>
      <c r="I168" s="8" t="s">
        <v>208</v>
      </c>
      <c r="J168" s="8" t="n">
        <v>2</v>
      </c>
      <c r="K168" s="8" t="n">
        <v>3</v>
      </c>
      <c r="L168" s="18" t="n">
        <f aca="false">INDEX('All Items'!$Q:$Q,MATCH($A168,'All Items'!$A:$A,0))</f>
        <v>7.4</v>
      </c>
      <c r="M168" s="8" t="s">
        <v>324</v>
      </c>
      <c r="N168" s="8" t="s">
        <v>541</v>
      </c>
      <c r="O168" s="8" t="s">
        <v>1830</v>
      </c>
      <c r="P168" s="8" t="s">
        <v>488</v>
      </c>
      <c r="Q168" s="8" t="s">
        <v>1831</v>
      </c>
      <c r="R168" s="8" t="s">
        <v>1832</v>
      </c>
      <c r="S168" s="19" t="s">
        <v>1833</v>
      </c>
      <c r="T168" s="8" t="s">
        <v>1834</v>
      </c>
      <c r="U168" s="8"/>
      <c r="V168" s="8" t="n">
        <f aca="false">COUNTA(M168:R168)</f>
        <v>6</v>
      </c>
      <c r="W168" s="8" t="s">
        <v>259</v>
      </c>
      <c r="X168" s="8" t="s">
        <v>218</v>
      </c>
      <c r="Y168" s="8" t="s">
        <v>218</v>
      </c>
      <c r="Z168" s="8"/>
      <c r="AA168" s="8" t="s">
        <v>1835</v>
      </c>
      <c r="AB168" s="20" t="s">
        <v>1836</v>
      </c>
      <c r="AC168" s="20" t="s">
        <v>1837</v>
      </c>
      <c r="AD168" s="20" t="s">
        <v>1838</v>
      </c>
      <c r="AE168" s="8" t="s">
        <v>223</v>
      </c>
      <c r="AF168" s="8" t="s">
        <v>224</v>
      </c>
    </row>
    <row r="169" customFormat="false" ht="15" hidden="false" customHeight="false" outlineLevel="0" collapsed="false">
      <c r="A169" s="8" t="s">
        <v>1839</v>
      </c>
      <c r="B169" s="8" t="s">
        <v>1840</v>
      </c>
      <c r="C169" s="8"/>
      <c r="D169" s="8" t="s">
        <v>206</v>
      </c>
      <c r="E169" s="8" t="s">
        <v>117</v>
      </c>
      <c r="F169" s="8" t="s">
        <v>70</v>
      </c>
      <c r="G169" s="8" t="s">
        <v>207</v>
      </c>
      <c r="H169" s="8" t="s">
        <v>78</v>
      </c>
      <c r="I169" s="8" t="s">
        <v>208</v>
      </c>
      <c r="J169" s="8" t="n">
        <v>2</v>
      </c>
      <c r="K169" s="8" t="n">
        <v>3</v>
      </c>
      <c r="L169" s="18" t="n">
        <f aca="false">INDEX('All Items'!$Q:$Q,MATCH($A169,'All Items'!$A:$A,0))</f>
        <v>7.4</v>
      </c>
      <c r="M169" s="8" t="s">
        <v>324</v>
      </c>
      <c r="N169" s="8" t="s">
        <v>388</v>
      </c>
      <c r="O169" s="8" t="s">
        <v>1841</v>
      </c>
      <c r="P169" s="8" t="s">
        <v>1842</v>
      </c>
      <c r="Q169" s="8" t="s">
        <v>1843</v>
      </c>
      <c r="R169" s="8" t="s">
        <v>1844</v>
      </c>
      <c r="S169" s="19" t="s">
        <v>1845</v>
      </c>
      <c r="T169" s="8" t="s">
        <v>1846</v>
      </c>
      <c r="U169" s="8"/>
      <c r="V169" s="8" t="n">
        <f aca="false">COUNTA(M169:R169)</f>
        <v>6</v>
      </c>
      <c r="W169" s="8" t="s">
        <v>259</v>
      </c>
      <c r="X169" s="8" t="s">
        <v>218</v>
      </c>
      <c r="Y169" s="8" t="s">
        <v>218</v>
      </c>
      <c r="Z169" s="8"/>
      <c r="AA169" s="8" t="s">
        <v>1847</v>
      </c>
      <c r="AB169" s="20"/>
      <c r="AC169" s="20"/>
      <c r="AD169" s="20"/>
      <c r="AE169" s="8" t="s">
        <v>237</v>
      </c>
      <c r="AF169" s="8" t="s">
        <v>224</v>
      </c>
    </row>
    <row r="170" customFormat="false" ht="15" hidden="false" customHeight="false" outlineLevel="0" collapsed="false">
      <c r="A170" s="8" t="s">
        <v>1848</v>
      </c>
      <c r="B170" s="8" t="s">
        <v>1849</v>
      </c>
      <c r="C170" s="8"/>
      <c r="D170" s="8" t="s">
        <v>206</v>
      </c>
      <c r="E170" s="8" t="s">
        <v>117</v>
      </c>
      <c r="F170" s="8" t="s">
        <v>70</v>
      </c>
      <c r="G170" s="8" t="s">
        <v>207</v>
      </c>
      <c r="H170" s="8" t="s">
        <v>78</v>
      </c>
      <c r="I170" s="8" t="s">
        <v>227</v>
      </c>
      <c r="J170" s="8" t="n">
        <v>2</v>
      </c>
      <c r="K170" s="8" t="n">
        <v>3</v>
      </c>
      <c r="L170" s="18" t="n">
        <f aca="false">INDEX('All Items'!$Q:$Q,MATCH($A170,'All Items'!$A:$A,0))</f>
        <v>7.4</v>
      </c>
      <c r="M170" s="8" t="s">
        <v>541</v>
      </c>
      <c r="N170" s="8" t="s">
        <v>1821</v>
      </c>
      <c r="O170" s="8" t="s">
        <v>1850</v>
      </c>
      <c r="P170" s="8" t="s">
        <v>297</v>
      </c>
      <c r="Q170" s="8" t="s">
        <v>1851</v>
      </c>
      <c r="R170" s="8" t="s">
        <v>1852</v>
      </c>
      <c r="S170" s="19" t="s">
        <v>1853</v>
      </c>
      <c r="T170" s="8" t="s">
        <v>1854</v>
      </c>
      <c r="U170" s="8"/>
      <c r="V170" s="8" t="n">
        <f aca="false">COUNTA(M170:R170)</f>
        <v>6</v>
      </c>
      <c r="W170" s="8" t="s">
        <v>259</v>
      </c>
      <c r="X170" s="8" t="s">
        <v>218</v>
      </c>
      <c r="Y170" s="8" t="s">
        <v>218</v>
      </c>
      <c r="Z170" s="8"/>
      <c r="AA170" s="8" t="s">
        <v>1855</v>
      </c>
      <c r="AB170" s="20"/>
      <c r="AC170" s="20"/>
      <c r="AD170" s="20"/>
      <c r="AE170" s="8" t="s">
        <v>237</v>
      </c>
      <c r="AF170" s="8" t="s">
        <v>224</v>
      </c>
    </row>
    <row r="171" customFormat="false" ht="15" hidden="false" customHeight="false" outlineLevel="0" collapsed="false">
      <c r="A171" s="8" t="s">
        <v>1856</v>
      </c>
      <c r="B171" s="8" t="s">
        <v>1857</v>
      </c>
      <c r="C171" s="8"/>
      <c r="D171" s="8" t="s">
        <v>206</v>
      </c>
      <c r="E171" s="8" t="s">
        <v>124</v>
      </c>
      <c r="F171" s="8" t="s">
        <v>70</v>
      </c>
      <c r="G171" s="8" t="s">
        <v>207</v>
      </c>
      <c r="H171" s="8" t="s">
        <v>87</v>
      </c>
      <c r="I171" s="8" t="s">
        <v>227</v>
      </c>
      <c r="J171" s="8" t="n">
        <v>2</v>
      </c>
      <c r="K171" s="8" t="n">
        <v>3</v>
      </c>
      <c r="L171" s="18" t="n">
        <f aca="false">INDEX('All Items'!$Q:$Q,MATCH($A171,'All Items'!$A:$A,0))</f>
        <v>6.9</v>
      </c>
      <c r="M171" s="8" t="s">
        <v>1858</v>
      </c>
      <c r="N171" s="8" t="s">
        <v>1859</v>
      </c>
      <c r="O171" s="8" t="s">
        <v>1860</v>
      </c>
      <c r="P171" s="8" t="s">
        <v>1861</v>
      </c>
      <c r="Q171" s="8" t="s">
        <v>1862</v>
      </c>
      <c r="R171" s="8"/>
      <c r="S171" s="19" t="s">
        <v>1863</v>
      </c>
      <c r="T171" s="8" t="s">
        <v>1864</v>
      </c>
      <c r="U171" s="8"/>
      <c r="V171" s="8" t="n">
        <f aca="false">COUNTA(M171:R171)</f>
        <v>5</v>
      </c>
      <c r="W171" s="8" t="s">
        <v>259</v>
      </c>
      <c r="X171" s="8" t="s">
        <v>218</v>
      </c>
      <c r="Y171" s="8" t="s">
        <v>218</v>
      </c>
      <c r="Z171" s="8"/>
      <c r="AA171" s="8" t="s">
        <v>1865</v>
      </c>
      <c r="AB171" s="20"/>
      <c r="AC171" s="20"/>
      <c r="AD171" s="20"/>
      <c r="AE171" s="8" t="s">
        <v>237</v>
      </c>
      <c r="AF171" s="8" t="s">
        <v>224</v>
      </c>
    </row>
    <row r="172" customFormat="false" ht="15" hidden="false" customHeight="false" outlineLevel="0" collapsed="false">
      <c r="A172" s="8" t="s">
        <v>1866</v>
      </c>
      <c r="B172" s="8" t="s">
        <v>1867</v>
      </c>
      <c r="C172" s="8"/>
      <c r="D172" s="8" t="s">
        <v>206</v>
      </c>
      <c r="E172" s="8" t="s">
        <v>124</v>
      </c>
      <c r="F172" s="8" t="s">
        <v>70</v>
      </c>
      <c r="G172" s="8" t="s">
        <v>207</v>
      </c>
      <c r="H172" s="8" t="s">
        <v>78</v>
      </c>
      <c r="I172" s="8" t="s">
        <v>227</v>
      </c>
      <c r="J172" s="8" t="n">
        <v>2</v>
      </c>
      <c r="K172" s="8" t="n">
        <v>3</v>
      </c>
      <c r="L172" s="18" t="n">
        <f aca="false">INDEX('All Items'!$Q:$Q,MATCH($A172,'All Items'!$A:$A,0))</f>
        <v>7.15</v>
      </c>
      <c r="M172" s="8" t="s">
        <v>1868</v>
      </c>
      <c r="N172" s="8" t="s">
        <v>324</v>
      </c>
      <c r="O172" s="8" t="s">
        <v>229</v>
      </c>
      <c r="P172" s="8" t="s">
        <v>1869</v>
      </c>
      <c r="Q172" s="8" t="s">
        <v>1870</v>
      </c>
      <c r="R172" s="8" t="s">
        <v>1871</v>
      </c>
      <c r="S172" s="19" t="s">
        <v>1872</v>
      </c>
      <c r="T172" s="8" t="s">
        <v>1873</v>
      </c>
      <c r="U172" s="8"/>
      <c r="V172" s="8" t="n">
        <f aca="false">COUNTA(M172:R172)</f>
        <v>6</v>
      </c>
      <c r="W172" s="8" t="s">
        <v>259</v>
      </c>
      <c r="X172" s="8" t="s">
        <v>218</v>
      </c>
      <c r="Y172" s="8" t="s">
        <v>218</v>
      </c>
      <c r="Z172" s="8"/>
      <c r="AA172" s="8" t="s">
        <v>1874</v>
      </c>
      <c r="AB172" s="20"/>
      <c r="AC172" s="20"/>
      <c r="AD172" s="20"/>
      <c r="AE172" s="8" t="s">
        <v>237</v>
      </c>
      <c r="AF172" s="8" t="s">
        <v>224</v>
      </c>
    </row>
    <row r="173" customFormat="false" ht="15" hidden="false" customHeight="false" outlineLevel="0" collapsed="false">
      <c r="A173" s="8" t="s">
        <v>1875</v>
      </c>
      <c r="B173" s="8" t="s">
        <v>1876</v>
      </c>
      <c r="C173" s="8"/>
      <c r="D173" s="8" t="s">
        <v>206</v>
      </c>
      <c r="E173" s="8" t="s">
        <v>123</v>
      </c>
      <c r="F173" s="8" t="s">
        <v>70</v>
      </c>
      <c r="G173" s="8" t="s">
        <v>207</v>
      </c>
      <c r="H173" s="8" t="s">
        <v>84</v>
      </c>
      <c r="I173" s="8" t="s">
        <v>227</v>
      </c>
      <c r="J173" s="8" t="n">
        <v>2</v>
      </c>
      <c r="K173" s="8" t="n">
        <v>3</v>
      </c>
      <c r="L173" s="18" t="n">
        <f aca="false">INDEX('All Items'!$Q:$Q,MATCH($A173,'All Items'!$A:$A,0))</f>
        <v>7.15</v>
      </c>
      <c r="M173" s="8" t="s">
        <v>1877</v>
      </c>
      <c r="N173" s="8" t="s">
        <v>1878</v>
      </c>
      <c r="O173" s="8" t="s">
        <v>1456</v>
      </c>
      <c r="P173" s="8" t="s">
        <v>1879</v>
      </c>
      <c r="Q173" s="8" t="s">
        <v>1880</v>
      </c>
      <c r="R173" s="8"/>
      <c r="S173" s="19" t="s">
        <v>1881</v>
      </c>
      <c r="T173" s="8" t="s">
        <v>1882</v>
      </c>
      <c r="U173" s="8"/>
      <c r="V173" s="8" t="n">
        <f aca="false">COUNTA(M173:R173)</f>
        <v>5</v>
      </c>
      <c r="W173" s="8" t="s">
        <v>259</v>
      </c>
      <c r="X173" s="8" t="s">
        <v>218</v>
      </c>
      <c r="Y173" s="8" t="s">
        <v>218</v>
      </c>
      <c r="Z173" s="8"/>
      <c r="AA173" s="8" t="s">
        <v>1883</v>
      </c>
      <c r="AB173" s="20"/>
      <c r="AC173" s="20"/>
      <c r="AD173" s="20"/>
      <c r="AE173" s="8" t="s">
        <v>237</v>
      </c>
      <c r="AF173" s="8" t="s">
        <v>224</v>
      </c>
    </row>
    <row r="174" customFormat="false" ht="15" hidden="false" customHeight="false" outlineLevel="0" collapsed="false">
      <c r="A174" s="8" t="s">
        <v>1884</v>
      </c>
      <c r="B174" s="8" t="s">
        <v>1885</v>
      </c>
      <c r="C174" s="8"/>
      <c r="D174" s="8" t="s">
        <v>206</v>
      </c>
      <c r="E174" s="8" t="s">
        <v>120</v>
      </c>
      <c r="F174" s="8" t="s">
        <v>70</v>
      </c>
      <c r="G174" s="8" t="s">
        <v>207</v>
      </c>
      <c r="H174" s="8" t="s">
        <v>82</v>
      </c>
      <c r="I174" s="8" t="s">
        <v>273</v>
      </c>
      <c r="J174" s="8" t="n">
        <v>2</v>
      </c>
      <c r="K174" s="8" t="n">
        <v>3</v>
      </c>
      <c r="L174" s="18" t="n">
        <f aca="false">INDEX('All Items'!$Q:$Q,MATCH($A174,'All Items'!$A:$A,0))</f>
        <v>7.4</v>
      </c>
      <c r="M174" s="8" t="s">
        <v>751</v>
      </c>
      <c r="N174" s="8" t="s">
        <v>950</v>
      </c>
      <c r="O174" s="8" t="s">
        <v>1886</v>
      </c>
      <c r="P174" s="8" t="s">
        <v>836</v>
      </c>
      <c r="Q174" s="8" t="s">
        <v>1887</v>
      </c>
      <c r="R174" s="8" t="s">
        <v>1888</v>
      </c>
      <c r="S174" s="19" t="s">
        <v>1889</v>
      </c>
      <c r="T174" s="8" t="s">
        <v>1890</v>
      </c>
      <c r="U174" s="8"/>
      <c r="V174" s="8" t="n">
        <f aca="false">COUNTA(M174:R174)</f>
        <v>6</v>
      </c>
      <c r="W174" s="8" t="s">
        <v>259</v>
      </c>
      <c r="X174" s="8" t="s">
        <v>218</v>
      </c>
      <c r="Y174" s="8" t="s">
        <v>218</v>
      </c>
      <c r="Z174" s="8"/>
      <c r="AA174" s="8" t="s">
        <v>1891</v>
      </c>
      <c r="AB174" s="20" t="s">
        <v>1892</v>
      </c>
      <c r="AC174" s="20" t="s">
        <v>221</v>
      </c>
      <c r="AD174" s="20" t="s">
        <v>1893</v>
      </c>
      <c r="AE174" s="8" t="s">
        <v>223</v>
      </c>
      <c r="AF174" s="8" t="s">
        <v>224</v>
      </c>
    </row>
    <row r="175" customFormat="false" ht="15" hidden="false" customHeight="false" outlineLevel="0" collapsed="false">
      <c r="A175" s="8" t="s">
        <v>1894</v>
      </c>
      <c r="B175" s="8" t="s">
        <v>1895</v>
      </c>
      <c r="C175" s="8"/>
      <c r="D175" s="8" t="s">
        <v>206</v>
      </c>
      <c r="E175" s="8" t="s">
        <v>120</v>
      </c>
      <c r="F175" s="8" t="s">
        <v>70</v>
      </c>
      <c r="G175" s="8" t="s">
        <v>207</v>
      </c>
      <c r="H175" s="8" t="s">
        <v>78</v>
      </c>
      <c r="I175" s="8" t="s">
        <v>227</v>
      </c>
      <c r="J175" s="8" t="n">
        <v>2</v>
      </c>
      <c r="K175" s="8" t="n">
        <v>3</v>
      </c>
      <c r="L175" s="18" t="n">
        <f aca="false">INDEX('All Items'!$Q:$Q,MATCH($A175,'All Items'!$A:$A,0))</f>
        <v>6.9</v>
      </c>
      <c r="M175" s="8" t="s">
        <v>599</v>
      </c>
      <c r="N175" s="8" t="s">
        <v>1896</v>
      </c>
      <c r="O175" s="8" t="s">
        <v>1897</v>
      </c>
      <c r="P175" s="8" t="s">
        <v>1898</v>
      </c>
      <c r="Q175" s="8" t="s">
        <v>1899</v>
      </c>
      <c r="R175" s="8"/>
      <c r="S175" s="19" t="s">
        <v>1900</v>
      </c>
      <c r="T175" s="8" t="s">
        <v>1901</v>
      </c>
      <c r="U175" s="8"/>
      <c r="V175" s="8" t="n">
        <f aca="false">COUNTA(M175:R175)</f>
        <v>5</v>
      </c>
      <c r="W175" s="8" t="s">
        <v>259</v>
      </c>
      <c r="X175" s="8" t="s">
        <v>218</v>
      </c>
      <c r="Y175" s="8" t="s">
        <v>218</v>
      </c>
      <c r="Z175" s="8"/>
      <c r="AA175" s="8" t="s">
        <v>1902</v>
      </c>
      <c r="AB175" s="20"/>
      <c r="AC175" s="20"/>
      <c r="AD175" s="20"/>
      <c r="AE175" s="8" t="s">
        <v>237</v>
      </c>
      <c r="AF175" s="8" t="s">
        <v>224</v>
      </c>
    </row>
    <row r="176" customFormat="false" ht="15" hidden="false" customHeight="false" outlineLevel="0" collapsed="false">
      <c r="A176" s="8" t="s">
        <v>1903</v>
      </c>
      <c r="B176" s="8" t="s">
        <v>1904</v>
      </c>
      <c r="C176" s="8"/>
      <c r="D176" s="8" t="s">
        <v>206</v>
      </c>
      <c r="E176" s="8" t="s">
        <v>126</v>
      </c>
      <c r="F176" s="8" t="s">
        <v>70</v>
      </c>
      <c r="G176" s="8" t="s">
        <v>207</v>
      </c>
      <c r="H176" s="8" t="s">
        <v>82</v>
      </c>
      <c r="I176" s="8" t="s">
        <v>273</v>
      </c>
      <c r="J176" s="8" t="n">
        <v>2</v>
      </c>
      <c r="K176" s="8" t="n">
        <v>3</v>
      </c>
      <c r="L176" s="18" t="n">
        <f aca="false">INDEX('All Items'!$Q:$Q,MATCH($A176,'All Items'!$A:$A,0))</f>
        <v>6.65</v>
      </c>
      <c r="M176" s="8" t="s">
        <v>1905</v>
      </c>
      <c r="N176" s="8" t="s">
        <v>861</v>
      </c>
      <c r="O176" s="8" t="s">
        <v>1906</v>
      </c>
      <c r="P176" s="8" t="s">
        <v>126</v>
      </c>
      <c r="Q176" s="8" t="s">
        <v>1907</v>
      </c>
      <c r="R176" s="8" t="s">
        <v>1908</v>
      </c>
      <c r="S176" s="19" t="s">
        <v>1909</v>
      </c>
      <c r="T176" s="8" t="s">
        <v>1910</v>
      </c>
      <c r="U176" s="8"/>
      <c r="V176" s="8" t="n">
        <f aca="false">COUNTA(M176:R176)</f>
        <v>6</v>
      </c>
      <c r="W176" s="8" t="s">
        <v>259</v>
      </c>
      <c r="X176" s="8" t="s">
        <v>218</v>
      </c>
      <c r="Y176" s="8" t="s">
        <v>218</v>
      </c>
      <c r="Z176" s="8"/>
      <c r="AA176" s="8" t="s">
        <v>1911</v>
      </c>
      <c r="AB176" s="20"/>
      <c r="AC176" s="20"/>
      <c r="AD176" s="20"/>
      <c r="AE176" s="8" t="s">
        <v>237</v>
      </c>
      <c r="AF176" s="8" t="s">
        <v>224</v>
      </c>
    </row>
    <row r="177" customFormat="false" ht="15" hidden="false" customHeight="false" outlineLevel="0" collapsed="false">
      <c r="A177" s="8" t="s">
        <v>1912</v>
      </c>
      <c r="B177" s="8" t="s">
        <v>1913</v>
      </c>
      <c r="C177" s="8"/>
      <c r="D177" s="8" t="s">
        <v>206</v>
      </c>
      <c r="E177" s="8" t="s">
        <v>103</v>
      </c>
      <c r="F177" s="8" t="s">
        <v>70</v>
      </c>
      <c r="G177" s="8" t="s">
        <v>207</v>
      </c>
      <c r="H177" s="8" t="s">
        <v>78</v>
      </c>
      <c r="I177" s="8" t="s">
        <v>227</v>
      </c>
      <c r="J177" s="8" t="n">
        <v>1</v>
      </c>
      <c r="K177" s="8" t="n">
        <v>5</v>
      </c>
      <c r="L177" s="18" t="n">
        <f aca="false">INDEX('All Items'!$Q:$Q,MATCH($A177,'All Items'!$A:$A,0))</f>
        <v>9.25</v>
      </c>
      <c r="M177" s="8" t="s">
        <v>275</v>
      </c>
      <c r="N177" s="8" t="s">
        <v>476</v>
      </c>
      <c r="O177" s="8" t="s">
        <v>1914</v>
      </c>
      <c r="P177" s="8" t="s">
        <v>1915</v>
      </c>
      <c r="Q177" s="8" t="s">
        <v>1916</v>
      </c>
      <c r="R177" s="8"/>
      <c r="S177" s="19" t="s">
        <v>1917</v>
      </c>
      <c r="T177" s="8" t="s">
        <v>1918</v>
      </c>
      <c r="U177" s="8"/>
      <c r="V177" s="8" t="n">
        <f aca="false">COUNTA(M177:R177)</f>
        <v>5</v>
      </c>
      <c r="W177" s="8" t="s">
        <v>218</v>
      </c>
      <c r="X177" s="8" t="s">
        <v>218</v>
      </c>
      <c r="Y177" s="8" t="s">
        <v>218</v>
      </c>
      <c r="Z177" s="8"/>
      <c r="AA177" s="8" t="s">
        <v>1919</v>
      </c>
      <c r="AB177" s="20"/>
      <c r="AC177" s="20"/>
      <c r="AD177" s="20"/>
      <c r="AE177" s="8" t="s">
        <v>237</v>
      </c>
      <c r="AF177" s="8" t="s">
        <v>224</v>
      </c>
    </row>
    <row r="178" customFormat="false" ht="15" hidden="false" customHeight="false" outlineLevel="0" collapsed="false">
      <c r="A178" s="8" t="s">
        <v>1920</v>
      </c>
      <c r="B178" s="8" t="s">
        <v>1921</v>
      </c>
      <c r="C178" s="8"/>
      <c r="D178" s="8" t="s">
        <v>206</v>
      </c>
      <c r="E178" s="8" t="s">
        <v>103</v>
      </c>
      <c r="F178" s="8" t="s">
        <v>70</v>
      </c>
      <c r="G178" s="8" t="s">
        <v>207</v>
      </c>
      <c r="H178" s="8" t="s">
        <v>85</v>
      </c>
      <c r="I178" s="8" t="s">
        <v>227</v>
      </c>
      <c r="J178" s="8" t="n">
        <v>1</v>
      </c>
      <c r="K178" s="8" t="n">
        <v>3</v>
      </c>
      <c r="L178" s="18" t="n">
        <f aca="false">INDEX('All Items'!$Q:$Q,MATCH($A178,'All Items'!$A:$A,0))</f>
        <v>6.65</v>
      </c>
      <c r="M178" s="8" t="s">
        <v>1922</v>
      </c>
      <c r="N178" s="8" t="s">
        <v>1923</v>
      </c>
      <c r="O178" s="8" t="s">
        <v>1924</v>
      </c>
      <c r="P178" s="8" t="s">
        <v>1925</v>
      </c>
      <c r="Q178" s="8" t="s">
        <v>1926</v>
      </c>
      <c r="R178" s="8" t="s">
        <v>487</v>
      </c>
      <c r="S178" s="19" t="s">
        <v>1927</v>
      </c>
      <c r="T178" s="8" t="s">
        <v>1928</v>
      </c>
      <c r="U178" s="8" t="s">
        <v>1929</v>
      </c>
      <c r="V178" s="8" t="n">
        <f aca="false">COUNTA(M178:R178)</f>
        <v>6</v>
      </c>
      <c r="W178" s="8" t="s">
        <v>218</v>
      </c>
      <c r="X178" s="8" t="s">
        <v>218</v>
      </c>
      <c r="Y178" s="8" t="s">
        <v>218</v>
      </c>
      <c r="Z178" s="8"/>
      <c r="AA178" s="8" t="s">
        <v>1930</v>
      </c>
      <c r="AB178" s="20"/>
      <c r="AC178" s="20"/>
      <c r="AD178" s="20"/>
      <c r="AE178" s="8" t="s">
        <v>237</v>
      </c>
      <c r="AF178" s="8" t="s">
        <v>224</v>
      </c>
    </row>
    <row r="179" customFormat="false" ht="15" hidden="false" customHeight="false" outlineLevel="0" collapsed="false">
      <c r="A179" s="8" t="s">
        <v>1931</v>
      </c>
      <c r="B179" s="8" t="s">
        <v>1932</v>
      </c>
      <c r="C179" s="8"/>
      <c r="D179" s="8" t="s">
        <v>206</v>
      </c>
      <c r="E179" s="8" t="s">
        <v>103</v>
      </c>
      <c r="F179" s="8" t="s">
        <v>70</v>
      </c>
      <c r="G179" s="8" t="s">
        <v>207</v>
      </c>
      <c r="H179" s="8" t="s">
        <v>85</v>
      </c>
      <c r="I179" s="8" t="s">
        <v>227</v>
      </c>
      <c r="J179" s="8" t="n">
        <v>1</v>
      </c>
      <c r="K179" s="8" t="n">
        <v>3</v>
      </c>
      <c r="L179" s="18" t="n">
        <f aca="false">INDEX('All Items'!$Q:$Q,MATCH($A179,'All Items'!$A:$A,0))</f>
        <v>7.15</v>
      </c>
      <c r="M179" s="8" t="s">
        <v>1933</v>
      </c>
      <c r="N179" s="8" t="s">
        <v>1934</v>
      </c>
      <c r="O179" s="8" t="s">
        <v>1322</v>
      </c>
      <c r="P179" s="8" t="s">
        <v>487</v>
      </c>
      <c r="Q179" s="8" t="s">
        <v>1935</v>
      </c>
      <c r="R179" s="8" t="s">
        <v>1936</v>
      </c>
      <c r="S179" s="19" t="s">
        <v>1937</v>
      </c>
      <c r="T179" s="8" t="s">
        <v>1938</v>
      </c>
      <c r="U179" s="8"/>
      <c r="V179" s="8" t="n">
        <f aca="false">COUNTA(M179:R179)</f>
        <v>6</v>
      </c>
      <c r="W179" s="8" t="s">
        <v>218</v>
      </c>
      <c r="X179" s="8" t="s">
        <v>218</v>
      </c>
      <c r="Y179" s="8" t="s">
        <v>218</v>
      </c>
      <c r="Z179" s="8"/>
      <c r="AA179" s="8" t="s">
        <v>1939</v>
      </c>
      <c r="AB179" s="20"/>
      <c r="AC179" s="20"/>
      <c r="AD179" s="20"/>
      <c r="AE179" s="8" t="s">
        <v>237</v>
      </c>
      <c r="AF179" s="8" t="s">
        <v>224</v>
      </c>
    </row>
    <row r="180" customFormat="false" ht="15" hidden="false" customHeight="false" outlineLevel="0" collapsed="false">
      <c r="A180" s="8" t="s">
        <v>1940</v>
      </c>
      <c r="B180" s="8" t="s">
        <v>1941</v>
      </c>
      <c r="C180" s="8"/>
      <c r="D180" s="8" t="s">
        <v>206</v>
      </c>
      <c r="E180" s="8" t="s">
        <v>103</v>
      </c>
      <c r="F180" s="8" t="s">
        <v>70</v>
      </c>
      <c r="G180" s="8" t="s">
        <v>207</v>
      </c>
      <c r="H180" s="8" t="s">
        <v>78</v>
      </c>
      <c r="I180" s="8" t="s">
        <v>273</v>
      </c>
      <c r="J180" s="8" t="n">
        <v>1</v>
      </c>
      <c r="K180" s="8" t="n">
        <v>4</v>
      </c>
      <c r="L180" s="18" t="n">
        <f aca="false">INDEX('All Items'!$Q:$Q,MATCH($A180,'All Items'!$A:$A,0))</f>
        <v>7.95</v>
      </c>
      <c r="M180" s="8" t="s">
        <v>251</v>
      </c>
      <c r="N180" s="8" t="s">
        <v>1942</v>
      </c>
      <c r="O180" s="8" t="s">
        <v>1943</v>
      </c>
      <c r="P180" s="8" t="s">
        <v>1944</v>
      </c>
      <c r="Q180" s="8" t="s">
        <v>1945</v>
      </c>
      <c r="R180" s="8" t="s">
        <v>1946</v>
      </c>
      <c r="S180" s="19" t="s">
        <v>1947</v>
      </c>
      <c r="T180" s="8" t="s">
        <v>1948</v>
      </c>
      <c r="U180" s="8"/>
      <c r="V180" s="8" t="n">
        <f aca="false">COUNTA(M180:R180)</f>
        <v>6</v>
      </c>
      <c r="W180" s="8" t="s">
        <v>218</v>
      </c>
      <c r="X180" s="8" t="s">
        <v>218</v>
      </c>
      <c r="Y180" s="8" t="s">
        <v>218</v>
      </c>
      <c r="Z180" s="8"/>
      <c r="AA180" s="8" t="s">
        <v>1949</v>
      </c>
      <c r="AB180" s="20"/>
      <c r="AC180" s="20"/>
      <c r="AD180" s="20"/>
      <c r="AE180" s="8" t="s">
        <v>237</v>
      </c>
      <c r="AF180" s="8" t="s">
        <v>224</v>
      </c>
    </row>
    <row r="181" customFormat="false" ht="15" hidden="false" customHeight="false" outlineLevel="0" collapsed="false">
      <c r="A181" s="8" t="s">
        <v>1950</v>
      </c>
      <c r="B181" s="8" t="s">
        <v>1951</v>
      </c>
      <c r="C181" s="8"/>
      <c r="D181" s="8" t="s">
        <v>206</v>
      </c>
      <c r="E181" s="8" t="s">
        <v>103</v>
      </c>
      <c r="F181" s="8" t="s">
        <v>70</v>
      </c>
      <c r="G181" s="8" t="s">
        <v>207</v>
      </c>
      <c r="H181" s="8" t="s">
        <v>78</v>
      </c>
      <c r="I181" s="8" t="s">
        <v>273</v>
      </c>
      <c r="J181" s="8" t="n">
        <v>1</v>
      </c>
      <c r="K181" s="8" t="n">
        <v>4</v>
      </c>
      <c r="L181" s="18" t="n">
        <f aca="false">INDEX('All Items'!$Q:$Q,MATCH($A181,'All Items'!$A:$A,0))</f>
        <v>8.2</v>
      </c>
      <c r="M181" s="8" t="s">
        <v>274</v>
      </c>
      <c r="N181" s="8" t="s">
        <v>628</v>
      </c>
      <c r="O181" s="8" t="s">
        <v>1952</v>
      </c>
      <c r="P181" s="8" t="s">
        <v>1953</v>
      </c>
      <c r="Q181" s="8" t="s">
        <v>1954</v>
      </c>
      <c r="R181" s="8"/>
      <c r="S181" s="19" t="s">
        <v>1955</v>
      </c>
      <c r="T181" s="8" t="s">
        <v>1956</v>
      </c>
      <c r="U181" s="8"/>
      <c r="V181" s="8" t="n">
        <f aca="false">COUNTA(M181:R181)</f>
        <v>5</v>
      </c>
      <c r="W181" s="8" t="s">
        <v>218</v>
      </c>
      <c r="X181" s="8" t="s">
        <v>218</v>
      </c>
      <c r="Y181" s="8" t="s">
        <v>218</v>
      </c>
      <c r="Z181" s="8"/>
      <c r="AA181" s="8" t="s">
        <v>1957</v>
      </c>
      <c r="AB181" s="20"/>
      <c r="AC181" s="20"/>
      <c r="AD181" s="20"/>
      <c r="AE181" s="8" t="s">
        <v>237</v>
      </c>
      <c r="AF181" s="8" t="s">
        <v>224</v>
      </c>
    </row>
    <row r="182" customFormat="false" ht="15" hidden="false" customHeight="false" outlineLevel="0" collapsed="false">
      <c r="A182" s="8" t="s">
        <v>1958</v>
      </c>
      <c r="B182" s="8" t="s">
        <v>1959</v>
      </c>
      <c r="C182" s="8"/>
      <c r="D182" s="8" t="s">
        <v>206</v>
      </c>
      <c r="E182" s="8" t="s">
        <v>103</v>
      </c>
      <c r="F182" s="8" t="s">
        <v>70</v>
      </c>
      <c r="G182" s="8" t="s">
        <v>207</v>
      </c>
      <c r="H182" s="8" t="s">
        <v>78</v>
      </c>
      <c r="I182" s="8" t="s">
        <v>273</v>
      </c>
      <c r="J182" s="8" t="n">
        <v>1</v>
      </c>
      <c r="K182" s="8" t="n">
        <v>4</v>
      </c>
      <c r="L182" s="18" t="n">
        <f aca="false">INDEX('All Items'!$Q:$Q,MATCH($A182,'All Items'!$A:$A,0))</f>
        <v>8.2</v>
      </c>
      <c r="M182" s="8" t="s">
        <v>274</v>
      </c>
      <c r="N182" s="8" t="s">
        <v>1590</v>
      </c>
      <c r="O182" s="8" t="s">
        <v>1960</v>
      </c>
      <c r="P182" s="8" t="s">
        <v>1961</v>
      </c>
      <c r="Q182" s="8" t="s">
        <v>1962</v>
      </c>
      <c r="R182" s="8"/>
      <c r="S182" s="19" t="s">
        <v>1963</v>
      </c>
      <c r="T182" s="8" t="s">
        <v>1964</v>
      </c>
      <c r="U182" s="8"/>
      <c r="V182" s="8" t="n">
        <f aca="false">COUNTA(M182:R182)</f>
        <v>5</v>
      </c>
      <c r="W182" s="8" t="s">
        <v>218</v>
      </c>
      <c r="X182" s="8" t="s">
        <v>218</v>
      </c>
      <c r="Y182" s="8" t="s">
        <v>218</v>
      </c>
      <c r="Z182" s="8"/>
      <c r="AA182" s="8" t="s">
        <v>1965</v>
      </c>
      <c r="AB182" s="20" t="s">
        <v>1966</v>
      </c>
      <c r="AC182" s="20" t="s">
        <v>221</v>
      </c>
      <c r="AD182" s="20" t="s">
        <v>979</v>
      </c>
      <c r="AE182" s="8" t="s">
        <v>223</v>
      </c>
      <c r="AF182" s="8" t="s">
        <v>224</v>
      </c>
    </row>
    <row r="183" customFormat="false" ht="15" hidden="false" customHeight="false" outlineLevel="0" collapsed="false">
      <c r="A183" s="8" t="s">
        <v>1967</v>
      </c>
      <c r="B183" s="8" t="s">
        <v>1968</v>
      </c>
      <c r="C183" s="8"/>
      <c r="D183" s="8" t="s">
        <v>206</v>
      </c>
      <c r="E183" s="8" t="s">
        <v>103</v>
      </c>
      <c r="F183" s="8" t="s">
        <v>70</v>
      </c>
      <c r="G183" s="8" t="s">
        <v>207</v>
      </c>
      <c r="H183" s="8" t="s">
        <v>78</v>
      </c>
      <c r="I183" s="8" t="s">
        <v>227</v>
      </c>
      <c r="J183" s="8" t="n">
        <v>1</v>
      </c>
      <c r="K183" s="8" t="n">
        <v>5</v>
      </c>
      <c r="L183" s="18" t="n">
        <f aca="false">INDEX('All Items'!$Q:$Q,MATCH($A183,'All Items'!$A:$A,0))</f>
        <v>9.5</v>
      </c>
      <c r="M183" s="8" t="s">
        <v>345</v>
      </c>
      <c r="N183" s="8" t="s">
        <v>1969</v>
      </c>
      <c r="O183" s="8" t="s">
        <v>1970</v>
      </c>
      <c r="P183" s="8" t="s">
        <v>1971</v>
      </c>
      <c r="Q183" s="8" t="s">
        <v>289</v>
      </c>
      <c r="R183" s="8"/>
      <c r="S183" s="19" t="s">
        <v>1972</v>
      </c>
      <c r="T183" s="8" t="s">
        <v>1973</v>
      </c>
      <c r="U183" s="8" t="s">
        <v>289</v>
      </c>
      <c r="V183" s="8" t="n">
        <f aca="false">COUNTA(M183:R183)</f>
        <v>5</v>
      </c>
      <c r="W183" s="8" t="s">
        <v>218</v>
      </c>
      <c r="X183" s="8" t="s">
        <v>218</v>
      </c>
      <c r="Y183" s="8" t="s">
        <v>218</v>
      </c>
      <c r="Z183" s="8"/>
      <c r="AA183" s="8" t="s">
        <v>1974</v>
      </c>
      <c r="AB183" s="20" t="s">
        <v>1975</v>
      </c>
      <c r="AC183" s="20" t="s">
        <v>221</v>
      </c>
      <c r="AD183" s="20" t="s">
        <v>1976</v>
      </c>
      <c r="AE183" s="8" t="s">
        <v>223</v>
      </c>
      <c r="AF183" s="8" t="s">
        <v>224</v>
      </c>
    </row>
    <row r="184" customFormat="false" ht="15" hidden="false" customHeight="false" outlineLevel="0" collapsed="false">
      <c r="A184" s="8" t="s">
        <v>1977</v>
      </c>
      <c r="B184" s="8" t="s">
        <v>1978</v>
      </c>
      <c r="C184" s="8"/>
      <c r="D184" s="8" t="s">
        <v>206</v>
      </c>
      <c r="E184" s="8" t="s">
        <v>103</v>
      </c>
      <c r="F184" s="8" t="s">
        <v>70</v>
      </c>
      <c r="G184" s="8" t="s">
        <v>207</v>
      </c>
      <c r="H184" s="8" t="s">
        <v>78</v>
      </c>
      <c r="I184" s="8" t="s">
        <v>227</v>
      </c>
      <c r="J184" s="8" t="n">
        <v>1</v>
      </c>
      <c r="K184" s="8" t="n">
        <v>4</v>
      </c>
      <c r="L184" s="18" t="n">
        <f aca="false">INDEX('All Items'!$Q:$Q,MATCH($A184,'All Items'!$A:$A,0))</f>
        <v>8.2</v>
      </c>
      <c r="M184" s="8" t="s">
        <v>274</v>
      </c>
      <c r="N184" s="8" t="s">
        <v>930</v>
      </c>
      <c r="O184" s="8" t="s">
        <v>1979</v>
      </c>
      <c r="P184" s="8" t="s">
        <v>1980</v>
      </c>
      <c r="Q184" s="8" t="s">
        <v>1981</v>
      </c>
      <c r="R184" s="8" t="s">
        <v>289</v>
      </c>
      <c r="S184" s="19" t="s">
        <v>1982</v>
      </c>
      <c r="T184" s="8" t="s">
        <v>1983</v>
      </c>
      <c r="U184" s="8" t="s">
        <v>289</v>
      </c>
      <c r="V184" s="8" t="n">
        <f aca="false">COUNTA(M184:R184)</f>
        <v>6</v>
      </c>
      <c r="W184" s="8" t="s">
        <v>218</v>
      </c>
      <c r="X184" s="8" t="s">
        <v>218</v>
      </c>
      <c r="Y184" s="8" t="s">
        <v>218</v>
      </c>
      <c r="Z184" s="8"/>
      <c r="AA184" s="8" t="s">
        <v>1984</v>
      </c>
      <c r="AB184" s="20" t="s">
        <v>1985</v>
      </c>
      <c r="AC184" s="20" t="s">
        <v>221</v>
      </c>
      <c r="AD184" s="20" t="s">
        <v>1986</v>
      </c>
      <c r="AE184" s="8" t="s">
        <v>223</v>
      </c>
      <c r="AF184" s="8" t="s">
        <v>224</v>
      </c>
    </row>
    <row r="185" customFormat="false" ht="15" hidden="false" customHeight="false" outlineLevel="0" collapsed="false">
      <c r="A185" s="8" t="s">
        <v>1987</v>
      </c>
      <c r="B185" s="8" t="s">
        <v>1988</v>
      </c>
      <c r="C185" s="8"/>
      <c r="D185" s="8" t="s">
        <v>206</v>
      </c>
      <c r="E185" s="8" t="s">
        <v>103</v>
      </c>
      <c r="F185" s="8" t="s">
        <v>70</v>
      </c>
      <c r="G185" s="8" t="s">
        <v>207</v>
      </c>
      <c r="H185" s="8" t="s">
        <v>78</v>
      </c>
      <c r="I185" s="8" t="s">
        <v>273</v>
      </c>
      <c r="J185" s="8" t="n">
        <v>1</v>
      </c>
      <c r="K185" s="8" t="n">
        <v>4</v>
      </c>
      <c r="L185" s="18" t="n">
        <f aca="false">INDEX('All Items'!$Q:$Q,MATCH($A185,'All Items'!$A:$A,0))</f>
        <v>8.2</v>
      </c>
      <c r="M185" s="8" t="s">
        <v>274</v>
      </c>
      <c r="N185" s="8" t="s">
        <v>628</v>
      </c>
      <c r="O185" s="8" t="s">
        <v>229</v>
      </c>
      <c r="P185" s="8" t="s">
        <v>1989</v>
      </c>
      <c r="Q185" s="8" t="s">
        <v>1981</v>
      </c>
      <c r="R185" s="8" t="s">
        <v>1990</v>
      </c>
      <c r="S185" s="19" t="s">
        <v>1991</v>
      </c>
      <c r="T185" s="8" t="s">
        <v>1992</v>
      </c>
      <c r="U185" s="8"/>
      <c r="V185" s="8" t="n">
        <f aca="false">COUNTA(M185:R185)</f>
        <v>6</v>
      </c>
      <c r="W185" s="8" t="s">
        <v>218</v>
      </c>
      <c r="X185" s="8" t="s">
        <v>218</v>
      </c>
      <c r="Y185" s="8" t="s">
        <v>218</v>
      </c>
      <c r="Z185" s="8"/>
      <c r="AA185" s="8" t="s">
        <v>1993</v>
      </c>
      <c r="AB185" s="20"/>
      <c r="AC185" s="20"/>
      <c r="AD185" s="20"/>
      <c r="AE185" s="8" t="s">
        <v>237</v>
      </c>
      <c r="AF185" s="8" t="s">
        <v>224</v>
      </c>
    </row>
    <row r="186" customFormat="false" ht="15" hidden="false" customHeight="false" outlineLevel="0" collapsed="false">
      <c r="A186" s="8" t="s">
        <v>1994</v>
      </c>
      <c r="B186" s="8" t="s">
        <v>1995</v>
      </c>
      <c r="C186" s="8"/>
      <c r="D186" s="8" t="s">
        <v>206</v>
      </c>
      <c r="E186" s="8" t="s">
        <v>103</v>
      </c>
      <c r="F186" s="8" t="s">
        <v>70</v>
      </c>
      <c r="G186" s="8" t="s">
        <v>207</v>
      </c>
      <c r="H186" s="8" t="s">
        <v>78</v>
      </c>
      <c r="I186" s="8" t="s">
        <v>227</v>
      </c>
      <c r="J186" s="8" t="n">
        <v>1</v>
      </c>
      <c r="K186" s="8" t="n">
        <v>4</v>
      </c>
      <c r="L186" s="18" t="n">
        <f aca="false">INDEX('All Items'!$Q:$Q,MATCH($A186,'All Items'!$A:$A,0))</f>
        <v>7.95</v>
      </c>
      <c r="M186" s="8" t="s">
        <v>1996</v>
      </c>
      <c r="N186" s="8" t="s">
        <v>1997</v>
      </c>
      <c r="O186" s="8" t="s">
        <v>1998</v>
      </c>
      <c r="P186" s="8" t="s">
        <v>1999</v>
      </c>
      <c r="Q186" s="8" t="s">
        <v>2000</v>
      </c>
      <c r="R186" s="8" t="s">
        <v>2001</v>
      </c>
      <c r="S186" s="19" t="s">
        <v>2002</v>
      </c>
      <c r="T186" s="8" t="s">
        <v>2003</v>
      </c>
      <c r="U186" s="8"/>
      <c r="V186" s="8" t="n">
        <f aca="false">COUNTA(M186:R186)</f>
        <v>6</v>
      </c>
      <c r="W186" s="8" t="s">
        <v>218</v>
      </c>
      <c r="X186" s="8" t="s">
        <v>218</v>
      </c>
      <c r="Y186" s="8" t="s">
        <v>218</v>
      </c>
      <c r="Z186" s="8"/>
      <c r="AA186" s="8" t="s">
        <v>2004</v>
      </c>
      <c r="AB186" s="20"/>
      <c r="AC186" s="20"/>
      <c r="AD186" s="20"/>
      <c r="AE186" s="8" t="s">
        <v>237</v>
      </c>
      <c r="AF186" s="8" t="s">
        <v>224</v>
      </c>
    </row>
    <row r="187" customFormat="false" ht="15" hidden="false" customHeight="false" outlineLevel="0" collapsed="false">
      <c r="A187" s="8" t="s">
        <v>2005</v>
      </c>
      <c r="B187" s="8" t="s">
        <v>2006</v>
      </c>
      <c r="C187" s="8"/>
      <c r="D187" s="8" t="s">
        <v>206</v>
      </c>
      <c r="E187" s="8" t="s">
        <v>103</v>
      </c>
      <c r="F187" s="8" t="s">
        <v>70</v>
      </c>
      <c r="G187" s="8" t="s">
        <v>207</v>
      </c>
      <c r="H187" s="8" t="s">
        <v>78</v>
      </c>
      <c r="I187" s="8" t="s">
        <v>1030</v>
      </c>
      <c r="J187" s="8" t="n">
        <v>1</v>
      </c>
      <c r="K187" s="8" t="n">
        <v>4</v>
      </c>
      <c r="L187" s="18" t="n">
        <f aca="false">INDEX('All Items'!$Q:$Q,MATCH($A187,'All Items'!$A:$A,0))</f>
        <v>7.95</v>
      </c>
      <c r="M187" s="8" t="s">
        <v>274</v>
      </c>
      <c r="N187" s="8" t="s">
        <v>2007</v>
      </c>
      <c r="O187" s="8" t="s">
        <v>2008</v>
      </c>
      <c r="P187" s="8" t="s">
        <v>1592</v>
      </c>
      <c r="Q187" s="8" t="s">
        <v>2009</v>
      </c>
      <c r="R187" s="8"/>
      <c r="S187" s="19" t="s">
        <v>2010</v>
      </c>
      <c r="T187" s="8" t="s">
        <v>2011</v>
      </c>
      <c r="U187" s="8" t="s">
        <v>2009</v>
      </c>
      <c r="V187" s="8" t="n">
        <f aca="false">COUNTA(M187:R187)</f>
        <v>5</v>
      </c>
      <c r="W187" s="8" t="s">
        <v>218</v>
      </c>
      <c r="X187" s="8" t="s">
        <v>218</v>
      </c>
      <c r="Y187" s="8" t="s">
        <v>218</v>
      </c>
      <c r="Z187" s="8"/>
      <c r="AA187" s="8" t="s">
        <v>2012</v>
      </c>
      <c r="AB187" s="20"/>
      <c r="AC187" s="20"/>
      <c r="AD187" s="20"/>
      <c r="AE187" s="8" t="s">
        <v>237</v>
      </c>
      <c r="AF187" s="8" t="s">
        <v>224</v>
      </c>
    </row>
    <row r="188" customFormat="false" ht="15" hidden="false" customHeight="false" outlineLevel="0" collapsed="false">
      <c r="A188" s="8" t="s">
        <v>2013</v>
      </c>
      <c r="B188" s="8" t="s">
        <v>2014</v>
      </c>
      <c r="C188" s="8"/>
      <c r="D188" s="8" t="s">
        <v>206</v>
      </c>
      <c r="E188" s="8" t="s">
        <v>103</v>
      </c>
      <c r="F188" s="8" t="s">
        <v>70</v>
      </c>
      <c r="G188" s="8" t="s">
        <v>207</v>
      </c>
      <c r="H188" s="8" t="s">
        <v>78</v>
      </c>
      <c r="I188" s="8" t="s">
        <v>208</v>
      </c>
      <c r="J188" s="8" t="n">
        <v>1</v>
      </c>
      <c r="K188" s="8" t="n">
        <v>3</v>
      </c>
      <c r="L188" s="18" t="n">
        <f aca="false">INDEX('All Items'!$Q:$Q,MATCH($A188,'All Items'!$A:$A,0))</f>
        <v>6.9</v>
      </c>
      <c r="M188" s="8" t="s">
        <v>274</v>
      </c>
      <c r="N188" s="8" t="s">
        <v>251</v>
      </c>
      <c r="O188" s="8" t="s">
        <v>2015</v>
      </c>
      <c r="P188" s="8" t="s">
        <v>2016</v>
      </c>
      <c r="Q188" s="8" t="s">
        <v>488</v>
      </c>
      <c r="R188" s="8"/>
      <c r="S188" s="19" t="s">
        <v>2017</v>
      </c>
      <c r="T188" s="8" t="s">
        <v>2018</v>
      </c>
      <c r="U188" s="8" t="s">
        <v>2019</v>
      </c>
      <c r="V188" s="8" t="n">
        <f aca="false">COUNTA(M188:R188)</f>
        <v>5</v>
      </c>
      <c r="W188" s="8" t="s">
        <v>218</v>
      </c>
      <c r="X188" s="8" t="s">
        <v>218</v>
      </c>
      <c r="Y188" s="8" t="s">
        <v>218</v>
      </c>
      <c r="Z188" s="8"/>
      <c r="AA188" s="8" t="s">
        <v>2020</v>
      </c>
      <c r="AB188" s="20" t="s">
        <v>1597</v>
      </c>
      <c r="AC188" s="20" t="s">
        <v>221</v>
      </c>
      <c r="AD188" s="20" t="s">
        <v>1598</v>
      </c>
      <c r="AE188" s="8" t="s">
        <v>223</v>
      </c>
      <c r="AF188" s="8" t="s">
        <v>224</v>
      </c>
    </row>
    <row r="189" customFormat="false" ht="15" hidden="false" customHeight="false" outlineLevel="0" collapsed="false">
      <c r="A189" s="8" t="s">
        <v>2021</v>
      </c>
      <c r="B189" s="8" t="s">
        <v>2022</v>
      </c>
      <c r="C189" s="8"/>
      <c r="D189" s="8" t="s">
        <v>206</v>
      </c>
      <c r="E189" s="8" t="s">
        <v>103</v>
      </c>
      <c r="F189" s="8" t="s">
        <v>70</v>
      </c>
      <c r="G189" s="8" t="s">
        <v>207</v>
      </c>
      <c r="H189" s="8" t="s">
        <v>78</v>
      </c>
      <c r="I189" s="8" t="s">
        <v>208</v>
      </c>
      <c r="J189" s="8" t="n">
        <v>2</v>
      </c>
      <c r="K189" s="8" t="n">
        <v>3</v>
      </c>
      <c r="L189" s="18" t="n">
        <f aca="false">INDEX('All Items'!$Q:$Q,MATCH($A189,'All Items'!$A:$A,0))</f>
        <v>6.9</v>
      </c>
      <c r="M189" s="8" t="s">
        <v>274</v>
      </c>
      <c r="N189" s="8" t="s">
        <v>678</v>
      </c>
      <c r="O189" s="8" t="s">
        <v>1618</v>
      </c>
      <c r="P189" s="8" t="s">
        <v>2023</v>
      </c>
      <c r="Q189" s="8" t="s">
        <v>998</v>
      </c>
      <c r="R189" s="8"/>
      <c r="S189" s="19" t="s">
        <v>2024</v>
      </c>
      <c r="T189" s="8" t="s">
        <v>2025</v>
      </c>
      <c r="U189" s="8" t="s">
        <v>2023</v>
      </c>
      <c r="V189" s="8" t="n">
        <f aca="false">COUNTA(M189:R189)</f>
        <v>5</v>
      </c>
      <c r="W189" s="8" t="s">
        <v>259</v>
      </c>
      <c r="X189" s="8" t="s">
        <v>218</v>
      </c>
      <c r="Y189" s="8" t="s">
        <v>218</v>
      </c>
      <c r="Z189" s="8"/>
      <c r="AA189" s="8" t="s">
        <v>2026</v>
      </c>
      <c r="AB189" s="20"/>
      <c r="AC189" s="20"/>
      <c r="AD189" s="20"/>
      <c r="AE189" s="8" t="s">
        <v>237</v>
      </c>
      <c r="AF189" s="8" t="s">
        <v>224</v>
      </c>
    </row>
    <row r="190" customFormat="false" ht="15" hidden="false" customHeight="false" outlineLevel="0" collapsed="false">
      <c r="A190" s="8" t="s">
        <v>2027</v>
      </c>
      <c r="B190" s="8" t="s">
        <v>2028</v>
      </c>
      <c r="C190" s="8"/>
      <c r="D190" s="8" t="s">
        <v>206</v>
      </c>
      <c r="E190" s="8" t="s">
        <v>103</v>
      </c>
      <c r="F190" s="8" t="s">
        <v>70</v>
      </c>
      <c r="G190" s="8" t="s">
        <v>207</v>
      </c>
      <c r="H190" s="8" t="s">
        <v>78</v>
      </c>
      <c r="I190" s="8" t="s">
        <v>208</v>
      </c>
      <c r="J190" s="8" t="n">
        <v>2</v>
      </c>
      <c r="K190" s="8" t="n">
        <v>3</v>
      </c>
      <c r="L190" s="18" t="n">
        <f aca="false">INDEX('All Items'!$Q:$Q,MATCH($A190,'All Items'!$A:$A,0))</f>
        <v>6.9</v>
      </c>
      <c r="M190" s="8" t="s">
        <v>930</v>
      </c>
      <c r="N190" s="8" t="s">
        <v>389</v>
      </c>
      <c r="O190" s="8" t="s">
        <v>2029</v>
      </c>
      <c r="P190" s="8" t="s">
        <v>2030</v>
      </c>
      <c r="Q190" s="8" t="s">
        <v>1981</v>
      </c>
      <c r="R190" s="8" t="s">
        <v>2031</v>
      </c>
      <c r="S190" s="19" t="s">
        <v>2032</v>
      </c>
      <c r="T190" s="8" t="s">
        <v>2033</v>
      </c>
      <c r="U190" s="8"/>
      <c r="V190" s="8" t="n">
        <f aca="false">COUNTA(M190:R190)</f>
        <v>6</v>
      </c>
      <c r="W190" s="8" t="s">
        <v>259</v>
      </c>
      <c r="X190" s="8" t="s">
        <v>218</v>
      </c>
      <c r="Y190" s="8" t="s">
        <v>218</v>
      </c>
      <c r="Z190" s="8"/>
      <c r="AA190" s="8" t="s">
        <v>2034</v>
      </c>
      <c r="AB190" s="20" t="s">
        <v>2035</v>
      </c>
      <c r="AC190" s="20" t="s">
        <v>221</v>
      </c>
      <c r="AD190" s="20" t="s">
        <v>2036</v>
      </c>
      <c r="AE190" s="8" t="s">
        <v>223</v>
      </c>
      <c r="AF190" s="8" t="s">
        <v>224</v>
      </c>
    </row>
    <row r="191" customFormat="false" ht="15" hidden="false" customHeight="false" outlineLevel="0" collapsed="false">
      <c r="A191" s="8" t="s">
        <v>2037</v>
      </c>
      <c r="B191" s="8" t="s">
        <v>2038</v>
      </c>
      <c r="C191" s="8"/>
      <c r="D191" s="8" t="s">
        <v>206</v>
      </c>
      <c r="E191" s="8" t="s">
        <v>103</v>
      </c>
      <c r="F191" s="8" t="s">
        <v>70</v>
      </c>
      <c r="G191" s="8" t="s">
        <v>207</v>
      </c>
      <c r="H191" s="8" t="s">
        <v>78</v>
      </c>
      <c r="I191" s="8" t="s">
        <v>273</v>
      </c>
      <c r="J191" s="8" t="n">
        <v>2</v>
      </c>
      <c r="K191" s="8" t="n">
        <v>3</v>
      </c>
      <c r="L191" s="18" t="n">
        <f aca="false">INDEX('All Items'!$Q:$Q,MATCH($A191,'All Items'!$A:$A,0))</f>
        <v>6.9</v>
      </c>
      <c r="M191" s="8" t="s">
        <v>274</v>
      </c>
      <c r="N191" s="8" t="s">
        <v>251</v>
      </c>
      <c r="O191" s="8" t="s">
        <v>930</v>
      </c>
      <c r="P191" s="8" t="s">
        <v>2039</v>
      </c>
      <c r="Q191" s="8" t="s">
        <v>2040</v>
      </c>
      <c r="R191" s="8"/>
      <c r="S191" s="19" t="s">
        <v>2041</v>
      </c>
      <c r="T191" s="8" t="s">
        <v>2042</v>
      </c>
      <c r="U191" s="8"/>
      <c r="V191" s="8" t="n">
        <f aca="false">COUNTA(M191:R191)</f>
        <v>5</v>
      </c>
      <c r="W191" s="8" t="s">
        <v>259</v>
      </c>
      <c r="X191" s="8" t="s">
        <v>218</v>
      </c>
      <c r="Y191" s="8" t="s">
        <v>218</v>
      </c>
      <c r="Z191" s="8"/>
      <c r="AA191" s="8" t="s">
        <v>2043</v>
      </c>
      <c r="AB191" s="20"/>
      <c r="AC191" s="20"/>
      <c r="AD191" s="20"/>
      <c r="AE191" s="8" t="s">
        <v>237</v>
      </c>
      <c r="AF191" s="8" t="s">
        <v>224</v>
      </c>
    </row>
    <row r="192" customFormat="false" ht="15" hidden="false" customHeight="false" outlineLevel="0" collapsed="false">
      <c r="A192" s="8" t="s">
        <v>2044</v>
      </c>
      <c r="B192" s="8" t="s">
        <v>2045</v>
      </c>
      <c r="C192" s="8"/>
      <c r="D192" s="8" t="s">
        <v>206</v>
      </c>
      <c r="E192" s="8" t="s">
        <v>103</v>
      </c>
      <c r="F192" s="8" t="s">
        <v>70</v>
      </c>
      <c r="G192" s="8" t="s">
        <v>207</v>
      </c>
      <c r="H192" s="8" t="s">
        <v>86</v>
      </c>
      <c r="I192" s="8" t="s">
        <v>227</v>
      </c>
      <c r="J192" s="8" t="n">
        <v>1</v>
      </c>
      <c r="K192" s="8" t="n">
        <v>3</v>
      </c>
      <c r="L192" s="18" t="n">
        <f aca="false">INDEX('All Items'!$Q:$Q,MATCH($A192,'All Items'!$A:$A,0))</f>
        <v>7.15</v>
      </c>
      <c r="M192" s="8" t="s">
        <v>324</v>
      </c>
      <c r="N192" s="8" t="s">
        <v>388</v>
      </c>
      <c r="O192" s="8" t="s">
        <v>2046</v>
      </c>
      <c r="P192" s="8" t="s">
        <v>2047</v>
      </c>
      <c r="Q192" s="8" t="s">
        <v>2048</v>
      </c>
      <c r="R192" s="8" t="s">
        <v>2049</v>
      </c>
      <c r="S192" s="19" t="s">
        <v>2050</v>
      </c>
      <c r="T192" s="8" t="s">
        <v>2051</v>
      </c>
      <c r="U192" s="8"/>
      <c r="V192" s="8" t="n">
        <f aca="false">COUNTA(M192:R192)</f>
        <v>6</v>
      </c>
      <c r="W192" s="8" t="s">
        <v>218</v>
      </c>
      <c r="X192" s="8" t="s">
        <v>218</v>
      </c>
      <c r="Y192" s="8" t="s">
        <v>218</v>
      </c>
      <c r="Z192" s="8"/>
      <c r="AA192" s="8" t="s">
        <v>2052</v>
      </c>
      <c r="AB192" s="20"/>
      <c r="AC192" s="20"/>
      <c r="AD192" s="20"/>
      <c r="AE192" s="8" t="s">
        <v>237</v>
      </c>
      <c r="AF192" s="8" t="s">
        <v>224</v>
      </c>
    </row>
    <row r="193" customFormat="false" ht="15" hidden="false" customHeight="false" outlineLevel="0" collapsed="false">
      <c r="A193" s="8" t="s">
        <v>2053</v>
      </c>
      <c r="B193" s="8" t="s">
        <v>2054</v>
      </c>
      <c r="C193" s="8"/>
      <c r="D193" s="8" t="s">
        <v>206</v>
      </c>
      <c r="E193" s="8" t="s">
        <v>103</v>
      </c>
      <c r="F193" s="8" t="s">
        <v>70</v>
      </c>
      <c r="G193" s="8" t="s">
        <v>207</v>
      </c>
      <c r="H193" s="8" t="s">
        <v>87</v>
      </c>
      <c r="I193" s="8" t="s">
        <v>227</v>
      </c>
      <c r="J193" s="8" t="n">
        <v>1</v>
      </c>
      <c r="K193" s="8" t="n">
        <v>5</v>
      </c>
      <c r="L193" s="18" t="n">
        <f aca="false">INDEX('All Items'!$Q:$Q,MATCH($A193,'All Items'!$A:$A,0))</f>
        <v>9.5</v>
      </c>
      <c r="M193" s="8" t="s">
        <v>324</v>
      </c>
      <c r="N193" s="8" t="s">
        <v>214</v>
      </c>
      <c r="O193" s="8" t="s">
        <v>253</v>
      </c>
      <c r="P193" s="8" t="s">
        <v>2055</v>
      </c>
      <c r="Q193" s="8" t="s">
        <v>2056</v>
      </c>
      <c r="R193" s="8" t="s">
        <v>2057</v>
      </c>
      <c r="S193" s="19" t="s">
        <v>2058</v>
      </c>
      <c r="T193" s="8" t="s">
        <v>2059</v>
      </c>
      <c r="U193" s="8"/>
      <c r="V193" s="8" t="n">
        <f aca="false">COUNTA(M193:R193)</f>
        <v>6</v>
      </c>
      <c r="W193" s="8" t="s">
        <v>218</v>
      </c>
      <c r="X193" s="8" t="s">
        <v>218</v>
      </c>
      <c r="Y193" s="8" t="s">
        <v>218</v>
      </c>
      <c r="Z193" s="8"/>
      <c r="AA193" s="8" t="s">
        <v>2060</v>
      </c>
      <c r="AB193" s="20"/>
      <c r="AC193" s="20"/>
      <c r="AD193" s="20"/>
      <c r="AE193" s="8" t="s">
        <v>237</v>
      </c>
      <c r="AF193" s="8" t="s">
        <v>224</v>
      </c>
    </row>
    <row r="194" customFormat="false" ht="15" hidden="false" customHeight="false" outlineLevel="0" collapsed="false">
      <c r="A194" s="8" t="s">
        <v>2061</v>
      </c>
      <c r="B194" s="8" t="s">
        <v>2062</v>
      </c>
      <c r="C194" s="8"/>
      <c r="D194" s="8" t="s">
        <v>206</v>
      </c>
      <c r="E194" s="8" t="s">
        <v>103</v>
      </c>
      <c r="F194" s="8" t="s">
        <v>70</v>
      </c>
      <c r="G194" s="8" t="s">
        <v>207</v>
      </c>
      <c r="H194" s="8" t="s">
        <v>87</v>
      </c>
      <c r="I194" s="8" t="s">
        <v>273</v>
      </c>
      <c r="J194" s="8" t="n">
        <v>1</v>
      </c>
      <c r="K194" s="8" t="n">
        <v>3</v>
      </c>
      <c r="L194" s="18" t="n">
        <f aca="false">INDEX('All Items'!$Q:$Q,MATCH($A194,'All Items'!$A:$A,0))</f>
        <v>6.65</v>
      </c>
      <c r="M194" s="8" t="s">
        <v>477</v>
      </c>
      <c r="N194" s="8" t="s">
        <v>2063</v>
      </c>
      <c r="O194" s="8" t="s">
        <v>2064</v>
      </c>
      <c r="P194" s="8" t="s">
        <v>2065</v>
      </c>
      <c r="Q194" s="8" t="s">
        <v>2066</v>
      </c>
      <c r="R194" s="8" t="s">
        <v>2067</v>
      </c>
      <c r="S194" s="19" t="s">
        <v>2068</v>
      </c>
      <c r="T194" s="8"/>
      <c r="U194" s="8"/>
      <c r="V194" s="8" t="n">
        <f aca="false">COUNTA(M194:R194)</f>
        <v>6</v>
      </c>
      <c r="W194" s="8" t="s">
        <v>218</v>
      </c>
      <c r="X194" s="8" t="s">
        <v>218</v>
      </c>
      <c r="Y194" s="8" t="s">
        <v>218</v>
      </c>
      <c r="Z194" s="8"/>
      <c r="AA194" s="8" t="s">
        <v>2069</v>
      </c>
      <c r="AB194" s="20"/>
      <c r="AC194" s="20"/>
      <c r="AD194" s="20"/>
      <c r="AE194" s="8" t="s">
        <v>237</v>
      </c>
      <c r="AF194" s="8" t="s">
        <v>224</v>
      </c>
    </row>
    <row r="195" customFormat="false" ht="15" hidden="false" customHeight="false" outlineLevel="0" collapsed="false">
      <c r="A195" s="8" t="s">
        <v>2070</v>
      </c>
      <c r="B195" s="8" t="s">
        <v>2071</v>
      </c>
      <c r="C195" s="8"/>
      <c r="D195" s="8" t="s">
        <v>206</v>
      </c>
      <c r="E195" s="8" t="s">
        <v>103</v>
      </c>
      <c r="F195" s="8" t="s">
        <v>70</v>
      </c>
      <c r="G195" s="8" t="s">
        <v>207</v>
      </c>
      <c r="H195" s="8" t="s">
        <v>87</v>
      </c>
      <c r="I195" s="8" t="s">
        <v>227</v>
      </c>
      <c r="J195" s="8" t="n">
        <v>2</v>
      </c>
      <c r="K195" s="8" t="n">
        <v>3</v>
      </c>
      <c r="L195" s="18" t="n">
        <f aca="false">INDEX('All Items'!$Q:$Q,MATCH($A195,'All Items'!$A:$A,0))</f>
        <v>7.15</v>
      </c>
      <c r="M195" s="8" t="s">
        <v>892</v>
      </c>
      <c r="N195" s="8" t="s">
        <v>477</v>
      </c>
      <c r="O195" s="8" t="s">
        <v>2063</v>
      </c>
      <c r="P195" s="8" t="s">
        <v>2072</v>
      </c>
      <c r="Q195" s="8" t="s">
        <v>2073</v>
      </c>
      <c r="R195" s="8" t="s">
        <v>2074</v>
      </c>
      <c r="S195" s="19" t="s">
        <v>2075</v>
      </c>
      <c r="T195" s="8" t="s">
        <v>892</v>
      </c>
      <c r="U195" s="8"/>
      <c r="V195" s="8" t="n">
        <f aca="false">COUNTA(M195:R195)</f>
        <v>6</v>
      </c>
      <c r="W195" s="8" t="s">
        <v>259</v>
      </c>
      <c r="X195" s="8" t="s">
        <v>218</v>
      </c>
      <c r="Y195" s="8" t="s">
        <v>218</v>
      </c>
      <c r="Z195" s="8"/>
      <c r="AA195" s="8" t="s">
        <v>2076</v>
      </c>
      <c r="AB195" s="20"/>
      <c r="AC195" s="20"/>
      <c r="AD195" s="20"/>
      <c r="AE195" s="8" t="s">
        <v>237</v>
      </c>
      <c r="AF195" s="8" t="s">
        <v>224</v>
      </c>
    </row>
    <row r="196" customFormat="false" ht="15" hidden="false" customHeight="false" outlineLevel="0" collapsed="false">
      <c r="A196" s="8" t="s">
        <v>2077</v>
      </c>
      <c r="B196" s="8" t="s">
        <v>2078</v>
      </c>
      <c r="C196" s="8"/>
      <c r="D196" s="8" t="s">
        <v>206</v>
      </c>
      <c r="E196" s="8" t="s">
        <v>103</v>
      </c>
      <c r="F196" s="8" t="s">
        <v>70</v>
      </c>
      <c r="G196" s="8" t="s">
        <v>207</v>
      </c>
      <c r="H196" s="8" t="s">
        <v>87</v>
      </c>
      <c r="I196" s="8" t="s">
        <v>227</v>
      </c>
      <c r="J196" s="8" t="n">
        <v>2</v>
      </c>
      <c r="K196" s="8" t="n">
        <v>3</v>
      </c>
      <c r="L196" s="18" t="n">
        <f aca="false">INDEX('All Items'!$Q:$Q,MATCH($A196,'All Items'!$A:$A,0))</f>
        <v>6.65</v>
      </c>
      <c r="M196" s="8" t="s">
        <v>1032</v>
      </c>
      <c r="N196" s="8" t="s">
        <v>452</v>
      </c>
      <c r="O196" s="8" t="s">
        <v>1315</v>
      </c>
      <c r="P196" s="8" t="s">
        <v>2079</v>
      </c>
      <c r="Q196" s="8" t="s">
        <v>2080</v>
      </c>
      <c r="R196" s="8" t="s">
        <v>2081</v>
      </c>
      <c r="S196" s="19" t="s">
        <v>2082</v>
      </c>
      <c r="T196" s="8"/>
      <c r="U196" s="8"/>
      <c r="V196" s="8" t="n">
        <f aca="false">COUNTA(M196:R196)</f>
        <v>6</v>
      </c>
      <c r="W196" s="8" t="s">
        <v>259</v>
      </c>
      <c r="X196" s="8" t="s">
        <v>218</v>
      </c>
      <c r="Y196" s="8" t="s">
        <v>218</v>
      </c>
      <c r="Z196" s="8"/>
      <c r="AA196" s="8" t="s">
        <v>2083</v>
      </c>
      <c r="AB196" s="20"/>
      <c r="AC196" s="20"/>
      <c r="AD196" s="20"/>
      <c r="AE196" s="8" t="s">
        <v>237</v>
      </c>
      <c r="AF196" s="8" t="s">
        <v>224</v>
      </c>
    </row>
    <row r="197" customFormat="false" ht="15" hidden="false" customHeight="false" outlineLevel="0" collapsed="false">
      <c r="A197" s="8" t="s">
        <v>2084</v>
      </c>
      <c r="B197" s="8" t="s">
        <v>2085</v>
      </c>
      <c r="C197" s="8"/>
      <c r="D197" s="8" t="s">
        <v>206</v>
      </c>
      <c r="E197" s="8" t="s">
        <v>103</v>
      </c>
      <c r="F197" s="8" t="s">
        <v>70</v>
      </c>
      <c r="G197" s="8" t="s">
        <v>207</v>
      </c>
      <c r="H197" s="8" t="s">
        <v>87</v>
      </c>
      <c r="I197" s="8" t="s">
        <v>273</v>
      </c>
      <c r="J197" s="8" t="n">
        <v>2</v>
      </c>
      <c r="K197" s="8" t="n">
        <v>3</v>
      </c>
      <c r="L197" s="18" t="n">
        <f aca="false">INDEX('All Items'!$Q:$Q,MATCH($A197,'All Items'!$A:$A,0))</f>
        <v>6.65</v>
      </c>
      <c r="M197" s="8" t="s">
        <v>2086</v>
      </c>
      <c r="N197" s="8" t="s">
        <v>2087</v>
      </c>
      <c r="O197" s="8" t="s">
        <v>2088</v>
      </c>
      <c r="P197" s="8" t="s">
        <v>2089</v>
      </c>
      <c r="Q197" s="8" t="s">
        <v>521</v>
      </c>
      <c r="R197" s="8" t="s">
        <v>2090</v>
      </c>
      <c r="S197" s="19" t="s">
        <v>2091</v>
      </c>
      <c r="T197" s="8"/>
      <c r="U197" s="8"/>
      <c r="V197" s="8" t="n">
        <f aca="false">COUNTA(M197:R197)</f>
        <v>6</v>
      </c>
      <c r="W197" s="8" t="s">
        <v>259</v>
      </c>
      <c r="X197" s="8" t="s">
        <v>218</v>
      </c>
      <c r="Y197" s="8" t="s">
        <v>218</v>
      </c>
      <c r="Z197" s="8"/>
      <c r="AA197" s="8" t="s">
        <v>2092</v>
      </c>
      <c r="AB197" s="20"/>
      <c r="AC197" s="20"/>
      <c r="AD197" s="20"/>
      <c r="AE197" s="8" t="s">
        <v>237</v>
      </c>
      <c r="AF197" s="8" t="s">
        <v>224</v>
      </c>
    </row>
    <row r="198" customFormat="false" ht="15" hidden="false" customHeight="false" outlineLevel="0" collapsed="false">
      <c r="A198" s="8" t="s">
        <v>2093</v>
      </c>
      <c r="B198" s="8" t="s">
        <v>2094</v>
      </c>
      <c r="C198" s="8"/>
      <c r="D198" s="8" t="s">
        <v>206</v>
      </c>
      <c r="E198" s="8" t="s">
        <v>103</v>
      </c>
      <c r="F198" s="8" t="s">
        <v>70</v>
      </c>
      <c r="G198" s="8" t="s">
        <v>207</v>
      </c>
      <c r="H198" s="8" t="s">
        <v>79</v>
      </c>
      <c r="I198" s="8" t="s">
        <v>273</v>
      </c>
      <c r="J198" s="8" t="n">
        <v>1</v>
      </c>
      <c r="K198" s="8" t="n">
        <v>5</v>
      </c>
      <c r="L198" s="18" t="n">
        <f aca="false">INDEX('All Items'!$Q:$Q,MATCH($A198,'All Items'!$A:$A,0))</f>
        <v>9.75</v>
      </c>
      <c r="M198" s="8" t="s">
        <v>251</v>
      </c>
      <c r="N198" s="8" t="s">
        <v>930</v>
      </c>
      <c r="O198" s="8" t="s">
        <v>477</v>
      </c>
      <c r="P198" s="8" t="s">
        <v>2095</v>
      </c>
      <c r="Q198" s="8" t="s">
        <v>2096</v>
      </c>
      <c r="R198" s="8" t="s">
        <v>745</v>
      </c>
      <c r="S198" s="19" t="s">
        <v>2097</v>
      </c>
      <c r="T198" s="8" t="s">
        <v>2098</v>
      </c>
      <c r="U198" s="8"/>
      <c r="V198" s="8" t="n">
        <f aca="false">COUNTA(M198:R198)</f>
        <v>6</v>
      </c>
      <c r="W198" s="8" t="s">
        <v>218</v>
      </c>
      <c r="X198" s="8" t="s">
        <v>218</v>
      </c>
      <c r="Y198" s="8" t="s">
        <v>259</v>
      </c>
      <c r="Z198" s="8" t="s">
        <v>2099</v>
      </c>
      <c r="AA198" s="8" t="s">
        <v>2100</v>
      </c>
      <c r="AB198" s="20" t="s">
        <v>2101</v>
      </c>
      <c r="AC198" s="20" t="s">
        <v>221</v>
      </c>
      <c r="AD198" s="20" t="s">
        <v>2102</v>
      </c>
      <c r="AE198" s="8" t="s">
        <v>223</v>
      </c>
      <c r="AF198" s="8" t="s">
        <v>224</v>
      </c>
    </row>
    <row r="199" customFormat="false" ht="15" hidden="false" customHeight="false" outlineLevel="0" collapsed="false">
      <c r="A199" s="8" t="s">
        <v>2103</v>
      </c>
      <c r="B199" s="8" t="s">
        <v>2104</v>
      </c>
      <c r="C199" s="8" t="s">
        <v>2105</v>
      </c>
      <c r="D199" s="8" t="s">
        <v>206</v>
      </c>
      <c r="E199" s="8" t="s">
        <v>103</v>
      </c>
      <c r="F199" s="8" t="s">
        <v>70</v>
      </c>
      <c r="G199" s="8" t="s">
        <v>207</v>
      </c>
      <c r="H199" s="8" t="s">
        <v>79</v>
      </c>
      <c r="I199" s="8" t="s">
        <v>273</v>
      </c>
      <c r="J199" s="8" t="n">
        <v>1</v>
      </c>
      <c r="K199" s="8" t="n">
        <v>4</v>
      </c>
      <c r="L199" s="18" t="n">
        <f aca="false">INDEX('All Items'!$Q:$Q,MATCH($A199,'All Items'!$A:$A,0))</f>
        <v>8.2</v>
      </c>
      <c r="M199" s="8" t="s">
        <v>252</v>
      </c>
      <c r="N199" s="8" t="s">
        <v>477</v>
      </c>
      <c r="O199" s="8" t="s">
        <v>307</v>
      </c>
      <c r="P199" s="8" t="s">
        <v>2106</v>
      </c>
      <c r="Q199" s="8" t="s">
        <v>2107</v>
      </c>
      <c r="R199" s="8"/>
      <c r="S199" s="19" t="s">
        <v>2108</v>
      </c>
      <c r="T199" s="8" t="s">
        <v>2109</v>
      </c>
      <c r="U199" s="8"/>
      <c r="V199" s="8" t="n">
        <f aca="false">COUNTA(M199:R199)</f>
        <v>5</v>
      </c>
      <c r="W199" s="8" t="s">
        <v>218</v>
      </c>
      <c r="X199" s="8" t="s">
        <v>218</v>
      </c>
      <c r="Y199" s="8" t="s">
        <v>218</v>
      </c>
      <c r="Z199" s="8"/>
      <c r="AA199" s="8" t="s">
        <v>2110</v>
      </c>
      <c r="AB199" s="20"/>
      <c r="AC199" s="20"/>
      <c r="AD199" s="20"/>
      <c r="AE199" s="8" t="s">
        <v>237</v>
      </c>
      <c r="AF199" s="8" t="s">
        <v>224</v>
      </c>
    </row>
    <row r="200" customFormat="false" ht="15" hidden="false" customHeight="false" outlineLevel="0" collapsed="false">
      <c r="A200" s="8" t="s">
        <v>2111</v>
      </c>
      <c r="B200" s="8" t="s">
        <v>2112</v>
      </c>
      <c r="C200" s="8"/>
      <c r="D200" s="8" t="s">
        <v>206</v>
      </c>
      <c r="E200" s="8" t="s">
        <v>103</v>
      </c>
      <c r="F200" s="8" t="s">
        <v>70</v>
      </c>
      <c r="G200" s="8" t="s">
        <v>207</v>
      </c>
      <c r="H200" s="8" t="s">
        <v>82</v>
      </c>
      <c r="I200" s="8" t="s">
        <v>273</v>
      </c>
      <c r="J200" s="8" t="n">
        <v>1</v>
      </c>
      <c r="K200" s="8" t="n">
        <v>5</v>
      </c>
      <c r="L200" s="18" t="n">
        <f aca="false">INDEX('All Items'!$Q:$Q,MATCH($A200,'All Items'!$A:$A,0))</f>
        <v>9.75</v>
      </c>
      <c r="M200" s="8" t="s">
        <v>835</v>
      </c>
      <c r="N200" s="8" t="s">
        <v>668</v>
      </c>
      <c r="O200" s="8" t="s">
        <v>346</v>
      </c>
      <c r="P200" s="8" t="s">
        <v>892</v>
      </c>
      <c r="Q200" s="8" t="s">
        <v>1143</v>
      </c>
      <c r="R200" s="8"/>
      <c r="S200" s="19" t="s">
        <v>2113</v>
      </c>
      <c r="T200" s="8" t="s">
        <v>2114</v>
      </c>
      <c r="U200" s="8"/>
      <c r="V200" s="8" t="n">
        <f aca="false">COUNTA(M200:R200)</f>
        <v>5</v>
      </c>
      <c r="W200" s="8" t="s">
        <v>218</v>
      </c>
      <c r="X200" s="8" t="s">
        <v>218</v>
      </c>
      <c r="Y200" s="8" t="s">
        <v>218</v>
      </c>
      <c r="Z200" s="8"/>
      <c r="AA200" s="8" t="s">
        <v>2115</v>
      </c>
      <c r="AB200" s="20" t="s">
        <v>2116</v>
      </c>
      <c r="AC200" s="20" t="s">
        <v>221</v>
      </c>
      <c r="AD200" s="20" t="s">
        <v>1185</v>
      </c>
      <c r="AE200" s="8" t="s">
        <v>223</v>
      </c>
      <c r="AF200" s="8" t="s">
        <v>224</v>
      </c>
    </row>
    <row r="201" customFormat="false" ht="15" hidden="false" customHeight="false" outlineLevel="0" collapsed="false">
      <c r="A201" s="8" t="s">
        <v>2117</v>
      </c>
      <c r="B201" s="8" t="s">
        <v>2118</v>
      </c>
      <c r="C201" s="8"/>
      <c r="D201" s="8" t="s">
        <v>206</v>
      </c>
      <c r="E201" s="8" t="s">
        <v>103</v>
      </c>
      <c r="F201" s="8" t="s">
        <v>70</v>
      </c>
      <c r="G201" s="8" t="s">
        <v>207</v>
      </c>
      <c r="H201" s="8" t="s">
        <v>82</v>
      </c>
      <c r="I201" s="8" t="s">
        <v>273</v>
      </c>
      <c r="J201" s="8" t="n">
        <v>2</v>
      </c>
      <c r="K201" s="8" t="n">
        <v>3</v>
      </c>
      <c r="L201" s="18" t="n">
        <f aca="false">INDEX('All Items'!$Q:$Q,MATCH($A201,'All Items'!$A:$A,0))</f>
        <v>6.9</v>
      </c>
      <c r="M201" s="8" t="s">
        <v>252</v>
      </c>
      <c r="N201" s="8" t="s">
        <v>307</v>
      </c>
      <c r="O201" s="8" t="s">
        <v>2119</v>
      </c>
      <c r="P201" s="8" t="s">
        <v>1906</v>
      </c>
      <c r="Q201" s="8" t="s">
        <v>2120</v>
      </c>
      <c r="R201" s="8" t="s">
        <v>2121</v>
      </c>
      <c r="S201" s="19" t="s">
        <v>2122</v>
      </c>
      <c r="T201" s="8" t="s">
        <v>2109</v>
      </c>
      <c r="U201" s="8"/>
      <c r="V201" s="8" t="n">
        <f aca="false">COUNTA(M201:R201)</f>
        <v>6</v>
      </c>
      <c r="W201" s="8" t="s">
        <v>259</v>
      </c>
      <c r="X201" s="8" t="s">
        <v>218</v>
      </c>
      <c r="Y201" s="8" t="s">
        <v>218</v>
      </c>
      <c r="Z201" s="8"/>
      <c r="AA201" s="8" t="s">
        <v>2123</v>
      </c>
      <c r="AB201" s="20"/>
      <c r="AC201" s="20"/>
      <c r="AD201" s="20"/>
      <c r="AE201" s="8" t="s">
        <v>237</v>
      </c>
      <c r="AF201" s="8" t="s">
        <v>224</v>
      </c>
    </row>
    <row r="202" customFormat="false" ht="15" hidden="false" customHeight="false" outlineLevel="0" collapsed="false">
      <c r="A202" s="8" t="s">
        <v>2124</v>
      </c>
      <c r="B202" s="8" t="s">
        <v>2125</v>
      </c>
      <c r="C202" s="8"/>
      <c r="D202" s="8" t="s">
        <v>206</v>
      </c>
      <c r="E202" s="8" t="s">
        <v>103</v>
      </c>
      <c r="F202" s="8" t="s">
        <v>70</v>
      </c>
      <c r="G202" s="8" t="s">
        <v>207</v>
      </c>
      <c r="H202" s="8" t="s">
        <v>84</v>
      </c>
      <c r="I202" s="8" t="s">
        <v>227</v>
      </c>
      <c r="J202" s="8" t="n">
        <v>1</v>
      </c>
      <c r="K202" s="8" t="n">
        <v>5</v>
      </c>
      <c r="L202" s="18" t="n">
        <f aca="false">INDEX('All Items'!$Q:$Q,MATCH($A202,'All Items'!$A:$A,0))</f>
        <v>9.75</v>
      </c>
      <c r="M202" s="8" t="s">
        <v>764</v>
      </c>
      <c r="N202" s="8" t="s">
        <v>2126</v>
      </c>
      <c r="O202" s="8" t="s">
        <v>477</v>
      </c>
      <c r="P202" s="8" t="s">
        <v>2127</v>
      </c>
      <c r="Q202" s="8" t="s">
        <v>2128</v>
      </c>
      <c r="R202" s="8" t="s">
        <v>454</v>
      </c>
      <c r="S202" s="19" t="s">
        <v>2129</v>
      </c>
      <c r="T202" s="8" t="s">
        <v>2130</v>
      </c>
      <c r="U202" s="8"/>
      <c r="V202" s="8" t="n">
        <f aca="false">COUNTA(M202:R202)</f>
        <v>6</v>
      </c>
      <c r="W202" s="8" t="s">
        <v>218</v>
      </c>
      <c r="X202" s="8" t="s">
        <v>218</v>
      </c>
      <c r="Y202" s="8" t="s">
        <v>259</v>
      </c>
      <c r="Z202" s="8" t="s">
        <v>2131</v>
      </c>
      <c r="AA202" s="8" t="s">
        <v>2132</v>
      </c>
      <c r="AB202" s="20"/>
      <c r="AC202" s="20"/>
      <c r="AD202" s="20"/>
      <c r="AE202" s="8" t="s">
        <v>237</v>
      </c>
      <c r="AF202" s="8" t="s">
        <v>224</v>
      </c>
    </row>
    <row r="203" customFormat="false" ht="15" hidden="false" customHeight="false" outlineLevel="0" collapsed="false">
      <c r="A203" s="8" t="s">
        <v>2133</v>
      </c>
      <c r="B203" s="8" t="s">
        <v>2134</v>
      </c>
      <c r="C203" s="8"/>
      <c r="D203" s="8" t="s">
        <v>206</v>
      </c>
      <c r="E203" s="8" t="s">
        <v>103</v>
      </c>
      <c r="F203" s="8" t="s">
        <v>70</v>
      </c>
      <c r="G203" s="8" t="s">
        <v>207</v>
      </c>
      <c r="H203" s="8" t="s">
        <v>84</v>
      </c>
      <c r="I203" s="8" t="s">
        <v>227</v>
      </c>
      <c r="J203" s="8" t="n">
        <v>1</v>
      </c>
      <c r="K203" s="8" t="n">
        <v>5</v>
      </c>
      <c r="L203" s="18" t="n">
        <f aca="false">INDEX('All Items'!$Q:$Q,MATCH($A203,'All Items'!$A:$A,0))</f>
        <v>10</v>
      </c>
      <c r="M203" s="8" t="s">
        <v>347</v>
      </c>
      <c r="N203" s="8" t="s">
        <v>463</v>
      </c>
      <c r="O203" s="8" t="s">
        <v>2135</v>
      </c>
      <c r="P203" s="8" t="s">
        <v>2136</v>
      </c>
      <c r="Q203" s="8" t="s">
        <v>2137</v>
      </c>
      <c r="R203" s="8" t="s">
        <v>2138</v>
      </c>
      <c r="S203" s="19" t="s">
        <v>2139</v>
      </c>
      <c r="T203" s="8" t="s">
        <v>2140</v>
      </c>
      <c r="U203" s="8"/>
      <c r="V203" s="8" t="n">
        <f aca="false">COUNTA(M203:R203)</f>
        <v>6</v>
      </c>
      <c r="W203" s="8" t="s">
        <v>218</v>
      </c>
      <c r="X203" s="8" t="s">
        <v>218</v>
      </c>
      <c r="Y203" s="8" t="s">
        <v>218</v>
      </c>
      <c r="Z203" s="8"/>
      <c r="AA203" s="8" t="s">
        <v>2141</v>
      </c>
      <c r="AB203" s="20" t="s">
        <v>2142</v>
      </c>
      <c r="AC203" s="20" t="s">
        <v>221</v>
      </c>
      <c r="AD203" s="20" t="s">
        <v>2143</v>
      </c>
      <c r="AE203" s="8" t="s">
        <v>223</v>
      </c>
      <c r="AF203" s="8" t="s">
        <v>224</v>
      </c>
    </row>
    <row r="204" customFormat="false" ht="15" hidden="false" customHeight="false" outlineLevel="0" collapsed="false">
      <c r="A204" s="8" t="s">
        <v>2144</v>
      </c>
      <c r="B204" s="8" t="s">
        <v>2145</v>
      </c>
      <c r="C204" s="8"/>
      <c r="D204" s="8" t="s">
        <v>206</v>
      </c>
      <c r="E204" s="8" t="s">
        <v>103</v>
      </c>
      <c r="F204" s="8" t="s">
        <v>70</v>
      </c>
      <c r="G204" s="8" t="s">
        <v>207</v>
      </c>
      <c r="H204" s="8" t="s">
        <v>80</v>
      </c>
      <c r="I204" s="8" t="s">
        <v>227</v>
      </c>
      <c r="J204" s="8" t="n">
        <v>1</v>
      </c>
      <c r="K204" s="8" t="n">
        <v>5</v>
      </c>
      <c r="L204" s="18" t="n">
        <f aca="false">INDEX('All Items'!$Q:$Q,MATCH($A204,'All Items'!$A:$A,0))</f>
        <v>9.75</v>
      </c>
      <c r="M204" s="8" t="s">
        <v>764</v>
      </c>
      <c r="N204" s="8" t="s">
        <v>1363</v>
      </c>
      <c r="O204" s="8" t="s">
        <v>275</v>
      </c>
      <c r="P204" s="8" t="s">
        <v>1521</v>
      </c>
      <c r="Q204" s="8" t="s">
        <v>2146</v>
      </c>
      <c r="R204" s="8" t="s">
        <v>2147</v>
      </c>
      <c r="S204" s="19" t="s">
        <v>2148</v>
      </c>
      <c r="T204" s="8" t="s">
        <v>2149</v>
      </c>
      <c r="U204" s="8"/>
      <c r="V204" s="8" t="n">
        <f aca="false">COUNTA(M204:R204)</f>
        <v>6</v>
      </c>
      <c r="W204" s="8" t="s">
        <v>218</v>
      </c>
      <c r="X204" s="8" t="s">
        <v>218</v>
      </c>
      <c r="Y204" s="8" t="s">
        <v>218</v>
      </c>
      <c r="Z204" s="8"/>
      <c r="AA204" s="8" t="s">
        <v>2150</v>
      </c>
      <c r="AB204" s="20" t="s">
        <v>2151</v>
      </c>
      <c r="AC204" s="20" t="s">
        <v>516</v>
      </c>
      <c r="AD204" s="20" t="s">
        <v>2152</v>
      </c>
      <c r="AE204" s="8" t="s">
        <v>223</v>
      </c>
      <c r="AF204" s="8" t="s">
        <v>224</v>
      </c>
    </row>
    <row r="205" customFormat="false" ht="15" hidden="false" customHeight="false" outlineLevel="0" collapsed="false">
      <c r="A205" s="8" t="s">
        <v>2153</v>
      </c>
      <c r="B205" s="8" t="s">
        <v>2154</v>
      </c>
      <c r="C205" s="8"/>
      <c r="D205" s="8" t="s">
        <v>206</v>
      </c>
      <c r="E205" s="8" t="s">
        <v>103</v>
      </c>
      <c r="F205" s="8" t="s">
        <v>70</v>
      </c>
      <c r="G205" s="8" t="s">
        <v>207</v>
      </c>
      <c r="H205" s="8" t="s">
        <v>80</v>
      </c>
      <c r="I205" s="8" t="s">
        <v>227</v>
      </c>
      <c r="J205" s="8" t="n">
        <v>1</v>
      </c>
      <c r="K205" s="8" t="n">
        <v>5</v>
      </c>
      <c r="L205" s="18" t="n">
        <f aca="false">INDEX('All Items'!$Q:$Q,MATCH($A205,'All Items'!$A:$A,0))</f>
        <v>9.5</v>
      </c>
      <c r="M205" s="8" t="s">
        <v>764</v>
      </c>
      <c r="N205" s="8" t="s">
        <v>1363</v>
      </c>
      <c r="O205" s="8" t="s">
        <v>2155</v>
      </c>
      <c r="P205" s="8" t="s">
        <v>2156</v>
      </c>
      <c r="Q205" s="8" t="s">
        <v>2157</v>
      </c>
      <c r="R205" s="8" t="s">
        <v>2158</v>
      </c>
      <c r="S205" s="19" t="s">
        <v>2159</v>
      </c>
      <c r="T205" s="8" t="s">
        <v>2160</v>
      </c>
      <c r="U205" s="8"/>
      <c r="V205" s="8" t="n">
        <f aca="false">COUNTA(M205:R205)</f>
        <v>6</v>
      </c>
      <c r="W205" s="8" t="s">
        <v>218</v>
      </c>
      <c r="X205" s="8" t="s">
        <v>218</v>
      </c>
      <c r="Y205" s="8" t="s">
        <v>218</v>
      </c>
      <c r="Z205" s="8"/>
      <c r="AA205" s="8" t="s">
        <v>2161</v>
      </c>
      <c r="AB205" s="20"/>
      <c r="AC205" s="20"/>
      <c r="AD205" s="20"/>
      <c r="AE205" s="8" t="s">
        <v>237</v>
      </c>
      <c r="AF205" s="8" t="s">
        <v>224</v>
      </c>
    </row>
    <row r="206" customFormat="false" ht="15" hidden="false" customHeight="false" outlineLevel="0" collapsed="false">
      <c r="A206" s="8" t="s">
        <v>2162</v>
      </c>
      <c r="B206" s="8" t="s">
        <v>2163</v>
      </c>
      <c r="C206" s="8"/>
      <c r="D206" s="8" t="s">
        <v>206</v>
      </c>
      <c r="E206" s="8" t="s">
        <v>103</v>
      </c>
      <c r="F206" s="8" t="s">
        <v>70</v>
      </c>
      <c r="G206" s="8" t="s">
        <v>207</v>
      </c>
      <c r="H206" s="8" t="s">
        <v>80</v>
      </c>
      <c r="I206" s="8" t="s">
        <v>227</v>
      </c>
      <c r="J206" s="8" t="n">
        <v>2</v>
      </c>
      <c r="K206" s="8" t="n">
        <v>3</v>
      </c>
      <c r="L206" s="18" t="n">
        <f aca="false">INDEX('All Items'!$Q:$Q,MATCH($A206,'All Items'!$A:$A,0))</f>
        <v>6.65</v>
      </c>
      <c r="M206" s="8" t="s">
        <v>764</v>
      </c>
      <c r="N206" s="8" t="s">
        <v>892</v>
      </c>
      <c r="O206" s="8" t="s">
        <v>1340</v>
      </c>
      <c r="P206" s="8" t="s">
        <v>2164</v>
      </c>
      <c r="Q206" s="8" t="s">
        <v>2165</v>
      </c>
      <c r="R206" s="8"/>
      <c r="S206" s="19" t="s">
        <v>2166</v>
      </c>
      <c r="T206" s="8" t="s">
        <v>2167</v>
      </c>
      <c r="U206" s="8"/>
      <c r="V206" s="8" t="n">
        <f aca="false">COUNTA(M206:R206)</f>
        <v>5</v>
      </c>
      <c r="W206" s="8" t="s">
        <v>259</v>
      </c>
      <c r="X206" s="8" t="s">
        <v>218</v>
      </c>
      <c r="Y206" s="8" t="s">
        <v>218</v>
      </c>
      <c r="Z206" s="8"/>
      <c r="AA206" s="8" t="s">
        <v>2168</v>
      </c>
      <c r="AB206" s="20"/>
      <c r="AC206" s="20"/>
      <c r="AD206" s="20"/>
      <c r="AE206" s="8" t="s">
        <v>237</v>
      </c>
      <c r="AF206" s="8" t="s">
        <v>224</v>
      </c>
    </row>
    <row r="207" customFormat="false" ht="15" hidden="false" customHeight="false" outlineLevel="0" collapsed="false">
      <c r="A207" s="8" t="s">
        <v>2169</v>
      </c>
      <c r="B207" s="8" t="s">
        <v>2170</v>
      </c>
      <c r="C207" s="8"/>
      <c r="D207" s="8" t="s">
        <v>206</v>
      </c>
      <c r="E207" s="8" t="s">
        <v>103</v>
      </c>
      <c r="F207" s="8" t="s">
        <v>70</v>
      </c>
      <c r="G207" s="8" t="s">
        <v>207</v>
      </c>
      <c r="H207" s="8" t="s">
        <v>80</v>
      </c>
      <c r="I207" s="8" t="s">
        <v>227</v>
      </c>
      <c r="J207" s="8" t="n">
        <v>2</v>
      </c>
      <c r="K207" s="8" t="n">
        <v>3</v>
      </c>
      <c r="L207" s="18" t="n">
        <f aca="false">INDEX('All Items'!$Q:$Q,MATCH($A207,'All Items'!$A:$A,0))</f>
        <v>6.9</v>
      </c>
      <c r="M207" s="8" t="s">
        <v>764</v>
      </c>
      <c r="N207" s="8" t="s">
        <v>347</v>
      </c>
      <c r="O207" s="8" t="s">
        <v>2171</v>
      </c>
      <c r="P207" s="8" t="s">
        <v>2172</v>
      </c>
      <c r="Q207" s="8" t="s">
        <v>476</v>
      </c>
      <c r="R207" s="8"/>
      <c r="S207" s="19" t="s">
        <v>2173</v>
      </c>
      <c r="T207" s="8" t="s">
        <v>2174</v>
      </c>
      <c r="U207" s="8" t="s">
        <v>476</v>
      </c>
      <c r="V207" s="8" t="n">
        <f aca="false">COUNTA(M207:R207)</f>
        <v>5</v>
      </c>
      <c r="W207" s="8" t="s">
        <v>259</v>
      </c>
      <c r="X207" s="8" t="s">
        <v>218</v>
      </c>
      <c r="Y207" s="8" t="s">
        <v>218</v>
      </c>
      <c r="Z207" s="8"/>
      <c r="AA207" s="8" t="s">
        <v>2175</v>
      </c>
      <c r="AB207" s="20"/>
      <c r="AC207" s="20"/>
      <c r="AD207" s="20"/>
      <c r="AE207" s="8" t="s">
        <v>237</v>
      </c>
      <c r="AF207" s="8" t="s">
        <v>224</v>
      </c>
    </row>
    <row r="208" customFormat="false" ht="15" hidden="false" customHeight="false" outlineLevel="0" collapsed="false">
      <c r="A208" s="8" t="s">
        <v>2176</v>
      </c>
      <c r="B208" s="8" t="s">
        <v>2177</v>
      </c>
      <c r="C208" s="8"/>
      <c r="D208" s="8" t="s">
        <v>206</v>
      </c>
      <c r="E208" s="8" t="s">
        <v>103</v>
      </c>
      <c r="F208" s="8" t="s">
        <v>70</v>
      </c>
      <c r="G208" s="8" t="s">
        <v>207</v>
      </c>
      <c r="H208" s="8" t="s">
        <v>84</v>
      </c>
      <c r="I208" s="8" t="s">
        <v>227</v>
      </c>
      <c r="J208" s="8" t="n">
        <v>1</v>
      </c>
      <c r="K208" s="8" t="n">
        <v>5</v>
      </c>
      <c r="L208" s="18" t="n">
        <f aca="false">INDEX('All Items'!$Q:$Q,MATCH($A208,'All Items'!$A:$A,0))</f>
        <v>9.5</v>
      </c>
      <c r="M208" s="8" t="s">
        <v>2178</v>
      </c>
      <c r="N208" s="8" t="s">
        <v>2179</v>
      </c>
      <c r="O208" s="8" t="s">
        <v>346</v>
      </c>
      <c r="P208" s="8" t="s">
        <v>2180</v>
      </c>
      <c r="Q208" s="8" t="s">
        <v>2181</v>
      </c>
      <c r="R208" s="8"/>
      <c r="S208" s="19" t="s">
        <v>2182</v>
      </c>
      <c r="T208" s="8" t="s">
        <v>2183</v>
      </c>
      <c r="U208" s="8"/>
      <c r="V208" s="8" t="n">
        <f aca="false">COUNTA(M208:R208)</f>
        <v>5</v>
      </c>
      <c r="W208" s="8" t="s">
        <v>218</v>
      </c>
      <c r="X208" s="8" t="s">
        <v>218</v>
      </c>
      <c r="Y208" s="8" t="s">
        <v>218</v>
      </c>
      <c r="Z208" s="8"/>
      <c r="AA208" s="8" t="s">
        <v>2184</v>
      </c>
      <c r="AB208" s="20"/>
      <c r="AC208" s="20"/>
      <c r="AD208" s="20"/>
      <c r="AE208" s="8" t="s">
        <v>237</v>
      </c>
      <c r="AF208" s="8" t="s">
        <v>224</v>
      </c>
    </row>
    <row r="209" customFormat="false" ht="15" hidden="false" customHeight="false" outlineLevel="0" collapsed="false">
      <c r="A209" s="8" t="s">
        <v>2185</v>
      </c>
      <c r="B209" s="8" t="s">
        <v>2186</v>
      </c>
      <c r="C209" s="8"/>
      <c r="D209" s="8" t="s">
        <v>206</v>
      </c>
      <c r="E209" s="8" t="s">
        <v>103</v>
      </c>
      <c r="F209" s="8" t="s">
        <v>70</v>
      </c>
      <c r="G209" s="8" t="s">
        <v>207</v>
      </c>
      <c r="H209" s="8" t="s">
        <v>84</v>
      </c>
      <c r="I209" s="8" t="s">
        <v>227</v>
      </c>
      <c r="J209" s="8" t="n">
        <v>1</v>
      </c>
      <c r="K209" s="8" t="n">
        <v>4</v>
      </c>
      <c r="L209" s="18" t="n">
        <f aca="false">INDEX('All Items'!$Q:$Q,MATCH($A209,'All Items'!$A:$A,0))</f>
        <v>7.95</v>
      </c>
      <c r="M209" s="8" t="s">
        <v>764</v>
      </c>
      <c r="N209" s="8" t="s">
        <v>2187</v>
      </c>
      <c r="O209" s="8" t="s">
        <v>2188</v>
      </c>
      <c r="P209" s="8" t="s">
        <v>2189</v>
      </c>
      <c r="Q209" s="8" t="s">
        <v>2190</v>
      </c>
      <c r="R209" s="8" t="s">
        <v>2191</v>
      </c>
      <c r="S209" s="19" t="s">
        <v>2192</v>
      </c>
      <c r="T209" s="8" t="s">
        <v>2193</v>
      </c>
      <c r="U209" s="8"/>
      <c r="V209" s="8" t="n">
        <f aca="false">COUNTA(M209:R209)</f>
        <v>6</v>
      </c>
      <c r="W209" s="8" t="s">
        <v>218</v>
      </c>
      <c r="X209" s="8" t="s">
        <v>218</v>
      </c>
      <c r="Y209" s="8" t="s">
        <v>218</v>
      </c>
      <c r="Z209" s="8"/>
      <c r="AA209" s="8" t="s">
        <v>2194</v>
      </c>
      <c r="AB209" s="20"/>
      <c r="AC209" s="20"/>
      <c r="AD209" s="20"/>
      <c r="AE209" s="8" t="s">
        <v>237</v>
      </c>
      <c r="AF209" s="8" t="s">
        <v>224</v>
      </c>
    </row>
    <row r="210" customFormat="false" ht="15" hidden="false" customHeight="false" outlineLevel="0" collapsed="false">
      <c r="A210" s="8" t="s">
        <v>2195</v>
      </c>
      <c r="B210" s="8" t="s">
        <v>2196</v>
      </c>
      <c r="C210" s="8"/>
      <c r="D210" s="8" t="s">
        <v>206</v>
      </c>
      <c r="E210" s="8" t="s">
        <v>103</v>
      </c>
      <c r="F210" s="8" t="s">
        <v>70</v>
      </c>
      <c r="G210" s="8" t="s">
        <v>207</v>
      </c>
      <c r="H210" s="8" t="s">
        <v>84</v>
      </c>
      <c r="I210" s="8" t="s">
        <v>227</v>
      </c>
      <c r="J210" s="8" t="n">
        <v>1</v>
      </c>
      <c r="K210" s="8" t="n">
        <v>4</v>
      </c>
      <c r="L210" s="18" t="n">
        <f aca="false">INDEX('All Items'!$Q:$Q,MATCH($A210,'All Items'!$A:$A,0))</f>
        <v>8.2</v>
      </c>
      <c r="M210" s="8" t="s">
        <v>764</v>
      </c>
      <c r="N210" s="8" t="s">
        <v>347</v>
      </c>
      <c r="O210" s="8" t="s">
        <v>2197</v>
      </c>
      <c r="P210" s="8" t="s">
        <v>2198</v>
      </c>
      <c r="Q210" s="8" t="s">
        <v>2199</v>
      </c>
      <c r="R210" s="8" t="s">
        <v>2200</v>
      </c>
      <c r="S210" s="19" t="s">
        <v>2201</v>
      </c>
      <c r="T210" s="8" t="s">
        <v>2202</v>
      </c>
      <c r="U210" s="8"/>
      <c r="V210" s="8" t="n">
        <f aca="false">COUNTA(M210:R210)</f>
        <v>6</v>
      </c>
      <c r="W210" s="8" t="s">
        <v>218</v>
      </c>
      <c r="X210" s="8" t="s">
        <v>218</v>
      </c>
      <c r="Y210" s="8" t="s">
        <v>218</v>
      </c>
      <c r="Z210" s="8"/>
      <c r="AA210" s="8" t="s">
        <v>2203</v>
      </c>
      <c r="AB210" s="20"/>
      <c r="AC210" s="20"/>
      <c r="AD210" s="20"/>
      <c r="AE210" s="8" t="s">
        <v>237</v>
      </c>
      <c r="AF210" s="8" t="s">
        <v>224</v>
      </c>
    </row>
    <row r="211" customFormat="false" ht="15" hidden="false" customHeight="false" outlineLevel="0" collapsed="false">
      <c r="A211" s="8" t="s">
        <v>2204</v>
      </c>
      <c r="B211" s="8" t="s">
        <v>2205</v>
      </c>
      <c r="C211" s="8"/>
      <c r="D211" s="8" t="s">
        <v>206</v>
      </c>
      <c r="E211" s="8" t="s">
        <v>103</v>
      </c>
      <c r="F211" s="8" t="s">
        <v>70</v>
      </c>
      <c r="G211" s="8" t="s">
        <v>207</v>
      </c>
      <c r="H211" s="8" t="s">
        <v>84</v>
      </c>
      <c r="I211" s="8" t="s">
        <v>227</v>
      </c>
      <c r="J211" s="8" t="n">
        <v>1</v>
      </c>
      <c r="K211" s="8" t="n">
        <v>4</v>
      </c>
      <c r="L211" s="18" t="n">
        <f aca="false">INDEX('All Items'!$Q:$Q,MATCH($A211,'All Items'!$A:$A,0))</f>
        <v>8.2</v>
      </c>
      <c r="M211" s="8" t="s">
        <v>764</v>
      </c>
      <c r="N211" s="8" t="s">
        <v>463</v>
      </c>
      <c r="O211" s="8" t="s">
        <v>2206</v>
      </c>
      <c r="P211" s="8" t="s">
        <v>2207</v>
      </c>
      <c r="Q211" s="8" t="s">
        <v>2208</v>
      </c>
      <c r="R211" s="8"/>
      <c r="S211" s="19" t="s">
        <v>2209</v>
      </c>
      <c r="T211" s="8" t="s">
        <v>2210</v>
      </c>
      <c r="U211" s="8"/>
      <c r="V211" s="8" t="n">
        <f aca="false">COUNTA(M211:R211)</f>
        <v>5</v>
      </c>
      <c r="W211" s="8" t="s">
        <v>218</v>
      </c>
      <c r="X211" s="8" t="s">
        <v>218</v>
      </c>
      <c r="Y211" s="8" t="s">
        <v>218</v>
      </c>
      <c r="Z211" s="8"/>
      <c r="AA211" s="8" t="s">
        <v>2211</v>
      </c>
      <c r="AB211" s="20"/>
      <c r="AC211" s="20"/>
      <c r="AD211" s="20"/>
      <c r="AE211" s="8" t="s">
        <v>237</v>
      </c>
      <c r="AF211" s="8" t="s">
        <v>224</v>
      </c>
    </row>
    <row r="212" customFormat="false" ht="15" hidden="false" customHeight="false" outlineLevel="0" collapsed="false">
      <c r="A212" s="8" t="s">
        <v>2212</v>
      </c>
      <c r="B212" s="8" t="s">
        <v>2213</v>
      </c>
      <c r="C212" s="8"/>
      <c r="D212" s="8" t="s">
        <v>206</v>
      </c>
      <c r="E212" s="8" t="s">
        <v>103</v>
      </c>
      <c r="F212" s="8" t="s">
        <v>70</v>
      </c>
      <c r="G212" s="8" t="s">
        <v>207</v>
      </c>
      <c r="H212" s="8" t="s">
        <v>84</v>
      </c>
      <c r="I212" s="8" t="s">
        <v>227</v>
      </c>
      <c r="J212" s="8" t="n">
        <v>2</v>
      </c>
      <c r="K212" s="8" t="n">
        <v>3</v>
      </c>
      <c r="L212" s="18" t="n">
        <f aca="false">INDEX('All Items'!$Q:$Q,MATCH($A212,'All Items'!$A:$A,0))</f>
        <v>7.15</v>
      </c>
      <c r="M212" s="8" t="s">
        <v>764</v>
      </c>
      <c r="N212" s="8" t="s">
        <v>1363</v>
      </c>
      <c r="O212" s="8" t="s">
        <v>463</v>
      </c>
      <c r="P212" s="8" t="s">
        <v>2214</v>
      </c>
      <c r="Q212" s="8" t="s">
        <v>2215</v>
      </c>
      <c r="R212" s="8"/>
      <c r="S212" s="19" t="s">
        <v>2216</v>
      </c>
      <c r="T212" s="8" t="s">
        <v>2217</v>
      </c>
      <c r="U212" s="8"/>
      <c r="V212" s="8" t="n">
        <f aca="false">COUNTA(M212:R212)</f>
        <v>5</v>
      </c>
      <c r="W212" s="8" t="s">
        <v>259</v>
      </c>
      <c r="X212" s="8" t="s">
        <v>218</v>
      </c>
      <c r="Y212" s="8" t="s">
        <v>218</v>
      </c>
      <c r="Z212" s="8"/>
      <c r="AA212" s="8" t="s">
        <v>2218</v>
      </c>
      <c r="AB212" s="20"/>
      <c r="AC212" s="20"/>
      <c r="AD212" s="20"/>
      <c r="AE212" s="8" t="s">
        <v>237</v>
      </c>
      <c r="AF212" s="8" t="s">
        <v>224</v>
      </c>
    </row>
    <row r="213" customFormat="false" ht="15" hidden="false" customHeight="false" outlineLevel="0" collapsed="false">
      <c r="A213" s="8" t="s">
        <v>2219</v>
      </c>
      <c r="B213" s="8" t="s">
        <v>2220</v>
      </c>
      <c r="C213" s="8"/>
      <c r="D213" s="8" t="s">
        <v>206</v>
      </c>
      <c r="E213" s="8" t="s">
        <v>103</v>
      </c>
      <c r="F213" s="8" t="s">
        <v>70</v>
      </c>
      <c r="G213" s="8" t="s">
        <v>207</v>
      </c>
      <c r="H213" s="8" t="s">
        <v>84</v>
      </c>
      <c r="I213" s="8" t="s">
        <v>227</v>
      </c>
      <c r="J213" s="8" t="n">
        <v>2</v>
      </c>
      <c r="K213" s="8" t="n">
        <v>3</v>
      </c>
      <c r="L213" s="18" t="n">
        <f aca="false">INDEX('All Items'!$Q:$Q,MATCH($A213,'All Items'!$A:$A,0))</f>
        <v>6.9</v>
      </c>
      <c r="M213" s="8" t="s">
        <v>347</v>
      </c>
      <c r="N213" s="8" t="s">
        <v>2221</v>
      </c>
      <c r="O213" s="8" t="s">
        <v>432</v>
      </c>
      <c r="P213" s="8" t="s">
        <v>2222</v>
      </c>
      <c r="Q213" s="8" t="s">
        <v>2223</v>
      </c>
      <c r="R213" s="8" t="s">
        <v>2224</v>
      </c>
      <c r="S213" s="19" t="s">
        <v>2225</v>
      </c>
      <c r="T213" s="8" t="s">
        <v>2226</v>
      </c>
      <c r="U213" s="8"/>
      <c r="V213" s="8" t="n">
        <f aca="false">COUNTA(M213:R213)</f>
        <v>6</v>
      </c>
      <c r="W213" s="8" t="s">
        <v>259</v>
      </c>
      <c r="X213" s="8" t="s">
        <v>218</v>
      </c>
      <c r="Y213" s="8" t="s">
        <v>218</v>
      </c>
      <c r="Z213" s="8"/>
      <c r="AA213" s="8" t="s">
        <v>2227</v>
      </c>
      <c r="AB213" s="20"/>
      <c r="AC213" s="20"/>
      <c r="AD213" s="20"/>
      <c r="AE213" s="8" t="s">
        <v>237</v>
      </c>
      <c r="AF213" s="8" t="s">
        <v>224</v>
      </c>
    </row>
    <row r="214" customFormat="false" ht="15" hidden="false" customHeight="false" outlineLevel="0" collapsed="false">
      <c r="A214" s="8" t="s">
        <v>2228</v>
      </c>
      <c r="B214" s="8" t="s">
        <v>2229</v>
      </c>
      <c r="C214" s="8"/>
      <c r="D214" s="8" t="s">
        <v>206</v>
      </c>
      <c r="E214" s="8" t="s">
        <v>103</v>
      </c>
      <c r="F214" s="8" t="s">
        <v>70</v>
      </c>
      <c r="G214" s="8" t="s">
        <v>207</v>
      </c>
      <c r="H214" s="8" t="s">
        <v>80</v>
      </c>
      <c r="I214" s="8" t="s">
        <v>227</v>
      </c>
      <c r="J214" s="8" t="n">
        <v>2</v>
      </c>
      <c r="K214" s="8" t="n">
        <v>3</v>
      </c>
      <c r="L214" s="18" t="n">
        <f aca="false">INDEX('All Items'!$Q:$Q,MATCH($A214,'All Items'!$A:$A,0))</f>
        <v>7.4</v>
      </c>
      <c r="M214" s="8" t="s">
        <v>764</v>
      </c>
      <c r="N214" s="8" t="s">
        <v>1363</v>
      </c>
      <c r="O214" s="8" t="s">
        <v>347</v>
      </c>
      <c r="P214" s="8" t="s">
        <v>2230</v>
      </c>
      <c r="Q214" s="8" t="s">
        <v>2231</v>
      </c>
      <c r="R214" s="8"/>
      <c r="S214" s="19" t="s">
        <v>2232</v>
      </c>
      <c r="T214" s="8" t="s">
        <v>2233</v>
      </c>
      <c r="U214" s="8"/>
      <c r="V214" s="8" t="n">
        <f aca="false">COUNTA(M214:R214)</f>
        <v>5</v>
      </c>
      <c r="W214" s="8" t="s">
        <v>259</v>
      </c>
      <c r="X214" s="8" t="s">
        <v>218</v>
      </c>
      <c r="Y214" s="8" t="s">
        <v>218</v>
      </c>
      <c r="Z214" s="8"/>
      <c r="AA214" s="8" t="s">
        <v>2234</v>
      </c>
      <c r="AB214" s="20" t="s">
        <v>2235</v>
      </c>
      <c r="AC214" s="20" t="s">
        <v>221</v>
      </c>
      <c r="AD214" s="20" t="s">
        <v>2236</v>
      </c>
      <c r="AE214" s="8" t="s">
        <v>223</v>
      </c>
      <c r="AF214" s="8" t="s">
        <v>224</v>
      </c>
    </row>
    <row r="215" customFormat="false" ht="15" hidden="false" customHeight="false" outlineLevel="0" collapsed="false">
      <c r="A215" s="8" t="s">
        <v>2237</v>
      </c>
      <c r="B215" s="8" t="s">
        <v>2238</v>
      </c>
      <c r="C215" s="8"/>
      <c r="D215" s="8" t="s">
        <v>206</v>
      </c>
      <c r="E215" s="8" t="s">
        <v>103</v>
      </c>
      <c r="F215" s="8" t="s">
        <v>70</v>
      </c>
      <c r="G215" s="8" t="s">
        <v>207</v>
      </c>
      <c r="H215" s="8" t="s">
        <v>80</v>
      </c>
      <c r="I215" s="8" t="s">
        <v>227</v>
      </c>
      <c r="J215" s="8" t="n">
        <v>2</v>
      </c>
      <c r="K215" s="8" t="n">
        <v>3</v>
      </c>
      <c r="L215" s="18" t="n">
        <f aca="false">INDEX('All Items'!$Q:$Q,MATCH($A215,'All Items'!$A:$A,0))</f>
        <v>7.4</v>
      </c>
      <c r="M215" s="8" t="s">
        <v>764</v>
      </c>
      <c r="N215" s="8" t="s">
        <v>1363</v>
      </c>
      <c r="O215" s="8" t="s">
        <v>2239</v>
      </c>
      <c r="P215" s="8" t="s">
        <v>2240</v>
      </c>
      <c r="Q215" s="8" t="s">
        <v>2241</v>
      </c>
      <c r="R215" s="8"/>
      <c r="S215" s="19" t="s">
        <v>2242</v>
      </c>
      <c r="T215" s="8" t="s">
        <v>2243</v>
      </c>
      <c r="U215" s="8"/>
      <c r="V215" s="8" t="n">
        <f aca="false">COUNTA(M215:R215)</f>
        <v>5</v>
      </c>
      <c r="W215" s="8" t="s">
        <v>259</v>
      </c>
      <c r="X215" s="8" t="s">
        <v>218</v>
      </c>
      <c r="Y215" s="8" t="s">
        <v>218</v>
      </c>
      <c r="Z215" s="8"/>
      <c r="AA215" s="8" t="s">
        <v>2244</v>
      </c>
      <c r="AB215" s="20"/>
      <c r="AC215" s="20"/>
      <c r="AD215" s="20"/>
      <c r="AE215" s="8" t="s">
        <v>237</v>
      </c>
      <c r="AF215" s="8" t="s">
        <v>224</v>
      </c>
    </row>
    <row r="216" customFormat="false" ht="15" hidden="false" customHeight="false" outlineLevel="0" collapsed="false">
      <c r="A216" s="8" t="s">
        <v>2245</v>
      </c>
      <c r="B216" s="8" t="s">
        <v>2246</v>
      </c>
      <c r="C216" s="8"/>
      <c r="D216" s="8" t="s">
        <v>206</v>
      </c>
      <c r="E216" s="8" t="s">
        <v>103</v>
      </c>
      <c r="F216" s="8" t="s">
        <v>70</v>
      </c>
      <c r="G216" s="8" t="s">
        <v>207</v>
      </c>
      <c r="H216" s="8" t="s">
        <v>84</v>
      </c>
      <c r="I216" s="8" t="s">
        <v>227</v>
      </c>
      <c r="J216" s="8" t="n">
        <v>2</v>
      </c>
      <c r="K216" s="8" t="n">
        <v>3</v>
      </c>
      <c r="L216" s="18" t="n">
        <f aca="false">INDEX('All Items'!$Q:$Q,MATCH($A216,'All Items'!$A:$A,0))</f>
        <v>7.15</v>
      </c>
      <c r="M216" s="8" t="s">
        <v>1363</v>
      </c>
      <c r="N216" s="8" t="s">
        <v>541</v>
      </c>
      <c r="O216" s="8" t="s">
        <v>477</v>
      </c>
      <c r="P216" s="8" t="s">
        <v>1905</v>
      </c>
      <c r="Q216" s="8" t="s">
        <v>2247</v>
      </c>
      <c r="R216" s="8" t="s">
        <v>2248</v>
      </c>
      <c r="S216" s="19" t="s">
        <v>2249</v>
      </c>
      <c r="T216" s="8" t="s">
        <v>2250</v>
      </c>
      <c r="U216" s="8"/>
      <c r="V216" s="8" t="n">
        <f aca="false">COUNTA(M216:R216)</f>
        <v>6</v>
      </c>
      <c r="W216" s="8" t="s">
        <v>259</v>
      </c>
      <c r="X216" s="8" t="s">
        <v>218</v>
      </c>
      <c r="Y216" s="8" t="s">
        <v>218</v>
      </c>
      <c r="Z216" s="8"/>
      <c r="AA216" s="8" t="s">
        <v>2251</v>
      </c>
      <c r="AB216" s="20" t="s">
        <v>2252</v>
      </c>
      <c r="AC216" s="20" t="s">
        <v>221</v>
      </c>
      <c r="AD216" s="20" t="s">
        <v>2253</v>
      </c>
      <c r="AE216" s="8" t="s">
        <v>223</v>
      </c>
      <c r="AF216" s="8" t="s">
        <v>224</v>
      </c>
    </row>
    <row r="217" customFormat="false" ht="15" hidden="false" customHeight="false" outlineLevel="0" collapsed="false">
      <c r="A217" s="8" t="s">
        <v>2254</v>
      </c>
      <c r="B217" s="8" t="s">
        <v>2255</v>
      </c>
      <c r="C217" s="8"/>
      <c r="D217" s="8" t="s">
        <v>206</v>
      </c>
      <c r="E217" s="8" t="s">
        <v>103</v>
      </c>
      <c r="F217" s="8" t="s">
        <v>70</v>
      </c>
      <c r="G217" s="8" t="s">
        <v>207</v>
      </c>
      <c r="H217" s="8" t="s">
        <v>80</v>
      </c>
      <c r="I217" s="8" t="s">
        <v>227</v>
      </c>
      <c r="J217" s="8" t="n">
        <v>2</v>
      </c>
      <c r="K217" s="8" t="n">
        <v>3</v>
      </c>
      <c r="L217" s="18" t="n">
        <f aca="false">INDEX('All Items'!$Q:$Q,MATCH($A217,'All Items'!$A:$A,0))</f>
        <v>7.4</v>
      </c>
      <c r="M217" s="8" t="s">
        <v>2256</v>
      </c>
      <c r="N217" s="8" t="s">
        <v>2257</v>
      </c>
      <c r="O217" s="8" t="s">
        <v>2240</v>
      </c>
      <c r="P217" s="8" t="s">
        <v>2258</v>
      </c>
      <c r="Q217" s="8" t="s">
        <v>2259</v>
      </c>
      <c r="R217" s="8" t="s">
        <v>2260</v>
      </c>
      <c r="S217" s="19" t="s">
        <v>2261</v>
      </c>
      <c r="T217" s="8" t="s">
        <v>2262</v>
      </c>
      <c r="U217" s="8" t="s">
        <v>2260</v>
      </c>
      <c r="V217" s="8" t="n">
        <f aca="false">COUNTA(M217:R217)</f>
        <v>6</v>
      </c>
      <c r="W217" s="8" t="s">
        <v>259</v>
      </c>
      <c r="X217" s="8" t="s">
        <v>218</v>
      </c>
      <c r="Y217" s="8" t="s">
        <v>218</v>
      </c>
      <c r="Z217" s="8"/>
      <c r="AA217" s="8" t="s">
        <v>2263</v>
      </c>
      <c r="AB217" s="20"/>
      <c r="AC217" s="20"/>
      <c r="AD217" s="20"/>
      <c r="AE217" s="8" t="s">
        <v>237</v>
      </c>
      <c r="AF217" s="8" t="s">
        <v>224</v>
      </c>
    </row>
    <row r="218" customFormat="false" ht="15" hidden="false" customHeight="false" outlineLevel="0" collapsed="false">
      <c r="A218" s="8" t="s">
        <v>2264</v>
      </c>
      <c r="B218" s="8" t="s">
        <v>2265</v>
      </c>
      <c r="C218" s="8"/>
      <c r="D218" s="8" t="s">
        <v>206</v>
      </c>
      <c r="E218" s="8" t="s">
        <v>103</v>
      </c>
      <c r="F218" s="8" t="s">
        <v>70</v>
      </c>
      <c r="G218" s="8" t="s">
        <v>207</v>
      </c>
      <c r="H218" s="8" t="s">
        <v>85</v>
      </c>
      <c r="I218" s="8" t="s">
        <v>208</v>
      </c>
      <c r="J218" s="8" t="n">
        <v>1</v>
      </c>
      <c r="K218" s="8" t="n">
        <v>5</v>
      </c>
      <c r="L218" s="18" t="n">
        <f aca="false">INDEX('All Items'!$Q:$Q,MATCH($A218,'All Items'!$A:$A,0))</f>
        <v>10</v>
      </c>
      <c r="M218" s="8" t="s">
        <v>347</v>
      </c>
      <c r="N218" s="8" t="s">
        <v>1330</v>
      </c>
      <c r="O218" s="8" t="s">
        <v>487</v>
      </c>
      <c r="P218" s="8" t="s">
        <v>2266</v>
      </c>
      <c r="Q218" s="8" t="s">
        <v>2267</v>
      </c>
      <c r="R218" s="8" t="s">
        <v>213</v>
      </c>
      <c r="S218" s="19" t="s">
        <v>2268</v>
      </c>
      <c r="T218" s="8" t="s">
        <v>2269</v>
      </c>
      <c r="U218" s="8" t="s">
        <v>213</v>
      </c>
      <c r="V218" s="8" t="n">
        <f aca="false">COUNTA(M218:R218)</f>
        <v>6</v>
      </c>
      <c r="W218" s="8" t="s">
        <v>218</v>
      </c>
      <c r="X218" s="8" t="s">
        <v>218</v>
      </c>
      <c r="Y218" s="8" t="s">
        <v>259</v>
      </c>
      <c r="Z218" s="8" t="s">
        <v>2131</v>
      </c>
      <c r="AA218" s="8" t="s">
        <v>2270</v>
      </c>
      <c r="AB218" s="20"/>
      <c r="AC218" s="20"/>
      <c r="AD218" s="20"/>
      <c r="AE218" s="8" t="s">
        <v>237</v>
      </c>
      <c r="AF218" s="8" t="s">
        <v>224</v>
      </c>
    </row>
    <row r="219" customFormat="false" ht="15" hidden="false" customHeight="false" outlineLevel="0" collapsed="false">
      <c r="A219" s="8" t="s">
        <v>2271</v>
      </c>
      <c r="B219" s="8" t="s">
        <v>2272</v>
      </c>
      <c r="C219" s="8"/>
      <c r="D219" s="8" t="s">
        <v>206</v>
      </c>
      <c r="E219" s="8" t="s">
        <v>103</v>
      </c>
      <c r="F219" s="8" t="s">
        <v>70</v>
      </c>
      <c r="G219" s="8" t="s">
        <v>207</v>
      </c>
      <c r="H219" s="8" t="s">
        <v>85</v>
      </c>
      <c r="I219" s="8" t="s">
        <v>1030</v>
      </c>
      <c r="J219" s="8" t="n">
        <v>2</v>
      </c>
      <c r="K219" s="8" t="n">
        <v>3</v>
      </c>
      <c r="L219" s="18" t="n">
        <f aca="false">INDEX('All Items'!$Q:$Q,MATCH($A219,'All Items'!$A:$A,0))</f>
        <v>7.4</v>
      </c>
      <c r="M219" s="8" t="s">
        <v>324</v>
      </c>
      <c r="N219" s="8" t="s">
        <v>388</v>
      </c>
      <c r="O219" s="8" t="s">
        <v>1330</v>
      </c>
      <c r="P219" s="8" t="s">
        <v>487</v>
      </c>
      <c r="Q219" s="8" t="s">
        <v>2273</v>
      </c>
      <c r="R219" s="8" t="s">
        <v>2009</v>
      </c>
      <c r="S219" s="19" t="s">
        <v>2274</v>
      </c>
      <c r="T219" s="8" t="s">
        <v>2275</v>
      </c>
      <c r="U219" s="8" t="s">
        <v>2009</v>
      </c>
      <c r="V219" s="8" t="n">
        <f aca="false">COUNTA(M219:R219)</f>
        <v>6</v>
      </c>
      <c r="W219" s="8" t="s">
        <v>259</v>
      </c>
      <c r="X219" s="8" t="s">
        <v>218</v>
      </c>
      <c r="Y219" s="8" t="s">
        <v>218</v>
      </c>
      <c r="Z219" s="8"/>
      <c r="AA219" s="8" t="s">
        <v>2276</v>
      </c>
      <c r="AB219" s="20" t="s">
        <v>2277</v>
      </c>
      <c r="AC219" s="20" t="s">
        <v>221</v>
      </c>
      <c r="AD219" s="20" t="s">
        <v>2278</v>
      </c>
      <c r="AE219" s="8" t="s">
        <v>223</v>
      </c>
      <c r="AF219" s="8" t="s">
        <v>224</v>
      </c>
    </row>
    <row r="220" customFormat="false" ht="15" hidden="false" customHeight="false" outlineLevel="0" collapsed="false">
      <c r="A220" s="8" t="s">
        <v>2279</v>
      </c>
      <c r="B220" s="8" t="s">
        <v>2280</v>
      </c>
      <c r="C220" s="8"/>
      <c r="D220" s="8" t="s">
        <v>206</v>
      </c>
      <c r="E220" s="8" t="s">
        <v>103</v>
      </c>
      <c r="F220" s="8" t="s">
        <v>70</v>
      </c>
      <c r="G220" s="8" t="s">
        <v>207</v>
      </c>
      <c r="H220" s="8" t="s">
        <v>85</v>
      </c>
      <c r="I220" s="8" t="s">
        <v>227</v>
      </c>
      <c r="J220" s="8" t="n">
        <v>2</v>
      </c>
      <c r="K220" s="8" t="n">
        <v>3</v>
      </c>
      <c r="L220" s="18" t="n">
        <f aca="false">INDEX('All Items'!$Q:$Q,MATCH($A220,'All Items'!$A:$A,0))</f>
        <v>7.4</v>
      </c>
      <c r="M220" s="8" t="s">
        <v>388</v>
      </c>
      <c r="N220" s="8" t="s">
        <v>347</v>
      </c>
      <c r="O220" s="8" t="s">
        <v>1330</v>
      </c>
      <c r="P220" s="8" t="s">
        <v>812</v>
      </c>
      <c r="Q220" s="8" t="s">
        <v>487</v>
      </c>
      <c r="R220" s="8" t="s">
        <v>2281</v>
      </c>
      <c r="S220" s="19" t="s">
        <v>2282</v>
      </c>
      <c r="T220" s="8" t="s">
        <v>2283</v>
      </c>
      <c r="U220" s="8"/>
      <c r="V220" s="8" t="n">
        <f aca="false">COUNTA(M220:R220)</f>
        <v>6</v>
      </c>
      <c r="W220" s="8" t="s">
        <v>259</v>
      </c>
      <c r="X220" s="8" t="s">
        <v>218</v>
      </c>
      <c r="Y220" s="8" t="s">
        <v>218</v>
      </c>
      <c r="Z220" s="8"/>
      <c r="AA220" s="8" t="s">
        <v>2284</v>
      </c>
      <c r="AB220" s="20"/>
      <c r="AC220" s="20"/>
      <c r="AD220" s="20"/>
      <c r="AE220" s="8" t="s">
        <v>237</v>
      </c>
      <c r="AF220" s="8" t="s">
        <v>224</v>
      </c>
    </row>
    <row r="221" customFormat="false" ht="15" hidden="false" customHeight="false" outlineLevel="0" collapsed="false">
      <c r="A221" s="8" t="s">
        <v>2285</v>
      </c>
      <c r="B221" s="8" t="s">
        <v>2286</v>
      </c>
      <c r="C221" s="8"/>
      <c r="D221" s="8" t="s">
        <v>206</v>
      </c>
      <c r="E221" s="8" t="s">
        <v>103</v>
      </c>
      <c r="F221" s="8" t="s">
        <v>70</v>
      </c>
      <c r="G221" s="8" t="s">
        <v>207</v>
      </c>
      <c r="H221" s="8" t="s">
        <v>78</v>
      </c>
      <c r="I221" s="8" t="s">
        <v>208</v>
      </c>
      <c r="J221" s="8" t="n">
        <v>2</v>
      </c>
      <c r="K221" s="8" t="n">
        <v>3</v>
      </c>
      <c r="L221" s="18" t="n">
        <f aca="false">INDEX('All Items'!$Q:$Q,MATCH($A221,'All Items'!$A:$A,0))</f>
        <v>7.4</v>
      </c>
      <c r="M221" s="8" t="s">
        <v>324</v>
      </c>
      <c r="N221" s="8" t="s">
        <v>346</v>
      </c>
      <c r="O221" s="8" t="s">
        <v>1330</v>
      </c>
      <c r="P221" s="8" t="s">
        <v>2287</v>
      </c>
      <c r="Q221" s="8" t="s">
        <v>521</v>
      </c>
      <c r="R221" s="8" t="s">
        <v>213</v>
      </c>
      <c r="S221" s="19" t="s">
        <v>2288</v>
      </c>
      <c r="T221" s="8" t="s">
        <v>2289</v>
      </c>
      <c r="U221" s="8" t="s">
        <v>213</v>
      </c>
      <c r="V221" s="8" t="n">
        <f aca="false">COUNTA(M221:R221)</f>
        <v>6</v>
      </c>
      <c r="W221" s="8" t="s">
        <v>259</v>
      </c>
      <c r="X221" s="8" t="s">
        <v>218</v>
      </c>
      <c r="Y221" s="8" t="s">
        <v>218</v>
      </c>
      <c r="Z221" s="8"/>
      <c r="AA221" s="8" t="s">
        <v>2290</v>
      </c>
      <c r="AB221" s="20" t="s">
        <v>526</v>
      </c>
      <c r="AC221" s="20" t="s">
        <v>527</v>
      </c>
      <c r="AD221" s="20" t="s">
        <v>528</v>
      </c>
      <c r="AE221" s="8" t="s">
        <v>223</v>
      </c>
      <c r="AF221" s="8" t="s">
        <v>224</v>
      </c>
    </row>
    <row r="222" customFormat="false" ht="15" hidden="false" customHeight="false" outlineLevel="0" collapsed="false">
      <c r="A222" s="8" t="s">
        <v>2291</v>
      </c>
      <c r="B222" s="8" t="s">
        <v>2292</v>
      </c>
      <c r="C222" s="8"/>
      <c r="D222" s="8" t="s">
        <v>206</v>
      </c>
      <c r="E222" s="8" t="s">
        <v>103</v>
      </c>
      <c r="F222" s="8" t="s">
        <v>70</v>
      </c>
      <c r="G222" s="8" t="s">
        <v>207</v>
      </c>
      <c r="H222" s="8" t="s">
        <v>78</v>
      </c>
      <c r="I222" s="8" t="s">
        <v>208</v>
      </c>
      <c r="J222" s="8" t="n">
        <v>1</v>
      </c>
      <c r="K222" s="8" t="n">
        <v>3</v>
      </c>
      <c r="L222" s="18" t="n">
        <f aca="false">INDEX('All Items'!$Q:$Q,MATCH($A222,'All Items'!$A:$A,0))</f>
        <v>6.65</v>
      </c>
      <c r="M222" s="8" t="s">
        <v>274</v>
      </c>
      <c r="N222" s="8" t="s">
        <v>2293</v>
      </c>
      <c r="O222" s="8" t="s">
        <v>2008</v>
      </c>
      <c r="P222" s="8" t="s">
        <v>2294</v>
      </c>
      <c r="Q222" s="8" t="s">
        <v>1592</v>
      </c>
      <c r="R222" s="8" t="s">
        <v>213</v>
      </c>
      <c r="S222" s="19" t="s">
        <v>2295</v>
      </c>
      <c r="T222" s="8" t="s">
        <v>2296</v>
      </c>
      <c r="U222" s="8" t="s">
        <v>2297</v>
      </c>
      <c r="V222" s="8" t="n">
        <f aca="false">COUNTA(M222:R222)</f>
        <v>6</v>
      </c>
      <c r="W222" s="8" t="s">
        <v>218</v>
      </c>
      <c r="X222" s="8" t="s">
        <v>218</v>
      </c>
      <c r="Y222" s="8" t="s">
        <v>218</v>
      </c>
      <c r="Z222" s="8"/>
      <c r="AA222" s="8" t="s">
        <v>2298</v>
      </c>
      <c r="AB222" s="20"/>
      <c r="AC222" s="20"/>
      <c r="AD222" s="20"/>
      <c r="AE222" s="8" t="s">
        <v>237</v>
      </c>
      <c r="AF222" s="8" t="s">
        <v>224</v>
      </c>
    </row>
    <row r="223" customFormat="false" ht="15" hidden="false" customHeight="false" outlineLevel="0" collapsed="false">
      <c r="A223" s="8" t="s">
        <v>2299</v>
      </c>
      <c r="B223" s="8" t="s">
        <v>2300</v>
      </c>
      <c r="C223" s="8"/>
      <c r="D223" s="8" t="s">
        <v>206</v>
      </c>
      <c r="E223" s="8" t="s">
        <v>103</v>
      </c>
      <c r="F223" s="8" t="s">
        <v>70</v>
      </c>
      <c r="G223" s="8" t="s">
        <v>207</v>
      </c>
      <c r="H223" s="8" t="s">
        <v>79</v>
      </c>
      <c r="I223" s="8" t="s">
        <v>273</v>
      </c>
      <c r="J223" s="8" t="n">
        <v>2</v>
      </c>
      <c r="K223" s="8" t="n">
        <v>3</v>
      </c>
      <c r="L223" s="18" t="n">
        <f aca="false">INDEX('All Items'!$Q:$Q,MATCH($A223,'All Items'!$A:$A,0))</f>
        <v>7.15</v>
      </c>
      <c r="M223" s="8" t="s">
        <v>251</v>
      </c>
      <c r="N223" s="8" t="s">
        <v>1934</v>
      </c>
      <c r="O223" s="8" t="s">
        <v>346</v>
      </c>
      <c r="P223" s="8" t="s">
        <v>1969</v>
      </c>
      <c r="Q223" s="8" t="s">
        <v>2301</v>
      </c>
      <c r="R223" s="8" t="s">
        <v>2302</v>
      </c>
      <c r="S223" s="19" t="s">
        <v>2303</v>
      </c>
      <c r="T223" s="8" t="s">
        <v>2304</v>
      </c>
      <c r="U223" s="8"/>
      <c r="V223" s="8" t="n">
        <f aca="false">COUNTA(M223:R223)</f>
        <v>6</v>
      </c>
      <c r="W223" s="8" t="s">
        <v>259</v>
      </c>
      <c r="X223" s="8" t="s">
        <v>218</v>
      </c>
      <c r="Y223" s="8" t="s">
        <v>218</v>
      </c>
      <c r="Z223" s="8"/>
      <c r="AA223" s="8" t="s">
        <v>2305</v>
      </c>
      <c r="AB223" s="20"/>
      <c r="AC223" s="20"/>
      <c r="AD223" s="20"/>
      <c r="AE223" s="8" t="s">
        <v>237</v>
      </c>
      <c r="AF223" s="8" t="s">
        <v>224</v>
      </c>
    </row>
    <row r="224" customFormat="false" ht="15" hidden="false" customHeight="false" outlineLevel="0" collapsed="false">
      <c r="A224" s="8" t="s">
        <v>2306</v>
      </c>
      <c r="B224" s="8" t="s">
        <v>2307</v>
      </c>
      <c r="C224" s="8"/>
      <c r="D224" s="8" t="s">
        <v>206</v>
      </c>
      <c r="E224" s="8" t="s">
        <v>103</v>
      </c>
      <c r="F224" s="8" t="s">
        <v>70</v>
      </c>
      <c r="G224" s="8" t="s">
        <v>207</v>
      </c>
      <c r="H224" s="8" t="s">
        <v>79</v>
      </c>
      <c r="I224" s="8" t="s">
        <v>208</v>
      </c>
      <c r="J224" s="8" t="n">
        <v>2</v>
      </c>
      <c r="K224" s="8" t="n">
        <v>3</v>
      </c>
      <c r="L224" s="18" t="n">
        <f aca="false">INDEX('All Items'!$Q:$Q,MATCH($A224,'All Items'!$A:$A,0))</f>
        <v>7.15</v>
      </c>
      <c r="M224" s="8" t="s">
        <v>1197</v>
      </c>
      <c r="N224" s="8" t="s">
        <v>477</v>
      </c>
      <c r="O224" s="8" t="s">
        <v>2308</v>
      </c>
      <c r="P224" s="8" t="s">
        <v>2309</v>
      </c>
      <c r="Q224" s="8" t="s">
        <v>2310</v>
      </c>
      <c r="R224" s="8" t="s">
        <v>2311</v>
      </c>
      <c r="S224" s="19" t="s">
        <v>2312</v>
      </c>
      <c r="T224" s="8" t="s">
        <v>2313</v>
      </c>
      <c r="U224" s="8" t="s">
        <v>2311</v>
      </c>
      <c r="V224" s="8" t="n">
        <f aca="false">COUNTA(M224:R224)</f>
        <v>6</v>
      </c>
      <c r="W224" s="8" t="s">
        <v>259</v>
      </c>
      <c r="X224" s="8" t="s">
        <v>218</v>
      </c>
      <c r="Y224" s="8" t="s">
        <v>218</v>
      </c>
      <c r="Z224" s="8"/>
      <c r="AA224" s="8" t="s">
        <v>2314</v>
      </c>
      <c r="AB224" s="20"/>
      <c r="AC224" s="20"/>
      <c r="AD224" s="20"/>
      <c r="AE224" s="8" t="s">
        <v>237</v>
      </c>
      <c r="AF224" s="8" t="s">
        <v>224</v>
      </c>
    </row>
    <row r="225" customFormat="false" ht="15" hidden="false" customHeight="false" outlineLevel="0" collapsed="false">
      <c r="A225" s="8" t="s">
        <v>2315</v>
      </c>
      <c r="B225" s="8" t="s">
        <v>2316</v>
      </c>
      <c r="C225" s="8"/>
      <c r="D225" s="8" t="s">
        <v>206</v>
      </c>
      <c r="E225" s="8" t="s">
        <v>103</v>
      </c>
      <c r="F225" s="8" t="s">
        <v>70</v>
      </c>
      <c r="G225" s="8" t="s">
        <v>207</v>
      </c>
      <c r="H225" s="8" t="s">
        <v>79</v>
      </c>
      <c r="I225" s="8" t="s">
        <v>273</v>
      </c>
      <c r="J225" s="8" t="n">
        <v>1</v>
      </c>
      <c r="K225" s="8" t="n">
        <v>5</v>
      </c>
      <c r="L225" s="18" t="n">
        <f aca="false">INDEX('All Items'!$Q:$Q,MATCH($A225,'All Items'!$A:$A,0))</f>
        <v>10</v>
      </c>
      <c r="M225" s="8" t="s">
        <v>2317</v>
      </c>
      <c r="N225" s="8" t="s">
        <v>1781</v>
      </c>
      <c r="O225" s="8" t="s">
        <v>1197</v>
      </c>
      <c r="P225" s="8" t="s">
        <v>1942</v>
      </c>
      <c r="Q225" s="8" t="s">
        <v>2318</v>
      </c>
      <c r="R225" s="8" t="s">
        <v>2319</v>
      </c>
      <c r="S225" s="19" t="s">
        <v>2320</v>
      </c>
      <c r="T225" s="8" t="s">
        <v>2321</v>
      </c>
      <c r="U225" s="8"/>
      <c r="V225" s="8" t="n">
        <f aca="false">COUNTA(M225:R225)</f>
        <v>6</v>
      </c>
      <c r="W225" s="8" t="s">
        <v>218</v>
      </c>
      <c r="X225" s="8" t="s">
        <v>218</v>
      </c>
      <c r="Y225" s="8" t="s">
        <v>218</v>
      </c>
      <c r="Z225" s="8"/>
      <c r="AA225" s="8" t="s">
        <v>2322</v>
      </c>
      <c r="AB225" s="20" t="s">
        <v>2323</v>
      </c>
      <c r="AC225" s="20" t="s">
        <v>384</v>
      </c>
      <c r="AD225" s="20" t="s">
        <v>2324</v>
      </c>
      <c r="AE225" s="8" t="s">
        <v>223</v>
      </c>
      <c r="AF225" s="8" t="s">
        <v>224</v>
      </c>
    </row>
    <row r="226" customFormat="false" ht="15" hidden="false" customHeight="false" outlineLevel="0" collapsed="false">
      <c r="A226" s="8" t="s">
        <v>2325</v>
      </c>
      <c r="B226" s="8" t="s">
        <v>2326</v>
      </c>
      <c r="C226" s="8"/>
      <c r="D226" s="8" t="s">
        <v>206</v>
      </c>
      <c r="E226" s="8" t="s">
        <v>103</v>
      </c>
      <c r="F226" s="8" t="s">
        <v>70</v>
      </c>
      <c r="G226" s="8" t="s">
        <v>207</v>
      </c>
      <c r="H226" s="8" t="s">
        <v>79</v>
      </c>
      <c r="I226" s="8" t="s">
        <v>227</v>
      </c>
      <c r="J226" s="8" t="n">
        <v>1</v>
      </c>
      <c r="K226" s="8" t="n">
        <v>5</v>
      </c>
      <c r="L226" s="18" t="n">
        <f aca="false">INDEX('All Items'!$Q:$Q,MATCH($A226,'All Items'!$A:$A,0))</f>
        <v>10</v>
      </c>
      <c r="M226" s="8" t="s">
        <v>2317</v>
      </c>
      <c r="N226" s="8" t="s">
        <v>356</v>
      </c>
      <c r="O226" s="8" t="s">
        <v>1197</v>
      </c>
      <c r="P226" s="8" t="s">
        <v>2318</v>
      </c>
      <c r="Q226" s="8" t="s">
        <v>2327</v>
      </c>
      <c r="R226" s="8" t="s">
        <v>289</v>
      </c>
      <c r="S226" s="19" t="s">
        <v>2328</v>
      </c>
      <c r="T226" s="8" t="s">
        <v>2329</v>
      </c>
      <c r="U226" s="8" t="s">
        <v>289</v>
      </c>
      <c r="V226" s="8" t="n">
        <f aca="false">COUNTA(M226:R226)</f>
        <v>6</v>
      </c>
      <c r="W226" s="8" t="s">
        <v>218</v>
      </c>
      <c r="X226" s="8" t="s">
        <v>218</v>
      </c>
      <c r="Y226" s="8" t="s">
        <v>218</v>
      </c>
      <c r="Z226" s="8"/>
      <c r="AA226" s="8" t="s">
        <v>2330</v>
      </c>
      <c r="AB226" s="20"/>
      <c r="AC226" s="20"/>
      <c r="AD226" s="20"/>
      <c r="AE226" s="8" t="s">
        <v>237</v>
      </c>
      <c r="AF226" s="8" t="s">
        <v>224</v>
      </c>
    </row>
    <row r="227" customFormat="false" ht="15" hidden="false" customHeight="false" outlineLevel="0" collapsed="false">
      <c r="A227" s="8" t="s">
        <v>2331</v>
      </c>
      <c r="B227" s="8" t="s">
        <v>2332</v>
      </c>
      <c r="C227" s="8"/>
      <c r="D227" s="8" t="s">
        <v>206</v>
      </c>
      <c r="E227" s="8" t="s">
        <v>103</v>
      </c>
      <c r="F227" s="8" t="s">
        <v>70</v>
      </c>
      <c r="G227" s="8" t="s">
        <v>207</v>
      </c>
      <c r="H227" s="8" t="s">
        <v>78</v>
      </c>
      <c r="I227" s="8" t="s">
        <v>273</v>
      </c>
      <c r="J227" s="8" t="n">
        <v>1</v>
      </c>
      <c r="K227" s="8" t="n">
        <v>5</v>
      </c>
      <c r="L227" s="18" t="n">
        <f aca="false">INDEX('All Items'!$Q:$Q,MATCH($A227,'All Items'!$A:$A,0))</f>
        <v>10</v>
      </c>
      <c r="M227" s="8" t="s">
        <v>1371</v>
      </c>
      <c r="N227" s="8" t="s">
        <v>356</v>
      </c>
      <c r="O227" s="8" t="s">
        <v>2318</v>
      </c>
      <c r="P227" s="8" t="s">
        <v>2333</v>
      </c>
      <c r="Q227" s="8" t="s">
        <v>2334</v>
      </c>
      <c r="R227" s="8" t="s">
        <v>1792</v>
      </c>
      <c r="S227" s="19" t="s">
        <v>2335</v>
      </c>
      <c r="T227" s="8" t="s">
        <v>2336</v>
      </c>
      <c r="U227" s="8" t="s">
        <v>1792</v>
      </c>
      <c r="V227" s="8" t="n">
        <f aca="false">COUNTA(M227:R227)</f>
        <v>6</v>
      </c>
      <c r="W227" s="8" t="s">
        <v>218</v>
      </c>
      <c r="X227" s="8" t="s">
        <v>218</v>
      </c>
      <c r="Y227" s="8" t="s">
        <v>218</v>
      </c>
      <c r="Z227" s="8"/>
      <c r="AA227" s="8" t="s">
        <v>2337</v>
      </c>
      <c r="AB227" s="20"/>
      <c r="AC227" s="20"/>
      <c r="AD227" s="20"/>
      <c r="AE227" s="8" t="s">
        <v>237</v>
      </c>
      <c r="AF227" s="8" t="s">
        <v>224</v>
      </c>
    </row>
    <row r="228" customFormat="false" ht="15" hidden="false" customHeight="false" outlineLevel="0" collapsed="false">
      <c r="A228" s="8" t="s">
        <v>2338</v>
      </c>
      <c r="B228" s="8" t="s">
        <v>2339</v>
      </c>
      <c r="C228" s="8"/>
      <c r="D228" s="8" t="s">
        <v>206</v>
      </c>
      <c r="E228" s="8" t="s">
        <v>103</v>
      </c>
      <c r="F228" s="8" t="s">
        <v>70</v>
      </c>
      <c r="G228" s="8" t="s">
        <v>207</v>
      </c>
      <c r="H228" s="8" t="s">
        <v>78</v>
      </c>
      <c r="I228" s="8" t="s">
        <v>273</v>
      </c>
      <c r="J228" s="8" t="n">
        <v>2</v>
      </c>
      <c r="K228" s="8" t="n">
        <v>3</v>
      </c>
      <c r="L228" s="18" t="n">
        <f aca="false">INDEX('All Items'!$Q:$Q,MATCH($A228,'All Items'!$A:$A,0))</f>
        <v>7.4</v>
      </c>
      <c r="M228" s="8" t="s">
        <v>2317</v>
      </c>
      <c r="N228" s="8" t="s">
        <v>1933</v>
      </c>
      <c r="O228" s="8" t="s">
        <v>1371</v>
      </c>
      <c r="P228" s="8" t="s">
        <v>2340</v>
      </c>
      <c r="Q228" s="8" t="s">
        <v>2318</v>
      </c>
      <c r="R228" s="8"/>
      <c r="S228" s="19" t="s">
        <v>2341</v>
      </c>
      <c r="T228" s="8" t="s">
        <v>2342</v>
      </c>
      <c r="U228" s="8"/>
      <c r="V228" s="8" t="n">
        <f aca="false">COUNTA(M228:R228)</f>
        <v>5</v>
      </c>
      <c r="W228" s="8" t="s">
        <v>259</v>
      </c>
      <c r="X228" s="8" t="s">
        <v>218</v>
      </c>
      <c r="Y228" s="8" t="s">
        <v>218</v>
      </c>
      <c r="Z228" s="8"/>
      <c r="AA228" s="8" t="s">
        <v>2343</v>
      </c>
      <c r="AB228" s="20"/>
      <c r="AC228" s="20"/>
      <c r="AD228" s="20"/>
      <c r="AE228" s="8" t="s">
        <v>237</v>
      </c>
      <c r="AF228" s="8" t="s">
        <v>224</v>
      </c>
    </row>
    <row r="229" customFormat="false" ht="15" hidden="false" customHeight="false" outlineLevel="0" collapsed="false">
      <c r="A229" s="8" t="s">
        <v>2344</v>
      </c>
      <c r="B229" s="8" t="s">
        <v>2345</v>
      </c>
      <c r="C229" s="8"/>
      <c r="D229" s="8" t="s">
        <v>206</v>
      </c>
      <c r="E229" s="8" t="s">
        <v>103</v>
      </c>
      <c r="F229" s="8" t="s">
        <v>70</v>
      </c>
      <c r="G229" s="8" t="s">
        <v>207</v>
      </c>
      <c r="H229" s="8" t="s">
        <v>78</v>
      </c>
      <c r="I229" s="8" t="s">
        <v>208</v>
      </c>
      <c r="J229" s="8" t="n">
        <v>2</v>
      </c>
      <c r="K229" s="8" t="n">
        <v>3</v>
      </c>
      <c r="L229" s="18" t="n">
        <f aca="false">INDEX('All Items'!$Q:$Q,MATCH($A229,'All Items'!$A:$A,0))</f>
        <v>7.15</v>
      </c>
      <c r="M229" s="8" t="s">
        <v>2317</v>
      </c>
      <c r="N229" s="8" t="s">
        <v>1781</v>
      </c>
      <c r="O229" s="8" t="s">
        <v>2318</v>
      </c>
      <c r="P229" s="8" t="s">
        <v>2346</v>
      </c>
      <c r="Q229" s="8" t="s">
        <v>2347</v>
      </c>
      <c r="R229" s="8" t="s">
        <v>2348</v>
      </c>
      <c r="S229" s="19" t="s">
        <v>2349</v>
      </c>
      <c r="T229" s="8" t="s">
        <v>2350</v>
      </c>
      <c r="U229" s="8" t="s">
        <v>2348</v>
      </c>
      <c r="V229" s="8" t="n">
        <f aca="false">COUNTA(M229:R229)</f>
        <v>6</v>
      </c>
      <c r="W229" s="8" t="s">
        <v>259</v>
      </c>
      <c r="X229" s="8" t="s">
        <v>218</v>
      </c>
      <c r="Y229" s="8" t="s">
        <v>218</v>
      </c>
      <c r="Z229" s="8"/>
      <c r="AA229" s="8" t="s">
        <v>2351</v>
      </c>
      <c r="AB229" s="20" t="s">
        <v>2323</v>
      </c>
      <c r="AC229" s="20" t="s">
        <v>384</v>
      </c>
      <c r="AD229" s="20" t="s">
        <v>2324</v>
      </c>
      <c r="AE229" s="8" t="s">
        <v>223</v>
      </c>
      <c r="AF229" s="8" t="s">
        <v>224</v>
      </c>
    </row>
    <row r="230" customFormat="false" ht="15" hidden="false" customHeight="false" outlineLevel="0" collapsed="false">
      <c r="A230" s="8" t="s">
        <v>2352</v>
      </c>
      <c r="B230" s="8" t="s">
        <v>2353</v>
      </c>
      <c r="C230" s="8"/>
      <c r="D230" s="8" t="s">
        <v>206</v>
      </c>
      <c r="E230" s="8" t="s">
        <v>103</v>
      </c>
      <c r="F230" s="8" t="s">
        <v>70</v>
      </c>
      <c r="G230" s="8" t="s">
        <v>207</v>
      </c>
      <c r="H230" s="8" t="s">
        <v>85</v>
      </c>
      <c r="I230" s="8" t="s">
        <v>273</v>
      </c>
      <c r="J230" s="8" t="n">
        <v>2</v>
      </c>
      <c r="K230" s="8" t="n">
        <v>3</v>
      </c>
      <c r="L230" s="18" t="n">
        <f aca="false">INDEX('All Items'!$Q:$Q,MATCH($A230,'All Items'!$A:$A,0))</f>
        <v>7.15</v>
      </c>
      <c r="M230" s="8" t="s">
        <v>1781</v>
      </c>
      <c r="N230" s="8" t="s">
        <v>2317</v>
      </c>
      <c r="O230" s="8" t="s">
        <v>2354</v>
      </c>
      <c r="P230" s="8" t="s">
        <v>2318</v>
      </c>
      <c r="Q230" s="8" t="s">
        <v>275</v>
      </c>
      <c r="R230" s="8" t="s">
        <v>2355</v>
      </c>
      <c r="S230" s="19" t="s">
        <v>2356</v>
      </c>
      <c r="T230" s="8" t="s">
        <v>2357</v>
      </c>
      <c r="U230" s="8" t="s">
        <v>2358</v>
      </c>
      <c r="V230" s="8" t="n">
        <f aca="false">COUNTA(M230:R230)</f>
        <v>6</v>
      </c>
      <c r="W230" s="8" t="s">
        <v>259</v>
      </c>
      <c r="X230" s="8" t="s">
        <v>218</v>
      </c>
      <c r="Y230" s="8" t="s">
        <v>218</v>
      </c>
      <c r="Z230" s="8"/>
      <c r="AA230" s="8" t="s">
        <v>2359</v>
      </c>
      <c r="AB230" s="20"/>
      <c r="AC230" s="20"/>
      <c r="AD230" s="20"/>
      <c r="AE230" s="8" t="s">
        <v>237</v>
      </c>
      <c r="AF230" s="8" t="s">
        <v>224</v>
      </c>
    </row>
    <row r="231" customFormat="false" ht="15" hidden="false" customHeight="false" outlineLevel="0" collapsed="false">
      <c r="A231" s="8" t="s">
        <v>2360</v>
      </c>
      <c r="B231" s="8" t="s">
        <v>2361</v>
      </c>
      <c r="C231" s="8"/>
      <c r="D231" s="8" t="s">
        <v>206</v>
      </c>
      <c r="E231" s="8" t="s">
        <v>106</v>
      </c>
      <c r="F231" s="8" t="s">
        <v>70</v>
      </c>
      <c r="G231" s="8" t="s">
        <v>207</v>
      </c>
      <c r="H231" s="8" t="s">
        <v>78</v>
      </c>
      <c r="I231" s="8" t="s">
        <v>208</v>
      </c>
      <c r="J231" s="8" t="n">
        <v>1</v>
      </c>
      <c r="K231" s="8" t="n">
        <v>5</v>
      </c>
      <c r="L231" s="18" t="n">
        <f aca="false">INDEX('All Items'!$Q:$Q,MATCH($A231,'All Items'!$A:$A,0))</f>
        <v>10</v>
      </c>
      <c r="M231" s="8" t="s">
        <v>356</v>
      </c>
      <c r="N231" s="8" t="s">
        <v>2318</v>
      </c>
      <c r="O231" s="8" t="s">
        <v>2362</v>
      </c>
      <c r="P231" s="8" t="s">
        <v>2363</v>
      </c>
      <c r="Q231" s="8" t="s">
        <v>213</v>
      </c>
      <c r="R231" s="8" t="s">
        <v>1559</v>
      </c>
      <c r="S231" s="19" t="s">
        <v>2364</v>
      </c>
      <c r="T231" s="8" t="s">
        <v>2365</v>
      </c>
      <c r="U231" s="8" t="s">
        <v>2366</v>
      </c>
      <c r="V231" s="8" t="n">
        <f aca="false">COUNTA(M231:R231)</f>
        <v>6</v>
      </c>
      <c r="W231" s="8" t="s">
        <v>218</v>
      </c>
      <c r="X231" s="8" t="s">
        <v>218</v>
      </c>
      <c r="Y231" s="8" t="s">
        <v>218</v>
      </c>
      <c r="Z231" s="8"/>
      <c r="AA231" s="8" t="s">
        <v>2367</v>
      </c>
      <c r="AB231" s="20"/>
      <c r="AC231" s="20"/>
      <c r="AD231" s="20"/>
      <c r="AE231" s="8" t="s">
        <v>237</v>
      </c>
      <c r="AF231" s="8" t="s">
        <v>224</v>
      </c>
    </row>
    <row r="232" customFormat="false" ht="15" hidden="false" customHeight="false" outlineLevel="0" collapsed="false">
      <c r="A232" s="8" t="s">
        <v>2368</v>
      </c>
      <c r="B232" s="8" t="s">
        <v>2369</v>
      </c>
      <c r="C232" s="8"/>
      <c r="D232" s="8" t="s">
        <v>206</v>
      </c>
      <c r="E232" s="8" t="s">
        <v>103</v>
      </c>
      <c r="F232" s="8" t="s">
        <v>70</v>
      </c>
      <c r="G232" s="8" t="s">
        <v>207</v>
      </c>
      <c r="H232" s="8" t="s">
        <v>85</v>
      </c>
      <c r="I232" s="8" t="s">
        <v>208</v>
      </c>
      <c r="J232" s="8" t="n">
        <v>1</v>
      </c>
      <c r="K232" s="8" t="n">
        <v>4</v>
      </c>
      <c r="L232" s="18" t="n">
        <f aca="false">INDEX('All Items'!$Q:$Q,MATCH($A232,'All Items'!$A:$A,0))</f>
        <v>6.7</v>
      </c>
      <c r="M232" s="8" t="s">
        <v>388</v>
      </c>
      <c r="N232" s="8" t="s">
        <v>347</v>
      </c>
      <c r="O232" s="8" t="s">
        <v>1330</v>
      </c>
      <c r="P232" s="8" t="s">
        <v>487</v>
      </c>
      <c r="Q232" s="8" t="s">
        <v>1032</v>
      </c>
      <c r="R232" s="8" t="s">
        <v>488</v>
      </c>
      <c r="S232" s="19" t="s">
        <v>2370</v>
      </c>
      <c r="T232" s="8" t="s">
        <v>2371</v>
      </c>
      <c r="U232" s="8" t="s">
        <v>488</v>
      </c>
      <c r="V232" s="8" t="n">
        <f aca="false">COUNTA(M232:R232)</f>
        <v>6</v>
      </c>
      <c r="W232" s="8" t="s">
        <v>218</v>
      </c>
      <c r="X232" s="8" t="s">
        <v>218</v>
      </c>
      <c r="Y232" s="8" t="s">
        <v>259</v>
      </c>
      <c r="Z232" s="8" t="s">
        <v>2131</v>
      </c>
      <c r="AA232" s="8" t="s">
        <v>2372</v>
      </c>
      <c r="AB232" s="20" t="s">
        <v>2277</v>
      </c>
      <c r="AC232" s="20" t="s">
        <v>221</v>
      </c>
      <c r="AD232" s="20" t="s">
        <v>2278</v>
      </c>
      <c r="AE232" s="8" t="s">
        <v>223</v>
      </c>
      <c r="AF232" s="8" t="s">
        <v>224</v>
      </c>
    </row>
    <row r="233" customFormat="false" ht="15" hidden="false" customHeight="false" outlineLevel="0" collapsed="false">
      <c r="A233" s="8" t="s">
        <v>2373</v>
      </c>
      <c r="B233" s="8" t="s">
        <v>2374</v>
      </c>
      <c r="C233" s="8"/>
      <c r="D233" s="8" t="s">
        <v>206</v>
      </c>
      <c r="E233" s="8" t="s">
        <v>103</v>
      </c>
      <c r="F233" s="8" t="s">
        <v>70</v>
      </c>
      <c r="G233" s="8" t="s">
        <v>207</v>
      </c>
      <c r="H233" s="8" t="s">
        <v>78</v>
      </c>
      <c r="I233" s="8" t="s">
        <v>227</v>
      </c>
      <c r="J233" s="8" t="n">
        <v>2</v>
      </c>
      <c r="K233" s="8" t="n">
        <v>3</v>
      </c>
      <c r="L233" s="18" t="n">
        <f aca="false">INDEX('All Items'!$Q:$Q,MATCH($A233,'All Items'!$A:$A,0))</f>
        <v>6.65</v>
      </c>
      <c r="M233" s="8" t="s">
        <v>274</v>
      </c>
      <c r="N233" s="8" t="s">
        <v>2375</v>
      </c>
      <c r="O233" s="8" t="s">
        <v>2376</v>
      </c>
      <c r="P233" s="8" t="s">
        <v>356</v>
      </c>
      <c r="Q233" s="8" t="s">
        <v>2377</v>
      </c>
      <c r="R233" s="8" t="s">
        <v>2378</v>
      </c>
      <c r="S233" s="19" t="s">
        <v>2379</v>
      </c>
      <c r="T233" s="8" t="s">
        <v>2380</v>
      </c>
      <c r="U233" s="8" t="s">
        <v>2378</v>
      </c>
      <c r="V233" s="8" t="n">
        <f aca="false">COUNTA(M233:R233)</f>
        <v>6</v>
      </c>
      <c r="W233" s="8" t="s">
        <v>259</v>
      </c>
      <c r="X233" s="8" t="s">
        <v>218</v>
      </c>
      <c r="Y233" s="8" t="s">
        <v>218</v>
      </c>
      <c r="Z233" s="8"/>
      <c r="AA233" s="8" t="s">
        <v>2381</v>
      </c>
      <c r="AB233" s="20"/>
      <c r="AC233" s="20"/>
      <c r="AD233" s="20"/>
      <c r="AE233" s="8" t="s">
        <v>237</v>
      </c>
      <c r="AF233" s="8" t="s">
        <v>224</v>
      </c>
    </row>
    <row r="234" customFormat="false" ht="15" hidden="false" customHeight="false" outlineLevel="0" collapsed="false">
      <c r="A234" s="8" t="s">
        <v>2382</v>
      </c>
      <c r="B234" s="8" t="s">
        <v>2383</v>
      </c>
      <c r="C234" s="8"/>
      <c r="D234" s="8" t="s">
        <v>206</v>
      </c>
      <c r="E234" s="8" t="s">
        <v>103</v>
      </c>
      <c r="F234" s="8" t="s">
        <v>70</v>
      </c>
      <c r="G234" s="8" t="s">
        <v>207</v>
      </c>
      <c r="H234" s="8" t="s">
        <v>81</v>
      </c>
      <c r="I234" s="8" t="s">
        <v>1030</v>
      </c>
      <c r="J234" s="8" t="n">
        <v>1</v>
      </c>
      <c r="K234" s="8" t="n">
        <v>4</v>
      </c>
      <c r="L234" s="18" t="n">
        <f aca="false">INDEX('All Items'!$Q:$Q,MATCH($A234,'All Items'!$A:$A,0))</f>
        <v>8.2</v>
      </c>
      <c r="M234" s="8" t="s">
        <v>752</v>
      </c>
      <c r="N234" s="8" t="s">
        <v>2384</v>
      </c>
      <c r="O234" s="8" t="s">
        <v>2385</v>
      </c>
      <c r="P234" s="8" t="s">
        <v>2386</v>
      </c>
      <c r="Q234" s="8" t="s">
        <v>2387</v>
      </c>
      <c r="R234" s="8" t="s">
        <v>924</v>
      </c>
      <c r="S234" s="19" t="s">
        <v>2388</v>
      </c>
      <c r="T234" s="8" t="s">
        <v>2389</v>
      </c>
      <c r="U234" s="8"/>
      <c r="V234" s="8" t="n">
        <f aca="false">COUNTA(M234:R234)</f>
        <v>6</v>
      </c>
      <c r="W234" s="8" t="s">
        <v>218</v>
      </c>
      <c r="X234" s="8" t="s">
        <v>218</v>
      </c>
      <c r="Y234" s="8" t="s">
        <v>218</v>
      </c>
      <c r="Z234" s="8"/>
      <c r="AA234" s="8" t="s">
        <v>2390</v>
      </c>
      <c r="AB234" s="20"/>
      <c r="AC234" s="20"/>
      <c r="AD234" s="20"/>
      <c r="AE234" s="8" t="s">
        <v>237</v>
      </c>
      <c r="AF234" s="8" t="s">
        <v>224</v>
      </c>
    </row>
    <row r="235" customFormat="false" ht="15" hidden="false" customHeight="false" outlineLevel="0" collapsed="false">
      <c r="A235" s="8" t="s">
        <v>2391</v>
      </c>
      <c r="B235" s="8" t="s">
        <v>2392</v>
      </c>
      <c r="C235" s="8"/>
      <c r="D235" s="8" t="s">
        <v>206</v>
      </c>
      <c r="E235" s="8" t="s">
        <v>103</v>
      </c>
      <c r="F235" s="8" t="s">
        <v>70</v>
      </c>
      <c r="G235" s="8" t="s">
        <v>207</v>
      </c>
      <c r="H235" s="8" t="s">
        <v>82</v>
      </c>
      <c r="I235" s="8" t="s">
        <v>1030</v>
      </c>
      <c r="J235" s="8" t="n">
        <v>2</v>
      </c>
      <c r="K235" s="8" t="n">
        <v>3</v>
      </c>
      <c r="L235" s="18" t="n">
        <f aca="false">INDEX('All Items'!$Q:$Q,MATCH($A235,'All Items'!$A:$A,0))</f>
        <v>6.65</v>
      </c>
      <c r="M235" s="8" t="s">
        <v>274</v>
      </c>
      <c r="N235" s="8" t="s">
        <v>1313</v>
      </c>
      <c r="O235" s="8" t="s">
        <v>2393</v>
      </c>
      <c r="P235" s="8" t="s">
        <v>2394</v>
      </c>
      <c r="Q235" s="8" t="s">
        <v>2395</v>
      </c>
      <c r="R235" s="8" t="s">
        <v>2396</v>
      </c>
      <c r="S235" s="19" t="s">
        <v>2397</v>
      </c>
      <c r="T235" s="8" t="s">
        <v>2398</v>
      </c>
      <c r="U235" s="8"/>
      <c r="V235" s="8" t="n">
        <f aca="false">COUNTA(M235:R235)</f>
        <v>6</v>
      </c>
      <c r="W235" s="8" t="s">
        <v>259</v>
      </c>
      <c r="X235" s="8" t="s">
        <v>218</v>
      </c>
      <c r="Y235" s="8" t="s">
        <v>218</v>
      </c>
      <c r="Z235" s="8"/>
      <c r="AA235" s="8" t="s">
        <v>2399</v>
      </c>
      <c r="AB235" s="20"/>
      <c r="AC235" s="20"/>
      <c r="AD235" s="20"/>
      <c r="AE235" s="8" t="s">
        <v>237</v>
      </c>
      <c r="AF235" s="8" t="s">
        <v>224</v>
      </c>
    </row>
    <row r="236" customFormat="false" ht="15" hidden="false" customHeight="false" outlineLevel="0" collapsed="false">
      <c r="A236" s="8" t="s">
        <v>2400</v>
      </c>
      <c r="B236" s="8" t="s">
        <v>2401</v>
      </c>
      <c r="C236" s="8"/>
      <c r="D236" s="8" t="s">
        <v>206</v>
      </c>
      <c r="E236" s="8" t="s">
        <v>103</v>
      </c>
      <c r="F236" s="8" t="s">
        <v>70</v>
      </c>
      <c r="G236" s="8" t="s">
        <v>207</v>
      </c>
      <c r="H236" s="8" t="s">
        <v>81</v>
      </c>
      <c r="I236" s="8" t="s">
        <v>1030</v>
      </c>
      <c r="J236" s="8" t="n">
        <v>2</v>
      </c>
      <c r="K236" s="8" t="n">
        <v>3</v>
      </c>
      <c r="L236" s="18" t="n">
        <f aca="false">INDEX('All Items'!$Q:$Q,MATCH($A236,'All Items'!$A:$A,0))</f>
        <v>6.9</v>
      </c>
      <c r="M236" s="8" t="s">
        <v>214</v>
      </c>
      <c r="N236" s="8" t="s">
        <v>1313</v>
      </c>
      <c r="O236" s="8" t="s">
        <v>2402</v>
      </c>
      <c r="P236" s="8" t="s">
        <v>2403</v>
      </c>
      <c r="Q236" s="8" t="s">
        <v>921</v>
      </c>
      <c r="R236" s="8"/>
      <c r="S236" s="19" t="s">
        <v>2404</v>
      </c>
      <c r="T236" s="8" t="s">
        <v>2405</v>
      </c>
      <c r="U236" s="8" t="s">
        <v>921</v>
      </c>
      <c r="V236" s="8" t="n">
        <f aca="false">COUNTA(M236:R236)</f>
        <v>5</v>
      </c>
      <c r="W236" s="8" t="s">
        <v>259</v>
      </c>
      <c r="X236" s="8" t="s">
        <v>218</v>
      </c>
      <c r="Y236" s="8" t="s">
        <v>218</v>
      </c>
      <c r="Z236" s="8"/>
      <c r="AA236" s="8" t="s">
        <v>2406</v>
      </c>
      <c r="AB236" s="20"/>
      <c r="AC236" s="20"/>
      <c r="AD236" s="20"/>
      <c r="AE236" s="8" t="s">
        <v>237</v>
      </c>
      <c r="AF236" s="8" t="s">
        <v>224</v>
      </c>
    </row>
    <row r="237" customFormat="false" ht="15" hidden="false" customHeight="false" outlineLevel="0" collapsed="false">
      <c r="A237" s="8" t="s">
        <v>2407</v>
      </c>
      <c r="B237" s="8" t="s">
        <v>2408</v>
      </c>
      <c r="C237" s="8"/>
      <c r="D237" s="8" t="s">
        <v>206</v>
      </c>
      <c r="E237" s="8" t="s">
        <v>103</v>
      </c>
      <c r="F237" s="8" t="s">
        <v>70</v>
      </c>
      <c r="G237" s="8" t="s">
        <v>207</v>
      </c>
      <c r="H237" s="8" t="s">
        <v>81</v>
      </c>
      <c r="I237" s="8" t="s">
        <v>273</v>
      </c>
      <c r="J237" s="8" t="n">
        <v>2</v>
      </c>
      <c r="K237" s="8" t="n">
        <v>3</v>
      </c>
      <c r="L237" s="18" t="n">
        <f aca="false">INDEX('All Items'!$Q:$Q,MATCH($A237,'All Items'!$A:$A,0))</f>
        <v>7.15</v>
      </c>
      <c r="M237" s="8" t="s">
        <v>274</v>
      </c>
      <c r="N237" s="8" t="s">
        <v>442</v>
      </c>
      <c r="O237" s="8" t="s">
        <v>229</v>
      </c>
      <c r="P237" s="8" t="s">
        <v>2409</v>
      </c>
      <c r="Q237" s="8" t="s">
        <v>424</v>
      </c>
      <c r="R237" s="8"/>
      <c r="S237" s="19" t="s">
        <v>2410</v>
      </c>
      <c r="T237" s="8" t="s">
        <v>2411</v>
      </c>
      <c r="U237" s="8" t="s">
        <v>424</v>
      </c>
      <c r="V237" s="8" t="n">
        <f aca="false">COUNTA(M237:R237)</f>
        <v>5</v>
      </c>
      <c r="W237" s="8" t="s">
        <v>259</v>
      </c>
      <c r="X237" s="8" t="s">
        <v>218</v>
      </c>
      <c r="Y237" s="8" t="s">
        <v>218</v>
      </c>
      <c r="Z237" s="8"/>
      <c r="AA237" s="8" t="s">
        <v>2412</v>
      </c>
      <c r="AB237" s="20"/>
      <c r="AC237" s="20"/>
      <c r="AD237" s="20"/>
      <c r="AE237" s="8" t="s">
        <v>237</v>
      </c>
      <c r="AF237" s="8" t="s">
        <v>224</v>
      </c>
    </row>
    <row r="238" customFormat="false" ht="15" hidden="false" customHeight="false" outlineLevel="0" collapsed="false">
      <c r="A238" s="8" t="s">
        <v>2413</v>
      </c>
      <c r="B238" s="8" t="s">
        <v>2414</v>
      </c>
      <c r="C238" s="8"/>
      <c r="D238" s="8" t="s">
        <v>206</v>
      </c>
      <c r="E238" s="8" t="s">
        <v>108</v>
      </c>
      <c r="F238" s="8" t="s">
        <v>70</v>
      </c>
      <c r="G238" s="8" t="s">
        <v>207</v>
      </c>
      <c r="H238" s="8" t="s">
        <v>81</v>
      </c>
      <c r="I238" s="8" t="s">
        <v>273</v>
      </c>
      <c r="J238" s="8" t="n">
        <v>2</v>
      </c>
      <c r="K238" s="8" t="n">
        <v>3</v>
      </c>
      <c r="L238" s="18" t="n">
        <f aca="false">INDEX('All Items'!$Q:$Q,MATCH($A238,'All Items'!$A:$A,0))</f>
        <v>7.15</v>
      </c>
      <c r="M238" s="8" t="s">
        <v>442</v>
      </c>
      <c r="N238" s="8" t="s">
        <v>411</v>
      </c>
      <c r="O238" s="8" t="s">
        <v>2415</v>
      </c>
      <c r="P238" s="8" t="s">
        <v>2416</v>
      </c>
      <c r="Q238" s="8" t="s">
        <v>2417</v>
      </c>
      <c r="R238" s="8" t="s">
        <v>424</v>
      </c>
      <c r="S238" s="19" t="s">
        <v>2418</v>
      </c>
      <c r="T238" s="8" t="s">
        <v>2419</v>
      </c>
      <c r="U238" s="8" t="s">
        <v>2420</v>
      </c>
      <c r="V238" s="8" t="n">
        <f aca="false">COUNTA(M238:R238)</f>
        <v>6</v>
      </c>
      <c r="W238" s="8" t="s">
        <v>259</v>
      </c>
      <c r="X238" s="8" t="s">
        <v>218</v>
      </c>
      <c r="Y238" s="8" t="s">
        <v>218</v>
      </c>
      <c r="Z238" s="8"/>
      <c r="AA238" s="8" t="s">
        <v>2421</v>
      </c>
      <c r="AB238" s="20" t="s">
        <v>2422</v>
      </c>
      <c r="AC238" s="20" t="s">
        <v>221</v>
      </c>
      <c r="AD238" s="20" t="s">
        <v>2423</v>
      </c>
      <c r="AE238" s="8" t="s">
        <v>223</v>
      </c>
      <c r="AF238" s="8" t="s">
        <v>224</v>
      </c>
    </row>
    <row r="239" customFormat="false" ht="15" hidden="false" customHeight="false" outlineLevel="0" collapsed="false">
      <c r="A239" s="8" t="s">
        <v>2424</v>
      </c>
      <c r="B239" s="8" t="s">
        <v>2425</v>
      </c>
      <c r="C239" s="8"/>
      <c r="D239" s="8" t="s">
        <v>206</v>
      </c>
      <c r="E239" s="8" t="s">
        <v>103</v>
      </c>
      <c r="F239" s="8" t="s">
        <v>70</v>
      </c>
      <c r="G239" s="8" t="s">
        <v>207</v>
      </c>
      <c r="H239" s="8" t="s">
        <v>78</v>
      </c>
      <c r="I239" s="8" t="s">
        <v>227</v>
      </c>
      <c r="J239" s="8" t="n">
        <v>2</v>
      </c>
      <c r="K239" s="8" t="n">
        <v>3</v>
      </c>
      <c r="L239" s="18" t="n">
        <f aca="false">INDEX('All Items'!$Q:$Q,MATCH($A239,'All Items'!$A:$A,0))</f>
        <v>7.4</v>
      </c>
      <c r="M239" s="8" t="s">
        <v>346</v>
      </c>
      <c r="N239" s="8" t="s">
        <v>2426</v>
      </c>
      <c r="O239" s="8" t="s">
        <v>289</v>
      </c>
      <c r="P239" s="8" t="s">
        <v>812</v>
      </c>
      <c r="Q239" s="8" t="s">
        <v>2427</v>
      </c>
      <c r="R239" s="8" t="s">
        <v>2428</v>
      </c>
      <c r="S239" s="19" t="s">
        <v>2429</v>
      </c>
      <c r="T239" s="8" t="s">
        <v>2430</v>
      </c>
      <c r="U239" s="8"/>
      <c r="V239" s="8" t="n">
        <f aca="false">COUNTA(M239:R239)</f>
        <v>6</v>
      </c>
      <c r="W239" s="8" t="s">
        <v>259</v>
      </c>
      <c r="X239" s="8" t="s">
        <v>218</v>
      </c>
      <c r="Y239" s="8" t="s">
        <v>218</v>
      </c>
      <c r="Z239" s="8"/>
      <c r="AA239" s="8" t="s">
        <v>2431</v>
      </c>
      <c r="AB239" s="20"/>
      <c r="AC239" s="20"/>
      <c r="AD239" s="20"/>
      <c r="AE239" s="8" t="s">
        <v>237</v>
      </c>
      <c r="AF239" s="8" t="s">
        <v>224</v>
      </c>
    </row>
    <row r="240" customFormat="false" ht="15" hidden="false" customHeight="false" outlineLevel="0" collapsed="false">
      <c r="A240" s="8" t="s">
        <v>2432</v>
      </c>
      <c r="B240" s="8" t="s">
        <v>2433</v>
      </c>
      <c r="C240" s="8"/>
      <c r="D240" s="8" t="s">
        <v>206</v>
      </c>
      <c r="E240" s="8" t="s">
        <v>103</v>
      </c>
      <c r="F240" s="8" t="s">
        <v>70</v>
      </c>
      <c r="G240" s="8" t="s">
        <v>207</v>
      </c>
      <c r="H240" s="8" t="s">
        <v>79</v>
      </c>
      <c r="I240" s="8" t="s">
        <v>273</v>
      </c>
      <c r="J240" s="8" t="n">
        <v>2</v>
      </c>
      <c r="K240" s="8" t="n">
        <v>3</v>
      </c>
      <c r="L240" s="18" t="n">
        <f aca="false">INDEX('All Items'!$Q:$Q,MATCH($A240,'All Items'!$A:$A,0))</f>
        <v>6.9</v>
      </c>
      <c r="M240" s="8" t="s">
        <v>274</v>
      </c>
      <c r="N240" s="8" t="s">
        <v>2434</v>
      </c>
      <c r="O240" s="8" t="s">
        <v>2435</v>
      </c>
      <c r="P240" s="8" t="s">
        <v>1199</v>
      </c>
      <c r="Q240" s="8" t="s">
        <v>424</v>
      </c>
      <c r="R240" s="8"/>
      <c r="S240" s="19" t="s">
        <v>2436</v>
      </c>
      <c r="T240" s="8" t="s">
        <v>2437</v>
      </c>
      <c r="U240" s="8" t="s">
        <v>424</v>
      </c>
      <c r="V240" s="8" t="n">
        <f aca="false">COUNTA(M240:R240)</f>
        <v>5</v>
      </c>
      <c r="W240" s="8" t="s">
        <v>259</v>
      </c>
      <c r="X240" s="8" t="s">
        <v>218</v>
      </c>
      <c r="Y240" s="8" t="s">
        <v>218</v>
      </c>
      <c r="Z240" s="8"/>
      <c r="AA240" s="8" t="s">
        <v>2438</v>
      </c>
      <c r="AB240" s="20"/>
      <c r="AC240" s="20"/>
      <c r="AD240" s="20"/>
      <c r="AE240" s="8" t="s">
        <v>237</v>
      </c>
      <c r="AF240" s="8" t="s">
        <v>224</v>
      </c>
    </row>
    <row r="241" customFormat="false" ht="15" hidden="false" customHeight="false" outlineLevel="0" collapsed="false">
      <c r="A241" s="8" t="s">
        <v>2439</v>
      </c>
      <c r="B241" s="8" t="s">
        <v>2440</v>
      </c>
      <c r="C241" s="8" t="s">
        <v>2441</v>
      </c>
      <c r="D241" s="8" t="s">
        <v>206</v>
      </c>
      <c r="E241" s="8" t="s">
        <v>103</v>
      </c>
      <c r="F241" s="8" t="s">
        <v>70</v>
      </c>
      <c r="G241" s="8" t="s">
        <v>207</v>
      </c>
      <c r="H241" s="8" t="s">
        <v>88</v>
      </c>
      <c r="I241" s="8" t="s">
        <v>273</v>
      </c>
      <c r="J241" s="8" t="n">
        <v>1</v>
      </c>
      <c r="K241" s="8" t="n">
        <v>3</v>
      </c>
      <c r="L241" s="18" t="n">
        <f aca="false">INDEX('All Items'!$Q:$Q,MATCH($A241,'All Items'!$A:$A,0))</f>
        <v>7.4</v>
      </c>
      <c r="M241" s="8" t="s">
        <v>741</v>
      </c>
      <c r="N241" s="8" t="s">
        <v>1590</v>
      </c>
      <c r="O241" s="8" t="s">
        <v>2442</v>
      </c>
      <c r="P241" s="8" t="s">
        <v>2443</v>
      </c>
      <c r="Q241" s="8" t="s">
        <v>2444</v>
      </c>
      <c r="R241" s="8" t="s">
        <v>2445</v>
      </c>
      <c r="S241" s="19" t="s">
        <v>2446</v>
      </c>
      <c r="T241" s="8" t="s">
        <v>2447</v>
      </c>
      <c r="U241" s="8" t="s">
        <v>2445</v>
      </c>
      <c r="V241" s="8" t="n">
        <f aca="false">COUNTA(M241:R241)</f>
        <v>6</v>
      </c>
      <c r="W241" s="8" t="s">
        <v>218</v>
      </c>
      <c r="X241" s="8" t="s">
        <v>218</v>
      </c>
      <c r="Y241" s="8" t="s">
        <v>218</v>
      </c>
      <c r="Z241" s="8"/>
      <c r="AA241" s="8" t="s">
        <v>2448</v>
      </c>
      <c r="AB241" s="20"/>
      <c r="AC241" s="20"/>
      <c r="AD241" s="20"/>
      <c r="AE241" s="8" t="s">
        <v>237</v>
      </c>
      <c r="AF241" s="8" t="s">
        <v>224</v>
      </c>
    </row>
    <row r="242" customFormat="false" ht="15" hidden="false" customHeight="false" outlineLevel="0" collapsed="false">
      <c r="A242" s="8" t="s">
        <v>2449</v>
      </c>
      <c r="B242" s="8" t="s">
        <v>2450</v>
      </c>
      <c r="C242" s="8"/>
      <c r="D242" s="8" t="s">
        <v>206</v>
      </c>
      <c r="E242" s="8" t="s">
        <v>105</v>
      </c>
      <c r="F242" s="8" t="s">
        <v>70</v>
      </c>
      <c r="G242" s="8" t="s">
        <v>207</v>
      </c>
      <c r="H242" s="8" t="s">
        <v>88</v>
      </c>
      <c r="I242" s="8" t="s">
        <v>273</v>
      </c>
      <c r="J242" s="8" t="n">
        <v>1</v>
      </c>
      <c r="K242" s="8" t="n">
        <v>3</v>
      </c>
      <c r="L242" s="18" t="n">
        <f aca="false">INDEX('All Items'!$Q:$Q,MATCH($A242,'All Items'!$A:$A,0))</f>
        <v>7.15</v>
      </c>
      <c r="M242" s="8" t="s">
        <v>835</v>
      </c>
      <c r="N242" s="8" t="s">
        <v>668</v>
      </c>
      <c r="O242" s="8" t="s">
        <v>2451</v>
      </c>
      <c r="P242" s="8" t="s">
        <v>2452</v>
      </c>
      <c r="Q242" s="8" t="s">
        <v>1105</v>
      </c>
      <c r="R242" s="8" t="s">
        <v>678</v>
      </c>
      <c r="S242" s="19" t="s">
        <v>2453</v>
      </c>
      <c r="T242" s="8" t="s">
        <v>2454</v>
      </c>
      <c r="U242" s="8" t="s">
        <v>678</v>
      </c>
      <c r="V242" s="8" t="n">
        <f aca="false">COUNTA(M242:R242)</f>
        <v>6</v>
      </c>
      <c r="W242" s="8" t="s">
        <v>218</v>
      </c>
      <c r="X242" s="8" t="s">
        <v>218</v>
      </c>
      <c r="Y242" s="8" t="s">
        <v>218</v>
      </c>
      <c r="Z242" s="8"/>
      <c r="AA242" s="8" t="s">
        <v>2455</v>
      </c>
      <c r="AB242" s="20" t="s">
        <v>2456</v>
      </c>
      <c r="AC242" s="20" t="s">
        <v>221</v>
      </c>
      <c r="AD242" s="20" t="s">
        <v>2457</v>
      </c>
      <c r="AE242" s="8" t="s">
        <v>223</v>
      </c>
      <c r="AF242" s="8" t="s">
        <v>224</v>
      </c>
    </row>
    <row r="243" customFormat="false" ht="15" hidden="false" customHeight="false" outlineLevel="0" collapsed="false">
      <c r="A243" s="8" t="s">
        <v>2458</v>
      </c>
      <c r="B243" s="8" t="s">
        <v>2459</v>
      </c>
      <c r="C243" s="8" t="s">
        <v>2460</v>
      </c>
      <c r="D243" s="8" t="s">
        <v>206</v>
      </c>
      <c r="E243" s="8" t="s">
        <v>103</v>
      </c>
      <c r="F243" s="8" t="s">
        <v>70</v>
      </c>
      <c r="G243" s="8" t="s">
        <v>207</v>
      </c>
      <c r="H243" s="8" t="s">
        <v>88</v>
      </c>
      <c r="I243" s="8" t="s">
        <v>273</v>
      </c>
      <c r="J243" s="8" t="n">
        <v>1</v>
      </c>
      <c r="K243" s="8" t="n">
        <v>3</v>
      </c>
      <c r="L243" s="18" t="n">
        <f aca="false">INDEX('All Items'!$Q:$Q,MATCH($A243,'All Items'!$A:$A,0))</f>
        <v>6.65</v>
      </c>
      <c r="M243" s="8" t="s">
        <v>442</v>
      </c>
      <c r="N243" s="8" t="s">
        <v>2461</v>
      </c>
      <c r="O243" s="8" t="s">
        <v>2462</v>
      </c>
      <c r="P243" s="8" t="s">
        <v>2463</v>
      </c>
      <c r="Q243" s="8" t="s">
        <v>388</v>
      </c>
      <c r="R243" s="8"/>
      <c r="S243" s="19" t="s">
        <v>2464</v>
      </c>
      <c r="T243" s="8" t="s">
        <v>2465</v>
      </c>
      <c r="U243" s="8" t="s">
        <v>388</v>
      </c>
      <c r="V243" s="8" t="n">
        <f aca="false">COUNTA(M243:R243)</f>
        <v>5</v>
      </c>
      <c r="W243" s="8" t="s">
        <v>218</v>
      </c>
      <c r="X243" s="8" t="s">
        <v>218</v>
      </c>
      <c r="Y243" s="8" t="s">
        <v>218</v>
      </c>
      <c r="Z243" s="8"/>
      <c r="AA243" s="8" t="s">
        <v>2466</v>
      </c>
      <c r="AB243" s="20"/>
      <c r="AC243" s="20"/>
      <c r="AD243" s="20"/>
      <c r="AE243" s="8" t="s">
        <v>237</v>
      </c>
      <c r="AF243" s="8" t="s">
        <v>224</v>
      </c>
    </row>
    <row r="244" customFormat="false" ht="15" hidden="false" customHeight="false" outlineLevel="0" collapsed="false">
      <c r="A244" s="8" t="s">
        <v>2467</v>
      </c>
      <c r="B244" s="8" t="s">
        <v>2468</v>
      </c>
      <c r="C244" s="8" t="s">
        <v>2469</v>
      </c>
      <c r="D244" s="8" t="s">
        <v>206</v>
      </c>
      <c r="E244" s="8" t="s">
        <v>103</v>
      </c>
      <c r="F244" s="8" t="s">
        <v>70</v>
      </c>
      <c r="G244" s="8" t="s">
        <v>207</v>
      </c>
      <c r="H244" s="8" t="s">
        <v>88</v>
      </c>
      <c r="I244" s="8" t="s">
        <v>273</v>
      </c>
      <c r="J244" s="8" t="n">
        <v>1</v>
      </c>
      <c r="K244" s="8" t="n">
        <v>3</v>
      </c>
      <c r="L244" s="18" t="n">
        <f aca="false">INDEX('All Items'!$Q:$Q,MATCH($A244,'All Items'!$A:$A,0))</f>
        <v>7.15</v>
      </c>
      <c r="M244" s="8" t="s">
        <v>2046</v>
      </c>
      <c r="N244" s="8" t="s">
        <v>2239</v>
      </c>
      <c r="O244" s="8" t="s">
        <v>586</v>
      </c>
      <c r="P244" s="8" t="s">
        <v>2470</v>
      </c>
      <c r="Q244" s="8" t="s">
        <v>972</v>
      </c>
      <c r="R244" s="8" t="s">
        <v>443</v>
      </c>
      <c r="S244" s="19" t="s">
        <v>2471</v>
      </c>
      <c r="T244" s="8" t="s">
        <v>2472</v>
      </c>
      <c r="U244" s="8" t="s">
        <v>2473</v>
      </c>
      <c r="V244" s="8" t="n">
        <f aca="false">COUNTA(M244:R244)</f>
        <v>6</v>
      </c>
      <c r="W244" s="8" t="s">
        <v>218</v>
      </c>
      <c r="X244" s="8" t="s">
        <v>218</v>
      </c>
      <c r="Y244" s="8" t="s">
        <v>218</v>
      </c>
      <c r="Z244" s="8"/>
      <c r="AA244" s="8" t="s">
        <v>2474</v>
      </c>
      <c r="AB244" s="20"/>
      <c r="AC244" s="20"/>
      <c r="AD244" s="20"/>
      <c r="AE244" s="8" t="s">
        <v>237</v>
      </c>
      <c r="AF244" s="8" t="s">
        <v>224</v>
      </c>
    </row>
    <row r="245" customFormat="false" ht="15" hidden="false" customHeight="false" outlineLevel="0" collapsed="false">
      <c r="A245" s="8" t="s">
        <v>2475</v>
      </c>
      <c r="B245" s="8" t="s">
        <v>2476</v>
      </c>
      <c r="C245" s="8"/>
      <c r="D245" s="8" t="s">
        <v>206</v>
      </c>
      <c r="E245" s="8" t="s">
        <v>104</v>
      </c>
      <c r="F245" s="8" t="s">
        <v>70</v>
      </c>
      <c r="G245" s="8" t="s">
        <v>207</v>
      </c>
      <c r="H245" s="8" t="s">
        <v>84</v>
      </c>
      <c r="I245" s="8" t="s">
        <v>273</v>
      </c>
      <c r="J245" s="8" t="n">
        <v>2</v>
      </c>
      <c r="K245" s="8" t="n">
        <v>3</v>
      </c>
      <c r="L245" s="18" t="n">
        <f aca="false">INDEX('All Items'!$Q:$Q,MATCH($A245,'All Items'!$A:$A,0))</f>
        <v>7.4</v>
      </c>
      <c r="M245" s="8" t="s">
        <v>764</v>
      </c>
      <c r="N245" s="8" t="s">
        <v>2477</v>
      </c>
      <c r="O245" s="8" t="s">
        <v>586</v>
      </c>
      <c r="P245" s="8" t="s">
        <v>791</v>
      </c>
      <c r="Q245" s="8" t="s">
        <v>2478</v>
      </c>
      <c r="R245" s="8" t="s">
        <v>2479</v>
      </c>
      <c r="S245" s="19" t="s">
        <v>2480</v>
      </c>
      <c r="T245" s="8" t="s">
        <v>2481</v>
      </c>
      <c r="U245" s="8"/>
      <c r="V245" s="8" t="n">
        <f aca="false">COUNTA(M245:R245)</f>
        <v>6</v>
      </c>
      <c r="W245" s="8" t="s">
        <v>259</v>
      </c>
      <c r="X245" s="8" t="s">
        <v>218</v>
      </c>
      <c r="Y245" s="8" t="s">
        <v>218</v>
      </c>
      <c r="Z245" s="8"/>
      <c r="AA245" s="8" t="s">
        <v>2482</v>
      </c>
      <c r="AB245" s="20" t="s">
        <v>2483</v>
      </c>
      <c r="AC245" s="20" t="s">
        <v>221</v>
      </c>
      <c r="AD245" s="20" t="s">
        <v>2484</v>
      </c>
      <c r="AE245" s="8" t="s">
        <v>223</v>
      </c>
      <c r="AF245" s="8" t="s">
        <v>224</v>
      </c>
    </row>
    <row r="246" customFormat="false" ht="15" hidden="false" customHeight="false" outlineLevel="0" collapsed="false">
      <c r="A246" s="8" t="s">
        <v>2485</v>
      </c>
      <c r="B246" s="8" t="s">
        <v>2486</v>
      </c>
      <c r="C246" s="8"/>
      <c r="D246" s="8" t="s">
        <v>206</v>
      </c>
      <c r="E246" s="8" t="s">
        <v>103</v>
      </c>
      <c r="F246" s="8" t="s">
        <v>70</v>
      </c>
      <c r="G246" s="8" t="s">
        <v>207</v>
      </c>
      <c r="H246" s="8" t="s">
        <v>84</v>
      </c>
      <c r="I246" s="8" t="s">
        <v>273</v>
      </c>
      <c r="J246" s="8" t="n">
        <v>2</v>
      </c>
      <c r="K246" s="8" t="n">
        <v>3</v>
      </c>
      <c r="L246" s="18" t="n">
        <f aca="false">INDEX('All Items'!$Q:$Q,MATCH($A246,'All Items'!$A:$A,0))</f>
        <v>7.4</v>
      </c>
      <c r="M246" s="8" t="s">
        <v>764</v>
      </c>
      <c r="N246" s="8" t="s">
        <v>791</v>
      </c>
      <c r="O246" s="8" t="s">
        <v>586</v>
      </c>
      <c r="P246" s="8" t="s">
        <v>686</v>
      </c>
      <c r="Q246" s="8" t="s">
        <v>2487</v>
      </c>
      <c r="R246" s="8" t="s">
        <v>2488</v>
      </c>
      <c r="S246" s="19" t="s">
        <v>2489</v>
      </c>
      <c r="T246" s="8" t="s">
        <v>2490</v>
      </c>
      <c r="U246" s="8"/>
      <c r="V246" s="8" t="n">
        <f aca="false">COUNTA(M246:R246)</f>
        <v>6</v>
      </c>
      <c r="W246" s="8" t="s">
        <v>259</v>
      </c>
      <c r="X246" s="8" t="s">
        <v>218</v>
      </c>
      <c r="Y246" s="8" t="s">
        <v>218</v>
      </c>
      <c r="Z246" s="8"/>
      <c r="AA246" s="8" t="s">
        <v>2491</v>
      </c>
      <c r="AB246" s="20"/>
      <c r="AC246" s="20"/>
      <c r="AD246" s="20"/>
      <c r="AE246" s="8" t="s">
        <v>237</v>
      </c>
      <c r="AF246" s="8" t="s">
        <v>224</v>
      </c>
    </row>
    <row r="247" customFormat="false" ht="15" hidden="false" customHeight="false" outlineLevel="0" collapsed="false">
      <c r="A247" s="8" t="s">
        <v>2492</v>
      </c>
      <c r="B247" s="8" t="s">
        <v>2493</v>
      </c>
      <c r="C247" s="8"/>
      <c r="D247" s="8" t="s">
        <v>206</v>
      </c>
      <c r="E247" s="8" t="s">
        <v>103</v>
      </c>
      <c r="F247" s="8" t="s">
        <v>70</v>
      </c>
      <c r="G247" s="8" t="s">
        <v>207</v>
      </c>
      <c r="H247" s="8" t="s">
        <v>84</v>
      </c>
      <c r="I247" s="8" t="s">
        <v>227</v>
      </c>
      <c r="J247" s="8" t="n">
        <v>2</v>
      </c>
      <c r="K247" s="8" t="n">
        <v>3</v>
      </c>
      <c r="L247" s="18" t="n">
        <f aca="false">INDEX('All Items'!$Q:$Q,MATCH($A247,'All Items'!$A:$A,0))</f>
        <v>6.9</v>
      </c>
      <c r="M247" s="8" t="s">
        <v>764</v>
      </c>
      <c r="N247" s="8" t="s">
        <v>2494</v>
      </c>
      <c r="O247" s="8" t="s">
        <v>2495</v>
      </c>
      <c r="P247" s="8" t="s">
        <v>2496</v>
      </c>
      <c r="Q247" s="8" t="s">
        <v>2497</v>
      </c>
      <c r="R247" s="8"/>
      <c r="S247" s="19" t="s">
        <v>2498</v>
      </c>
      <c r="T247" s="8" t="s">
        <v>2499</v>
      </c>
      <c r="U247" s="8" t="s">
        <v>2497</v>
      </c>
      <c r="V247" s="8" t="n">
        <f aca="false">COUNTA(M247:R247)</f>
        <v>5</v>
      </c>
      <c r="W247" s="8" t="s">
        <v>259</v>
      </c>
      <c r="X247" s="8" t="s">
        <v>218</v>
      </c>
      <c r="Y247" s="8" t="s">
        <v>218</v>
      </c>
      <c r="Z247" s="8"/>
      <c r="AA247" s="8" t="s">
        <v>2500</v>
      </c>
      <c r="AB247" s="20"/>
      <c r="AC247" s="20"/>
      <c r="AD247" s="20"/>
      <c r="AE247" s="8" t="s">
        <v>237</v>
      </c>
      <c r="AF247" s="8" t="s">
        <v>224</v>
      </c>
    </row>
    <row r="248" customFormat="false" ht="15" hidden="false" customHeight="false" outlineLevel="0" collapsed="false">
      <c r="A248" s="8" t="s">
        <v>2501</v>
      </c>
      <c r="B248" s="8" t="s">
        <v>2502</v>
      </c>
      <c r="C248" s="8"/>
      <c r="D248" s="8" t="s">
        <v>206</v>
      </c>
      <c r="E248" s="8" t="s">
        <v>107</v>
      </c>
      <c r="F248" s="8" t="s">
        <v>70</v>
      </c>
      <c r="G248" s="8" t="s">
        <v>207</v>
      </c>
      <c r="H248" s="8" t="s">
        <v>80</v>
      </c>
      <c r="I248" s="8" t="s">
        <v>227</v>
      </c>
      <c r="J248" s="8" t="n">
        <v>2</v>
      </c>
      <c r="K248" s="8" t="n">
        <v>3</v>
      </c>
      <c r="L248" s="18" t="n">
        <f aca="false">INDEX('All Items'!$Q:$Q,MATCH($A248,'All Items'!$A:$A,0))</f>
        <v>7.4</v>
      </c>
      <c r="M248" s="8" t="s">
        <v>764</v>
      </c>
      <c r="N248" s="8" t="s">
        <v>1363</v>
      </c>
      <c r="O248" s="8" t="s">
        <v>346</v>
      </c>
      <c r="P248" s="8" t="s">
        <v>366</v>
      </c>
      <c r="Q248" s="8" t="s">
        <v>2240</v>
      </c>
      <c r="R248" s="8" t="s">
        <v>107</v>
      </c>
      <c r="S248" s="19" t="s">
        <v>2503</v>
      </c>
      <c r="T248" s="8" t="s">
        <v>2504</v>
      </c>
      <c r="U248" s="8"/>
      <c r="V248" s="8" t="n">
        <f aca="false">COUNTA(M248:R248)</f>
        <v>6</v>
      </c>
      <c r="W248" s="8" t="s">
        <v>259</v>
      </c>
      <c r="X248" s="8" t="s">
        <v>218</v>
      </c>
      <c r="Y248" s="8" t="s">
        <v>218</v>
      </c>
      <c r="Z248" s="8"/>
      <c r="AA248" s="8" t="s">
        <v>2505</v>
      </c>
      <c r="AB248" s="20"/>
      <c r="AC248" s="20"/>
      <c r="AD248" s="20"/>
      <c r="AE248" s="8" t="s">
        <v>237</v>
      </c>
      <c r="AF248" s="8" t="s">
        <v>224</v>
      </c>
    </row>
    <row r="249" customFormat="false" ht="15" hidden="false" customHeight="false" outlineLevel="0" collapsed="false">
      <c r="A249" s="8" t="s">
        <v>2506</v>
      </c>
      <c r="B249" s="8" t="s">
        <v>2507</v>
      </c>
      <c r="C249" s="8"/>
      <c r="D249" s="8" t="s">
        <v>206</v>
      </c>
      <c r="E249" s="8" t="s">
        <v>105</v>
      </c>
      <c r="F249" s="8" t="s">
        <v>70</v>
      </c>
      <c r="G249" s="8" t="s">
        <v>207</v>
      </c>
      <c r="H249" s="8" t="s">
        <v>84</v>
      </c>
      <c r="I249" s="8" t="s">
        <v>273</v>
      </c>
      <c r="J249" s="8" t="n">
        <v>2</v>
      </c>
      <c r="K249" s="8" t="n">
        <v>3</v>
      </c>
      <c r="L249" s="18" t="n">
        <f aca="false">INDEX('All Items'!$Q:$Q,MATCH($A249,'All Items'!$A:$A,0))</f>
        <v>7.4</v>
      </c>
      <c r="M249" s="8" t="s">
        <v>586</v>
      </c>
      <c r="N249" s="8" t="s">
        <v>678</v>
      </c>
      <c r="O249" s="8" t="s">
        <v>861</v>
      </c>
      <c r="P249" s="8" t="s">
        <v>618</v>
      </c>
      <c r="Q249" s="8" t="s">
        <v>620</v>
      </c>
      <c r="R249" s="8" t="s">
        <v>2508</v>
      </c>
      <c r="S249" s="19" t="s">
        <v>2509</v>
      </c>
      <c r="T249" s="8" t="s">
        <v>2510</v>
      </c>
      <c r="U249" s="8"/>
      <c r="V249" s="8" t="n">
        <f aca="false">COUNTA(M249:R249)</f>
        <v>6</v>
      </c>
      <c r="W249" s="8" t="s">
        <v>259</v>
      </c>
      <c r="X249" s="8" t="s">
        <v>218</v>
      </c>
      <c r="Y249" s="8" t="s">
        <v>218</v>
      </c>
      <c r="Z249" s="8"/>
      <c r="AA249" s="8" t="s">
        <v>2511</v>
      </c>
      <c r="AB249" s="20"/>
      <c r="AC249" s="20"/>
      <c r="AD249" s="20"/>
      <c r="AE249" s="8" t="s">
        <v>237</v>
      </c>
      <c r="AF249" s="8" t="s">
        <v>224</v>
      </c>
    </row>
    <row r="250" customFormat="false" ht="15" hidden="false" customHeight="false" outlineLevel="0" collapsed="false">
      <c r="A250" s="8" t="s">
        <v>2512</v>
      </c>
      <c r="B250" s="8" t="s">
        <v>2513</v>
      </c>
      <c r="C250" s="8"/>
      <c r="D250" s="8" t="s">
        <v>206</v>
      </c>
      <c r="E250" s="8" t="s">
        <v>109</v>
      </c>
      <c r="F250" s="8" t="s">
        <v>70</v>
      </c>
      <c r="G250" s="8" t="s">
        <v>207</v>
      </c>
      <c r="H250" s="8" t="s">
        <v>79</v>
      </c>
      <c r="I250" s="8" t="s">
        <v>273</v>
      </c>
      <c r="J250" s="8" t="n">
        <v>2</v>
      </c>
      <c r="K250" s="8" t="n">
        <v>3</v>
      </c>
      <c r="L250" s="18" t="n">
        <f aca="false">INDEX('All Items'!$Q:$Q,MATCH($A250,'All Items'!$A:$A,0))</f>
        <v>7.15</v>
      </c>
      <c r="M250" s="8" t="s">
        <v>668</v>
      </c>
      <c r="N250" s="8" t="s">
        <v>251</v>
      </c>
      <c r="O250" s="8" t="s">
        <v>2514</v>
      </c>
      <c r="P250" s="8" t="s">
        <v>477</v>
      </c>
      <c r="Q250" s="8" t="s">
        <v>2515</v>
      </c>
      <c r="R250" s="8" t="s">
        <v>2516</v>
      </c>
      <c r="S250" s="19" t="s">
        <v>2517</v>
      </c>
      <c r="T250" s="8" t="s">
        <v>2518</v>
      </c>
      <c r="U250" s="8"/>
      <c r="V250" s="8" t="n">
        <f aca="false">COUNTA(M250:R250)</f>
        <v>6</v>
      </c>
      <c r="W250" s="8" t="s">
        <v>259</v>
      </c>
      <c r="X250" s="8" t="s">
        <v>218</v>
      </c>
      <c r="Y250" s="8" t="s">
        <v>218</v>
      </c>
      <c r="Z250" s="8"/>
      <c r="AA250" s="8" t="s">
        <v>2519</v>
      </c>
      <c r="AB250" s="20"/>
      <c r="AC250" s="20"/>
      <c r="AD250" s="20"/>
      <c r="AE250" s="8" t="s">
        <v>237</v>
      </c>
      <c r="AF250" s="8" t="s">
        <v>224</v>
      </c>
    </row>
    <row r="251" customFormat="false" ht="15" hidden="false" customHeight="false" outlineLevel="0" collapsed="false">
      <c r="A251" s="8" t="s">
        <v>2520</v>
      </c>
      <c r="B251" s="8" t="s">
        <v>2521</v>
      </c>
      <c r="C251" s="8"/>
      <c r="D251" s="8" t="s">
        <v>206</v>
      </c>
      <c r="E251" s="8" t="s">
        <v>106</v>
      </c>
      <c r="F251" s="8" t="s">
        <v>70</v>
      </c>
      <c r="G251" s="8" t="s">
        <v>207</v>
      </c>
      <c r="H251" s="8" t="s">
        <v>81</v>
      </c>
      <c r="I251" s="8" t="s">
        <v>1030</v>
      </c>
      <c r="J251" s="8" t="n">
        <v>2</v>
      </c>
      <c r="K251" s="8" t="n">
        <v>3</v>
      </c>
      <c r="L251" s="18" t="n">
        <f aca="false">INDEX('All Items'!$Q:$Q,MATCH($A251,'All Items'!$A:$A,0))</f>
        <v>6.9</v>
      </c>
      <c r="M251" s="8" t="s">
        <v>1313</v>
      </c>
      <c r="N251" s="8" t="s">
        <v>2522</v>
      </c>
      <c r="O251" s="8" t="s">
        <v>2523</v>
      </c>
      <c r="P251" s="8" t="s">
        <v>1650</v>
      </c>
      <c r="Q251" s="8" t="s">
        <v>2524</v>
      </c>
      <c r="R251" s="8"/>
      <c r="S251" s="19" t="s">
        <v>2525</v>
      </c>
      <c r="T251" s="8" t="s">
        <v>2526</v>
      </c>
      <c r="U251" s="8" t="s">
        <v>2524</v>
      </c>
      <c r="V251" s="8" t="n">
        <f aca="false">COUNTA(M251:R251)</f>
        <v>5</v>
      </c>
      <c r="W251" s="8" t="s">
        <v>259</v>
      </c>
      <c r="X251" s="8" t="s">
        <v>218</v>
      </c>
      <c r="Y251" s="8" t="s">
        <v>218</v>
      </c>
      <c r="Z251" s="8"/>
      <c r="AA251" s="8" t="s">
        <v>2527</v>
      </c>
      <c r="AB251" s="20" t="s">
        <v>2528</v>
      </c>
      <c r="AC251" s="20" t="s">
        <v>221</v>
      </c>
      <c r="AD251" s="20" t="s">
        <v>2529</v>
      </c>
      <c r="AE251" s="8" t="s">
        <v>223</v>
      </c>
      <c r="AF251" s="8" t="s">
        <v>224</v>
      </c>
    </row>
    <row r="252" customFormat="false" ht="15" hidden="false" customHeight="false" outlineLevel="0" collapsed="false">
      <c r="A252" s="8" t="s">
        <v>2530</v>
      </c>
      <c r="B252" s="8" t="s">
        <v>2531</v>
      </c>
      <c r="C252" s="8"/>
      <c r="D252" s="8" t="s">
        <v>2532</v>
      </c>
      <c r="E252" s="8"/>
      <c r="F252" s="8" t="s">
        <v>70</v>
      </c>
      <c r="G252" s="8" t="s">
        <v>2533</v>
      </c>
      <c r="H252" s="8" t="s">
        <v>78</v>
      </c>
      <c r="I252" s="8" t="s">
        <v>208</v>
      </c>
      <c r="J252" s="8" t="n">
        <v>1</v>
      </c>
      <c r="K252" s="8" t="n">
        <v>4</v>
      </c>
      <c r="L252" s="18" t="n">
        <f aca="false">INDEX('All Items'!$Q:$Q,MATCH($A252,'All Items'!$A:$A,0))</f>
        <v>8.7</v>
      </c>
      <c r="M252" s="8" t="s">
        <v>2534</v>
      </c>
      <c r="N252" s="8" t="s">
        <v>2535</v>
      </c>
      <c r="O252" s="8" t="s">
        <v>2536</v>
      </c>
      <c r="P252" s="8" t="s">
        <v>2537</v>
      </c>
      <c r="Q252" s="8" t="s">
        <v>2538</v>
      </c>
      <c r="R252" s="8" t="s">
        <v>2539</v>
      </c>
      <c r="S252" s="19" t="s">
        <v>2540</v>
      </c>
      <c r="T252" s="8" t="s">
        <v>2541</v>
      </c>
      <c r="U252" s="8" t="s">
        <v>2539</v>
      </c>
      <c r="V252" s="8" t="n">
        <f aca="false">COUNTA(M252:R252)</f>
        <v>6</v>
      </c>
      <c r="W252" s="8" t="s">
        <v>218</v>
      </c>
      <c r="X252" s="8" t="s">
        <v>259</v>
      </c>
      <c r="Y252" s="8" t="s">
        <v>218</v>
      </c>
      <c r="Z252" s="8"/>
      <c r="AA252" s="8" t="s">
        <v>2542</v>
      </c>
      <c r="AB252" s="20" t="s">
        <v>2543</v>
      </c>
      <c r="AC252" s="20" t="s">
        <v>384</v>
      </c>
      <c r="AD252" s="20" t="s">
        <v>2544</v>
      </c>
      <c r="AE252" s="8" t="s">
        <v>223</v>
      </c>
      <c r="AF252" s="8" t="s">
        <v>224</v>
      </c>
    </row>
    <row r="253" customFormat="false" ht="15" hidden="false" customHeight="false" outlineLevel="0" collapsed="false">
      <c r="A253" s="8" t="s">
        <v>2545</v>
      </c>
      <c r="B253" s="8" t="s">
        <v>2546</v>
      </c>
      <c r="C253" s="8"/>
      <c r="D253" s="8" t="s">
        <v>2532</v>
      </c>
      <c r="E253" s="8"/>
      <c r="F253" s="8" t="s">
        <v>70</v>
      </c>
      <c r="G253" s="8" t="s">
        <v>2533</v>
      </c>
      <c r="H253" s="8" t="s">
        <v>78</v>
      </c>
      <c r="I253" s="8" t="s">
        <v>208</v>
      </c>
      <c r="J253" s="8" t="n">
        <v>1</v>
      </c>
      <c r="K253" s="8" t="n">
        <v>4</v>
      </c>
      <c r="L253" s="18" t="n">
        <f aca="false">INDEX('All Items'!$Q:$Q,MATCH($A253,'All Items'!$A:$A,0))</f>
        <v>8.7</v>
      </c>
      <c r="M253" s="8" t="s">
        <v>2317</v>
      </c>
      <c r="N253" s="8" t="s">
        <v>2547</v>
      </c>
      <c r="O253" s="8" t="s">
        <v>2548</v>
      </c>
      <c r="P253" s="8" t="s">
        <v>791</v>
      </c>
      <c r="Q253" s="8" t="s">
        <v>2549</v>
      </c>
      <c r="R253" s="8" t="s">
        <v>213</v>
      </c>
      <c r="S253" s="19" t="s">
        <v>2550</v>
      </c>
      <c r="T253" s="8" t="s">
        <v>2551</v>
      </c>
      <c r="U253" s="8" t="s">
        <v>213</v>
      </c>
      <c r="V253" s="8" t="n">
        <f aca="false">COUNTA(M253:R253)</f>
        <v>6</v>
      </c>
      <c r="W253" s="8" t="s">
        <v>218</v>
      </c>
      <c r="X253" s="8" t="s">
        <v>259</v>
      </c>
      <c r="Y253" s="8" t="s">
        <v>218</v>
      </c>
      <c r="Z253" s="8"/>
      <c r="AA253" s="8" t="s">
        <v>2552</v>
      </c>
      <c r="AB253" s="20" t="s">
        <v>2553</v>
      </c>
      <c r="AC253" s="20" t="s">
        <v>1174</v>
      </c>
      <c r="AD253" s="20" t="s">
        <v>2554</v>
      </c>
      <c r="AE253" s="8" t="s">
        <v>223</v>
      </c>
      <c r="AF253" s="8" t="s">
        <v>224</v>
      </c>
    </row>
    <row r="254" customFormat="false" ht="15" hidden="false" customHeight="false" outlineLevel="0" collapsed="false">
      <c r="A254" s="8" t="s">
        <v>2555</v>
      </c>
      <c r="B254" s="8" t="s">
        <v>2556</v>
      </c>
      <c r="C254" s="8"/>
      <c r="D254" s="8" t="s">
        <v>2532</v>
      </c>
      <c r="E254" s="8"/>
      <c r="F254" s="8" t="s">
        <v>70</v>
      </c>
      <c r="G254" s="8" t="s">
        <v>2533</v>
      </c>
      <c r="H254" s="8" t="s">
        <v>78</v>
      </c>
      <c r="I254" s="8" t="s">
        <v>208</v>
      </c>
      <c r="J254" s="8" t="n">
        <v>1</v>
      </c>
      <c r="K254" s="8" t="n">
        <v>3</v>
      </c>
      <c r="L254" s="18" t="n">
        <f aca="false">INDEX('All Items'!$Q:$Q,MATCH($A254,'All Items'!$A:$A,0))</f>
        <v>7.15</v>
      </c>
      <c r="M254" s="8" t="s">
        <v>2557</v>
      </c>
      <c r="N254" s="8" t="s">
        <v>2547</v>
      </c>
      <c r="O254" s="8" t="s">
        <v>2558</v>
      </c>
      <c r="P254" s="8" t="s">
        <v>2559</v>
      </c>
      <c r="Q254" s="8" t="s">
        <v>2560</v>
      </c>
      <c r="R254" s="8" t="s">
        <v>2561</v>
      </c>
      <c r="S254" s="19" t="s">
        <v>2562</v>
      </c>
      <c r="T254" s="8" t="s">
        <v>2563</v>
      </c>
      <c r="U254" s="8" t="s">
        <v>2561</v>
      </c>
      <c r="V254" s="8" t="n">
        <f aca="false">COUNTA(M254:R254)</f>
        <v>6</v>
      </c>
      <c r="W254" s="8" t="s">
        <v>218</v>
      </c>
      <c r="X254" s="8" t="s">
        <v>259</v>
      </c>
      <c r="Y254" s="8" t="s">
        <v>218</v>
      </c>
      <c r="Z254" s="8"/>
      <c r="AA254" s="8" t="s">
        <v>2564</v>
      </c>
      <c r="AB254" s="20" t="s">
        <v>2565</v>
      </c>
      <c r="AC254" s="20" t="s">
        <v>221</v>
      </c>
      <c r="AD254" s="20" t="s">
        <v>2566</v>
      </c>
      <c r="AE254" s="8" t="s">
        <v>223</v>
      </c>
      <c r="AF254" s="8" t="s">
        <v>224</v>
      </c>
    </row>
    <row r="255" customFormat="false" ht="15" hidden="false" customHeight="false" outlineLevel="0" collapsed="false">
      <c r="A255" s="8" t="s">
        <v>2567</v>
      </c>
      <c r="B255" s="8" t="s">
        <v>2568</v>
      </c>
      <c r="C255" s="8" t="s">
        <v>2569</v>
      </c>
      <c r="D255" s="8" t="s">
        <v>2532</v>
      </c>
      <c r="E255" s="8"/>
      <c r="F255" s="8" t="s">
        <v>70</v>
      </c>
      <c r="G255" s="8" t="s">
        <v>2533</v>
      </c>
      <c r="H255" s="8" t="s">
        <v>79</v>
      </c>
      <c r="I255" s="8" t="s">
        <v>208</v>
      </c>
      <c r="J255" s="8" t="n">
        <v>1</v>
      </c>
      <c r="K255" s="8" t="n">
        <v>4</v>
      </c>
      <c r="L255" s="18" t="n">
        <f aca="false">INDEX('All Items'!$Q:$Q,MATCH($A255,'All Items'!$A:$A,0))</f>
        <v>8.7</v>
      </c>
      <c r="M255" s="8" t="s">
        <v>2570</v>
      </c>
      <c r="N255" s="8" t="s">
        <v>1008</v>
      </c>
      <c r="O255" s="8" t="s">
        <v>2571</v>
      </c>
      <c r="P255" s="8" t="s">
        <v>618</v>
      </c>
      <c r="Q255" s="8" t="s">
        <v>2572</v>
      </c>
      <c r="R255" s="8" t="s">
        <v>2573</v>
      </c>
      <c r="S255" s="19" t="s">
        <v>2574</v>
      </c>
      <c r="T255" s="8" t="s">
        <v>2575</v>
      </c>
      <c r="U255" s="8"/>
      <c r="V255" s="8" t="n">
        <f aca="false">COUNTA(M255:R255)</f>
        <v>6</v>
      </c>
      <c r="W255" s="8" t="s">
        <v>218</v>
      </c>
      <c r="X255" s="8" t="s">
        <v>259</v>
      </c>
      <c r="Y255" s="8" t="s">
        <v>218</v>
      </c>
      <c r="Z255" s="8"/>
      <c r="AA255" s="8" t="s">
        <v>2576</v>
      </c>
      <c r="AB255" s="20" t="s">
        <v>2577</v>
      </c>
      <c r="AC255" s="20" t="s">
        <v>221</v>
      </c>
      <c r="AD255" s="20" t="s">
        <v>2578</v>
      </c>
      <c r="AE255" s="8" t="s">
        <v>223</v>
      </c>
      <c r="AF255" s="8" t="s">
        <v>224</v>
      </c>
    </row>
    <row r="256" customFormat="false" ht="15" hidden="false" customHeight="false" outlineLevel="0" collapsed="false">
      <c r="A256" s="8" t="s">
        <v>2579</v>
      </c>
      <c r="B256" s="8" t="s">
        <v>2580</v>
      </c>
      <c r="C256" s="8" t="s">
        <v>2581</v>
      </c>
      <c r="D256" s="8" t="s">
        <v>2532</v>
      </c>
      <c r="E256" s="8"/>
      <c r="F256" s="8" t="s">
        <v>70</v>
      </c>
      <c r="G256" s="8" t="s">
        <v>2533</v>
      </c>
      <c r="H256" s="8" t="s">
        <v>79</v>
      </c>
      <c r="I256" s="8" t="s">
        <v>208</v>
      </c>
      <c r="J256" s="8" t="n">
        <v>1</v>
      </c>
      <c r="K256" s="8" t="n">
        <v>3</v>
      </c>
      <c r="L256" s="18" t="n">
        <f aca="false">INDEX('All Items'!$Q:$Q,MATCH($A256,'All Items'!$A:$A,0))</f>
        <v>7.4</v>
      </c>
      <c r="M256" s="8" t="s">
        <v>2582</v>
      </c>
      <c r="N256" s="8" t="s">
        <v>2583</v>
      </c>
      <c r="O256" s="8" t="s">
        <v>2584</v>
      </c>
      <c r="P256" s="8" t="s">
        <v>618</v>
      </c>
      <c r="Q256" s="8" t="s">
        <v>2585</v>
      </c>
      <c r="R256" s="8"/>
      <c r="S256" s="19" t="s">
        <v>2586</v>
      </c>
      <c r="T256" s="8" t="s">
        <v>2587</v>
      </c>
      <c r="U256" s="8"/>
      <c r="V256" s="8" t="n">
        <f aca="false">COUNTA(M256:R256)</f>
        <v>5</v>
      </c>
      <c r="W256" s="8" t="s">
        <v>218</v>
      </c>
      <c r="X256" s="8" t="s">
        <v>259</v>
      </c>
      <c r="Y256" s="8" t="s">
        <v>218</v>
      </c>
      <c r="Z256" s="8"/>
      <c r="AA256" s="8" t="s">
        <v>2588</v>
      </c>
      <c r="AB256" s="20" t="s">
        <v>2589</v>
      </c>
      <c r="AC256" s="20" t="s">
        <v>221</v>
      </c>
      <c r="AD256" s="20" t="s">
        <v>2590</v>
      </c>
      <c r="AE256" s="8" t="s">
        <v>223</v>
      </c>
      <c r="AF256" s="8" t="s">
        <v>224</v>
      </c>
    </row>
    <row r="257" customFormat="false" ht="15" hidden="false" customHeight="false" outlineLevel="0" collapsed="false">
      <c r="A257" s="8" t="s">
        <v>2591</v>
      </c>
      <c r="B257" s="8" t="s">
        <v>2592</v>
      </c>
      <c r="C257" s="8"/>
      <c r="D257" s="8" t="s">
        <v>2532</v>
      </c>
      <c r="E257" s="8"/>
      <c r="F257" s="8" t="s">
        <v>70</v>
      </c>
      <c r="G257" s="8" t="s">
        <v>2533</v>
      </c>
      <c r="H257" s="8" t="s">
        <v>79</v>
      </c>
      <c r="I257" s="8" t="s">
        <v>208</v>
      </c>
      <c r="J257" s="8" t="n">
        <v>1</v>
      </c>
      <c r="K257" s="8" t="n">
        <v>3</v>
      </c>
      <c r="L257" s="18" t="n">
        <f aca="false">INDEX('All Items'!$Q:$Q,MATCH($A257,'All Items'!$A:$A,0))</f>
        <v>7.4</v>
      </c>
      <c r="M257" s="8" t="s">
        <v>2593</v>
      </c>
      <c r="N257" s="8" t="s">
        <v>2585</v>
      </c>
      <c r="O257" s="8" t="s">
        <v>2594</v>
      </c>
      <c r="P257" s="8" t="s">
        <v>2595</v>
      </c>
      <c r="Q257" s="8" t="s">
        <v>2596</v>
      </c>
      <c r="R257" s="8" t="s">
        <v>2597</v>
      </c>
      <c r="S257" s="19" t="s">
        <v>2598</v>
      </c>
      <c r="T257" s="8" t="s">
        <v>2599</v>
      </c>
      <c r="U257" s="8"/>
      <c r="V257" s="8" t="n">
        <f aca="false">COUNTA(M257:R257)</f>
        <v>6</v>
      </c>
      <c r="W257" s="8" t="s">
        <v>218</v>
      </c>
      <c r="X257" s="8" t="s">
        <v>259</v>
      </c>
      <c r="Y257" s="8" t="s">
        <v>218</v>
      </c>
      <c r="Z257" s="8"/>
      <c r="AA257" s="8" t="s">
        <v>2600</v>
      </c>
      <c r="AB257" s="20"/>
      <c r="AC257" s="20"/>
      <c r="AD257" s="20"/>
      <c r="AE257" s="8" t="s">
        <v>237</v>
      </c>
      <c r="AF257" s="8" t="s">
        <v>224</v>
      </c>
    </row>
    <row r="258" customFormat="false" ht="15" hidden="false" customHeight="false" outlineLevel="0" collapsed="false">
      <c r="A258" s="8" t="s">
        <v>2601</v>
      </c>
      <c r="B258" s="8" t="s">
        <v>2602</v>
      </c>
      <c r="C258" s="8"/>
      <c r="D258" s="8" t="s">
        <v>2532</v>
      </c>
      <c r="E258" s="8"/>
      <c r="F258" s="8" t="s">
        <v>70</v>
      </c>
      <c r="G258" s="8" t="s">
        <v>2533</v>
      </c>
      <c r="H258" s="8" t="s">
        <v>78</v>
      </c>
      <c r="I258" s="8" t="s">
        <v>208</v>
      </c>
      <c r="J258" s="8" t="n">
        <v>1</v>
      </c>
      <c r="K258" s="8" t="n">
        <v>3</v>
      </c>
      <c r="L258" s="18" t="n">
        <f aca="false">INDEX('All Items'!$Q:$Q,MATCH($A258,'All Items'!$A:$A,0))</f>
        <v>7.4</v>
      </c>
      <c r="M258" s="8" t="s">
        <v>2603</v>
      </c>
      <c r="N258" s="8" t="s">
        <v>2534</v>
      </c>
      <c r="O258" s="8" t="s">
        <v>2604</v>
      </c>
      <c r="P258" s="8" t="s">
        <v>1008</v>
      </c>
      <c r="Q258" s="8" t="s">
        <v>2605</v>
      </c>
      <c r="R258" s="8" t="s">
        <v>2606</v>
      </c>
      <c r="S258" s="19" t="s">
        <v>2607</v>
      </c>
      <c r="T258" s="8" t="s">
        <v>2608</v>
      </c>
      <c r="U258" s="8"/>
      <c r="V258" s="8" t="n">
        <f aca="false">COUNTA(M258:R258)</f>
        <v>6</v>
      </c>
      <c r="W258" s="8" t="s">
        <v>218</v>
      </c>
      <c r="X258" s="8" t="s">
        <v>259</v>
      </c>
      <c r="Y258" s="8" t="s">
        <v>218</v>
      </c>
      <c r="Z258" s="8"/>
      <c r="AA258" s="8" t="s">
        <v>2609</v>
      </c>
      <c r="AB258" s="20"/>
      <c r="AC258" s="20"/>
      <c r="AD258" s="20"/>
      <c r="AE258" s="8" t="s">
        <v>237</v>
      </c>
      <c r="AF258" s="8" t="s">
        <v>224</v>
      </c>
    </row>
    <row r="259" customFormat="false" ht="15" hidden="false" customHeight="false" outlineLevel="0" collapsed="false">
      <c r="A259" s="8" t="s">
        <v>2610</v>
      </c>
      <c r="B259" s="8" t="s">
        <v>2611</v>
      </c>
      <c r="C259" s="8"/>
      <c r="D259" s="8" t="s">
        <v>2532</v>
      </c>
      <c r="E259" s="8"/>
      <c r="F259" s="8" t="s">
        <v>70</v>
      </c>
      <c r="G259" s="8" t="s">
        <v>2533</v>
      </c>
      <c r="H259" s="8" t="s">
        <v>78</v>
      </c>
      <c r="I259" s="8" t="s">
        <v>208</v>
      </c>
      <c r="J259" s="8" t="n">
        <v>1</v>
      </c>
      <c r="K259" s="8" t="n">
        <v>4</v>
      </c>
      <c r="L259" s="18" t="n">
        <f aca="false">INDEX('All Items'!$Q:$Q,MATCH($A259,'All Items'!$A:$A,0))</f>
        <v>8.7</v>
      </c>
      <c r="M259" s="8" t="s">
        <v>2612</v>
      </c>
      <c r="N259" s="8" t="s">
        <v>2426</v>
      </c>
      <c r="O259" s="8" t="s">
        <v>356</v>
      </c>
      <c r="P259" s="8" t="s">
        <v>2613</v>
      </c>
      <c r="Q259" s="8" t="s">
        <v>2614</v>
      </c>
      <c r="R259" s="8" t="s">
        <v>2615</v>
      </c>
      <c r="S259" s="19" t="s">
        <v>2616</v>
      </c>
      <c r="T259" s="8" t="s">
        <v>2617</v>
      </c>
      <c r="U259" s="8" t="s">
        <v>2615</v>
      </c>
      <c r="V259" s="8" t="n">
        <f aca="false">COUNTA(M259:R259)</f>
        <v>6</v>
      </c>
      <c r="W259" s="8" t="s">
        <v>218</v>
      </c>
      <c r="X259" s="8" t="s">
        <v>259</v>
      </c>
      <c r="Y259" s="8" t="s">
        <v>218</v>
      </c>
      <c r="Z259" s="8"/>
      <c r="AA259" s="8" t="s">
        <v>2618</v>
      </c>
      <c r="AB259" s="20" t="s">
        <v>2619</v>
      </c>
      <c r="AC259" s="20" t="s">
        <v>1174</v>
      </c>
      <c r="AD259" s="20" t="s">
        <v>2620</v>
      </c>
      <c r="AE259" s="8" t="s">
        <v>223</v>
      </c>
      <c r="AF259" s="8" t="s">
        <v>224</v>
      </c>
    </row>
    <row r="260" customFormat="false" ht="15" hidden="false" customHeight="false" outlineLevel="0" collapsed="false">
      <c r="A260" s="8" t="s">
        <v>2621</v>
      </c>
      <c r="B260" s="8" t="s">
        <v>2622</v>
      </c>
      <c r="C260" s="8"/>
      <c r="D260" s="8" t="s">
        <v>2532</v>
      </c>
      <c r="E260" s="8"/>
      <c r="F260" s="8" t="s">
        <v>70</v>
      </c>
      <c r="G260" s="8" t="s">
        <v>2533</v>
      </c>
      <c r="H260" s="8" t="s">
        <v>78</v>
      </c>
      <c r="I260" s="8" t="s">
        <v>208</v>
      </c>
      <c r="J260" s="8" t="n">
        <v>1</v>
      </c>
      <c r="K260" s="8" t="n">
        <v>5</v>
      </c>
      <c r="L260" s="18" t="n">
        <f aca="false">INDEX('All Items'!$Q:$Q,MATCH($A260,'All Items'!$A:$A,0))</f>
        <v>10</v>
      </c>
      <c r="M260" s="8" t="s">
        <v>2317</v>
      </c>
      <c r="N260" s="8" t="s">
        <v>1371</v>
      </c>
      <c r="O260" s="8" t="s">
        <v>2623</v>
      </c>
      <c r="P260" s="8" t="s">
        <v>213</v>
      </c>
      <c r="Q260" s="8" t="s">
        <v>2624</v>
      </c>
      <c r="R260" s="8" t="s">
        <v>2625</v>
      </c>
      <c r="S260" s="19" t="s">
        <v>2626</v>
      </c>
      <c r="T260" s="8" t="s">
        <v>2627</v>
      </c>
      <c r="U260" s="8"/>
      <c r="V260" s="8" t="n">
        <f aca="false">COUNTA(M260:R260)</f>
        <v>6</v>
      </c>
      <c r="W260" s="8" t="s">
        <v>218</v>
      </c>
      <c r="X260" s="8" t="s">
        <v>259</v>
      </c>
      <c r="Y260" s="8" t="s">
        <v>218</v>
      </c>
      <c r="Z260" s="8"/>
      <c r="AA260" s="8" t="s">
        <v>2628</v>
      </c>
      <c r="AB260" s="20" t="s">
        <v>2629</v>
      </c>
      <c r="AC260" s="20" t="s">
        <v>221</v>
      </c>
      <c r="AD260" s="20" t="s">
        <v>2578</v>
      </c>
      <c r="AE260" s="8" t="s">
        <v>223</v>
      </c>
      <c r="AF260" s="8" t="s">
        <v>224</v>
      </c>
    </row>
    <row r="261" customFormat="false" ht="15" hidden="false" customHeight="false" outlineLevel="0" collapsed="false">
      <c r="A261" s="8" t="s">
        <v>2630</v>
      </c>
      <c r="B261" s="8" t="s">
        <v>2631</v>
      </c>
      <c r="C261" s="8"/>
      <c r="D261" s="8" t="s">
        <v>2532</v>
      </c>
      <c r="E261" s="8"/>
      <c r="F261" s="8" t="s">
        <v>70</v>
      </c>
      <c r="G261" s="8" t="s">
        <v>2533</v>
      </c>
      <c r="H261" s="8" t="s">
        <v>85</v>
      </c>
      <c r="I261" s="8" t="s">
        <v>208</v>
      </c>
      <c r="J261" s="8" t="n">
        <v>1</v>
      </c>
      <c r="K261" s="8" t="n">
        <v>4</v>
      </c>
      <c r="L261" s="18" t="n">
        <f aca="false">INDEX('All Items'!$Q:$Q,MATCH($A261,'All Items'!$A:$A,0))</f>
        <v>8.7</v>
      </c>
      <c r="M261" s="8" t="s">
        <v>1934</v>
      </c>
      <c r="N261" s="8" t="s">
        <v>2632</v>
      </c>
      <c r="O261" s="8" t="s">
        <v>2585</v>
      </c>
      <c r="P261" s="8" t="s">
        <v>2633</v>
      </c>
      <c r="Q261" s="8" t="s">
        <v>2634</v>
      </c>
      <c r="R261" s="8" t="s">
        <v>275</v>
      </c>
      <c r="S261" s="19" t="s">
        <v>2635</v>
      </c>
      <c r="T261" s="8" t="s">
        <v>2636</v>
      </c>
      <c r="U261" s="8" t="s">
        <v>2637</v>
      </c>
      <c r="V261" s="8" t="n">
        <f aca="false">COUNTA(M261:R261)</f>
        <v>6</v>
      </c>
      <c r="W261" s="8" t="s">
        <v>218</v>
      </c>
      <c r="X261" s="8" t="s">
        <v>259</v>
      </c>
      <c r="Y261" s="8" t="s">
        <v>218</v>
      </c>
      <c r="Z261" s="8"/>
      <c r="AA261" s="8" t="s">
        <v>2638</v>
      </c>
      <c r="AB261" s="20"/>
      <c r="AC261" s="20"/>
      <c r="AD261" s="20"/>
      <c r="AE261" s="8" t="s">
        <v>237</v>
      </c>
      <c r="AF261" s="8" t="s">
        <v>224</v>
      </c>
    </row>
    <row r="262" customFormat="false" ht="15" hidden="false" customHeight="false" outlineLevel="0" collapsed="false">
      <c r="A262" s="8" t="s">
        <v>2639</v>
      </c>
      <c r="B262" s="8" t="s">
        <v>2640</v>
      </c>
      <c r="C262" s="8"/>
      <c r="D262" s="8" t="s">
        <v>2532</v>
      </c>
      <c r="E262" s="8"/>
      <c r="F262" s="8" t="s">
        <v>70</v>
      </c>
      <c r="G262" s="8" t="s">
        <v>2533</v>
      </c>
      <c r="H262" s="8" t="s">
        <v>78</v>
      </c>
      <c r="I262" s="8" t="s">
        <v>208</v>
      </c>
      <c r="J262" s="8" t="n">
        <v>1</v>
      </c>
      <c r="K262" s="8" t="n">
        <v>4</v>
      </c>
      <c r="L262" s="18" t="n">
        <f aca="false">INDEX('All Items'!$Q:$Q,MATCH($A262,'All Items'!$A:$A,0))</f>
        <v>8.7</v>
      </c>
      <c r="M262" s="8" t="s">
        <v>2593</v>
      </c>
      <c r="N262" s="8" t="s">
        <v>2641</v>
      </c>
      <c r="O262" s="8" t="s">
        <v>2547</v>
      </c>
      <c r="P262" s="8" t="s">
        <v>2642</v>
      </c>
      <c r="Q262" s="8" t="s">
        <v>2643</v>
      </c>
      <c r="R262" s="8" t="s">
        <v>2644</v>
      </c>
      <c r="S262" s="19" t="s">
        <v>2645</v>
      </c>
      <c r="T262" s="8" t="s">
        <v>2646</v>
      </c>
      <c r="U262" s="8"/>
      <c r="V262" s="8" t="n">
        <f aca="false">COUNTA(M262:R262)</f>
        <v>6</v>
      </c>
      <c r="W262" s="8" t="s">
        <v>218</v>
      </c>
      <c r="X262" s="8" t="s">
        <v>259</v>
      </c>
      <c r="Y262" s="8" t="s">
        <v>218</v>
      </c>
      <c r="Z262" s="8"/>
      <c r="AA262" s="8" t="s">
        <v>2647</v>
      </c>
      <c r="AB262" s="20"/>
      <c r="AC262" s="20"/>
      <c r="AD262" s="20"/>
      <c r="AE262" s="8" t="s">
        <v>237</v>
      </c>
      <c r="AF262" s="8" t="s">
        <v>224</v>
      </c>
    </row>
    <row r="263" customFormat="false" ht="15" hidden="false" customHeight="false" outlineLevel="0" collapsed="false">
      <c r="A263" s="8" t="s">
        <v>2648</v>
      </c>
      <c r="B263" s="8" t="s">
        <v>2649</v>
      </c>
      <c r="C263" s="8"/>
      <c r="D263" s="8" t="s">
        <v>2532</v>
      </c>
      <c r="E263" s="8"/>
      <c r="F263" s="8" t="s">
        <v>70</v>
      </c>
      <c r="G263" s="8" t="s">
        <v>2533</v>
      </c>
      <c r="H263" s="8" t="s">
        <v>78</v>
      </c>
      <c r="I263" s="8" t="s">
        <v>208</v>
      </c>
      <c r="J263" s="8" t="n">
        <v>2</v>
      </c>
      <c r="K263" s="8" t="n">
        <v>3</v>
      </c>
      <c r="L263" s="18" t="n">
        <f aca="false">INDEX('All Items'!$Q:$Q,MATCH($A263,'All Items'!$A:$A,0))</f>
        <v>7.4</v>
      </c>
      <c r="M263" s="8" t="s">
        <v>2650</v>
      </c>
      <c r="N263" s="8" t="s">
        <v>2651</v>
      </c>
      <c r="O263" s="8" t="s">
        <v>2652</v>
      </c>
      <c r="P263" s="8" t="s">
        <v>2557</v>
      </c>
      <c r="Q263" s="8" t="s">
        <v>2653</v>
      </c>
      <c r="R263" s="8" t="s">
        <v>1792</v>
      </c>
      <c r="S263" s="19" t="s">
        <v>2654</v>
      </c>
      <c r="T263" s="8" t="s">
        <v>2655</v>
      </c>
      <c r="U263" s="8" t="s">
        <v>2656</v>
      </c>
      <c r="V263" s="8" t="n">
        <f aca="false">COUNTA(M263:R263)</f>
        <v>6</v>
      </c>
      <c r="W263" s="8" t="s">
        <v>218</v>
      </c>
      <c r="X263" s="8" t="s">
        <v>259</v>
      </c>
      <c r="Y263" s="8" t="s">
        <v>218</v>
      </c>
      <c r="Z263" s="8"/>
      <c r="AA263" s="8" t="s">
        <v>2657</v>
      </c>
      <c r="AB263" s="20" t="s">
        <v>2658</v>
      </c>
      <c r="AC263" s="20" t="s">
        <v>1174</v>
      </c>
      <c r="AD263" s="20" t="s">
        <v>2554</v>
      </c>
      <c r="AE263" s="8" t="s">
        <v>223</v>
      </c>
      <c r="AF263" s="8" t="s">
        <v>224</v>
      </c>
    </row>
    <row r="264" customFormat="false" ht="15" hidden="false" customHeight="false" outlineLevel="0" collapsed="false">
      <c r="A264" s="8" t="s">
        <v>2659</v>
      </c>
      <c r="B264" s="8" t="s">
        <v>2660</v>
      </c>
      <c r="C264" s="8"/>
      <c r="D264" s="8" t="s">
        <v>2532</v>
      </c>
      <c r="E264" s="8"/>
      <c r="F264" s="8" t="s">
        <v>70</v>
      </c>
      <c r="G264" s="8" t="s">
        <v>2533</v>
      </c>
      <c r="H264" s="8" t="s">
        <v>78</v>
      </c>
      <c r="I264" s="8" t="s">
        <v>208</v>
      </c>
      <c r="J264" s="8" t="n">
        <v>2</v>
      </c>
      <c r="K264" s="8" t="n">
        <v>3</v>
      </c>
      <c r="L264" s="18" t="n">
        <f aca="false">INDEX('All Items'!$Q:$Q,MATCH($A264,'All Items'!$A:$A,0))</f>
        <v>7.4</v>
      </c>
      <c r="M264" s="8" t="s">
        <v>2557</v>
      </c>
      <c r="N264" s="8" t="s">
        <v>2661</v>
      </c>
      <c r="O264" s="8" t="s">
        <v>2662</v>
      </c>
      <c r="P264" s="8" t="s">
        <v>2663</v>
      </c>
      <c r="Q264" s="8" t="s">
        <v>2664</v>
      </c>
      <c r="R264" s="8" t="s">
        <v>2538</v>
      </c>
      <c r="S264" s="19" t="s">
        <v>2665</v>
      </c>
      <c r="T264" s="8" t="s">
        <v>2666</v>
      </c>
      <c r="U264" s="8"/>
      <c r="V264" s="8" t="n">
        <f aca="false">COUNTA(M264:R264)</f>
        <v>6</v>
      </c>
      <c r="W264" s="8" t="s">
        <v>218</v>
      </c>
      <c r="X264" s="8" t="s">
        <v>259</v>
      </c>
      <c r="Y264" s="8" t="s">
        <v>218</v>
      </c>
      <c r="Z264" s="8"/>
      <c r="AA264" s="8" t="s">
        <v>2667</v>
      </c>
      <c r="AB264" s="20" t="s">
        <v>2668</v>
      </c>
      <c r="AC264" s="20" t="s">
        <v>1174</v>
      </c>
      <c r="AD264" s="20" t="s">
        <v>2669</v>
      </c>
      <c r="AE264" s="8" t="s">
        <v>223</v>
      </c>
      <c r="AF264" s="8" t="s">
        <v>224</v>
      </c>
    </row>
    <row r="265" customFormat="false" ht="15" hidden="false" customHeight="false" outlineLevel="0" collapsed="false">
      <c r="A265" s="8" t="s">
        <v>2670</v>
      </c>
      <c r="B265" s="8" t="s">
        <v>2671</v>
      </c>
      <c r="C265" s="8"/>
      <c r="D265" s="8" t="s">
        <v>2532</v>
      </c>
      <c r="E265" s="8"/>
      <c r="F265" s="8" t="s">
        <v>70</v>
      </c>
      <c r="G265" s="8" t="s">
        <v>2533</v>
      </c>
      <c r="H265" s="8" t="s">
        <v>78</v>
      </c>
      <c r="I265" s="8" t="s">
        <v>208</v>
      </c>
      <c r="J265" s="8" t="n">
        <v>2</v>
      </c>
      <c r="K265" s="8" t="n">
        <v>3</v>
      </c>
      <c r="L265" s="18" t="n">
        <f aca="false">INDEX('All Items'!$Q:$Q,MATCH($A265,'All Items'!$A:$A,0))</f>
        <v>7.4</v>
      </c>
      <c r="M265" s="8" t="s">
        <v>2672</v>
      </c>
      <c r="N265" s="8" t="s">
        <v>2652</v>
      </c>
      <c r="O265" s="8" t="s">
        <v>2673</v>
      </c>
      <c r="P265" s="8" t="s">
        <v>2674</v>
      </c>
      <c r="Q265" s="8" t="s">
        <v>1307</v>
      </c>
      <c r="R265" s="8" t="s">
        <v>2675</v>
      </c>
      <c r="S265" s="19" t="s">
        <v>2676</v>
      </c>
      <c r="T265" s="8" t="s">
        <v>2677</v>
      </c>
      <c r="U265" s="8" t="s">
        <v>2678</v>
      </c>
      <c r="V265" s="8" t="n">
        <f aca="false">COUNTA(M265:R265)</f>
        <v>6</v>
      </c>
      <c r="W265" s="8" t="s">
        <v>218</v>
      </c>
      <c r="X265" s="8" t="s">
        <v>259</v>
      </c>
      <c r="Y265" s="8" t="s">
        <v>218</v>
      </c>
      <c r="Z265" s="8"/>
      <c r="AA265" s="8" t="s">
        <v>2679</v>
      </c>
      <c r="AB265" s="20"/>
      <c r="AC265" s="20"/>
      <c r="AD265" s="20"/>
      <c r="AE265" s="8" t="s">
        <v>237</v>
      </c>
      <c r="AF265" s="8" t="s">
        <v>224</v>
      </c>
    </row>
    <row r="266" customFormat="false" ht="15" hidden="false" customHeight="false" outlineLevel="0" collapsed="false">
      <c r="A266" s="8" t="s">
        <v>2680</v>
      </c>
      <c r="B266" s="8" t="s">
        <v>2681</v>
      </c>
      <c r="C266" s="8"/>
      <c r="D266" s="8" t="s">
        <v>2532</v>
      </c>
      <c r="E266" s="8"/>
      <c r="F266" s="8" t="s">
        <v>70</v>
      </c>
      <c r="G266" s="8" t="s">
        <v>2533</v>
      </c>
      <c r="H266" s="8" t="s">
        <v>78</v>
      </c>
      <c r="I266" s="8" t="s">
        <v>208</v>
      </c>
      <c r="J266" s="8" t="n">
        <v>2</v>
      </c>
      <c r="K266" s="8" t="n">
        <v>3</v>
      </c>
      <c r="L266" s="18" t="n">
        <f aca="false">INDEX('All Items'!$Q:$Q,MATCH($A266,'All Items'!$A:$A,0))</f>
        <v>7.15</v>
      </c>
      <c r="M266" s="8" t="s">
        <v>2682</v>
      </c>
      <c r="N266" s="8" t="s">
        <v>2558</v>
      </c>
      <c r="O266" s="8" t="s">
        <v>2683</v>
      </c>
      <c r="P266" s="8" t="s">
        <v>2684</v>
      </c>
      <c r="Q266" s="8" t="s">
        <v>2685</v>
      </c>
      <c r="R266" s="8" t="s">
        <v>2686</v>
      </c>
      <c r="S266" s="19" t="s">
        <v>2687</v>
      </c>
      <c r="T266" s="8" t="s">
        <v>2688</v>
      </c>
      <c r="U266" s="8" t="s">
        <v>2686</v>
      </c>
      <c r="V266" s="8" t="n">
        <f aca="false">COUNTA(M266:R266)</f>
        <v>6</v>
      </c>
      <c r="W266" s="8" t="s">
        <v>218</v>
      </c>
      <c r="X266" s="8" t="s">
        <v>259</v>
      </c>
      <c r="Y266" s="8" t="s">
        <v>218</v>
      </c>
      <c r="Z266" s="8"/>
      <c r="AA266" s="8" t="s">
        <v>2689</v>
      </c>
      <c r="AB266" s="20"/>
      <c r="AC266" s="20"/>
      <c r="AD266" s="20"/>
      <c r="AE266" s="8" t="s">
        <v>237</v>
      </c>
      <c r="AF266" s="8" t="s">
        <v>224</v>
      </c>
    </row>
    <row r="267" customFormat="false" ht="15" hidden="false" customHeight="false" outlineLevel="0" collapsed="false">
      <c r="A267" s="8" t="s">
        <v>2690</v>
      </c>
      <c r="B267" s="8" t="s">
        <v>2691</v>
      </c>
      <c r="C267" s="8" t="s">
        <v>2692</v>
      </c>
      <c r="D267" s="8" t="s">
        <v>2532</v>
      </c>
      <c r="E267" s="8"/>
      <c r="F267" s="8" t="s">
        <v>70</v>
      </c>
      <c r="G267" s="8" t="s">
        <v>2533</v>
      </c>
      <c r="H267" s="8" t="s">
        <v>78</v>
      </c>
      <c r="I267" s="8" t="s">
        <v>273</v>
      </c>
      <c r="J267" s="8" t="n">
        <v>2</v>
      </c>
      <c r="K267" s="8" t="n">
        <v>3</v>
      </c>
      <c r="L267" s="18" t="n">
        <f aca="false">INDEX('All Items'!$Q:$Q,MATCH($A267,'All Items'!$A:$A,0))</f>
        <v>6.9</v>
      </c>
      <c r="M267" s="8" t="s">
        <v>1004</v>
      </c>
      <c r="N267" s="8" t="s">
        <v>2558</v>
      </c>
      <c r="O267" s="8" t="s">
        <v>2685</v>
      </c>
      <c r="P267" s="8" t="s">
        <v>2693</v>
      </c>
      <c r="Q267" s="8" t="s">
        <v>574</v>
      </c>
      <c r="R267" s="8"/>
      <c r="S267" s="19" t="s">
        <v>2694</v>
      </c>
      <c r="T267" s="8" t="s">
        <v>2695</v>
      </c>
      <c r="U267" s="8" t="s">
        <v>574</v>
      </c>
      <c r="V267" s="8" t="n">
        <f aca="false">COUNTA(M267:R267)</f>
        <v>5</v>
      </c>
      <c r="W267" s="8" t="s">
        <v>218</v>
      </c>
      <c r="X267" s="8" t="s">
        <v>259</v>
      </c>
      <c r="Y267" s="8" t="s">
        <v>218</v>
      </c>
      <c r="Z267" s="8"/>
      <c r="AA267" s="8" t="s">
        <v>2696</v>
      </c>
      <c r="AB267" s="20"/>
      <c r="AC267" s="20"/>
      <c r="AD267" s="20"/>
      <c r="AE267" s="8" t="s">
        <v>237</v>
      </c>
      <c r="AF267" s="8" t="s">
        <v>224</v>
      </c>
    </row>
    <row r="268" customFormat="false" ht="15" hidden="false" customHeight="false" outlineLevel="0" collapsed="false">
      <c r="A268" s="8" t="s">
        <v>2697</v>
      </c>
      <c r="B268" s="8" t="s">
        <v>2698</v>
      </c>
      <c r="C268" s="8"/>
      <c r="D268" s="8" t="s">
        <v>2532</v>
      </c>
      <c r="E268" s="8"/>
      <c r="F268" s="8" t="s">
        <v>70</v>
      </c>
      <c r="G268" s="8" t="s">
        <v>2533</v>
      </c>
      <c r="H268" s="8" t="s">
        <v>78</v>
      </c>
      <c r="I268" s="8" t="s">
        <v>208</v>
      </c>
      <c r="J268" s="8" t="n">
        <v>2</v>
      </c>
      <c r="K268" s="8" t="n">
        <v>3</v>
      </c>
      <c r="L268" s="18" t="n">
        <f aca="false">INDEX('All Items'!$Q:$Q,MATCH($A268,'All Items'!$A:$A,0))</f>
        <v>7.15</v>
      </c>
      <c r="M268" s="8" t="s">
        <v>2699</v>
      </c>
      <c r="N268" s="8" t="s">
        <v>2700</v>
      </c>
      <c r="O268" s="8" t="s">
        <v>2701</v>
      </c>
      <c r="P268" s="8" t="s">
        <v>2702</v>
      </c>
      <c r="Q268" s="8" t="s">
        <v>2703</v>
      </c>
      <c r="R268" s="8" t="s">
        <v>2686</v>
      </c>
      <c r="S268" s="19" t="s">
        <v>2704</v>
      </c>
      <c r="T268" s="8" t="s">
        <v>2705</v>
      </c>
      <c r="U268" s="8" t="s">
        <v>2686</v>
      </c>
      <c r="V268" s="8" t="n">
        <f aca="false">COUNTA(M268:R268)</f>
        <v>6</v>
      </c>
      <c r="W268" s="8" t="s">
        <v>218</v>
      </c>
      <c r="X268" s="8" t="s">
        <v>259</v>
      </c>
      <c r="Y268" s="8" t="s">
        <v>218</v>
      </c>
      <c r="Z268" s="8"/>
      <c r="AA268" s="8" t="s">
        <v>2706</v>
      </c>
      <c r="AB268" s="20"/>
      <c r="AC268" s="20"/>
      <c r="AD268" s="20"/>
      <c r="AE268" s="8" t="s">
        <v>237</v>
      </c>
      <c r="AF268" s="8" t="s">
        <v>224</v>
      </c>
    </row>
    <row r="269" customFormat="false" ht="15" hidden="false" customHeight="false" outlineLevel="0" collapsed="false">
      <c r="A269" s="8" t="s">
        <v>2707</v>
      </c>
      <c r="B269" s="8" t="s">
        <v>2708</v>
      </c>
      <c r="C269" s="8"/>
      <c r="D269" s="8" t="s">
        <v>2532</v>
      </c>
      <c r="E269" s="8"/>
      <c r="F269" s="8" t="s">
        <v>70</v>
      </c>
      <c r="G269" s="8" t="s">
        <v>2533</v>
      </c>
      <c r="H269" s="8" t="s">
        <v>79</v>
      </c>
      <c r="I269" s="8" t="s">
        <v>208</v>
      </c>
      <c r="J269" s="8" t="n">
        <v>1</v>
      </c>
      <c r="K269" s="8" t="n">
        <v>4</v>
      </c>
      <c r="L269" s="18" t="n">
        <f aca="false">INDEX('All Items'!$Q:$Q,MATCH($A269,'All Items'!$A:$A,0))</f>
        <v>8.7</v>
      </c>
      <c r="M269" s="8" t="s">
        <v>2317</v>
      </c>
      <c r="N269" s="8" t="s">
        <v>1371</v>
      </c>
      <c r="O269" s="8" t="s">
        <v>1379</v>
      </c>
      <c r="P269" s="8" t="s">
        <v>1008</v>
      </c>
      <c r="Q269" s="8" t="s">
        <v>1782</v>
      </c>
      <c r="R269" s="8" t="s">
        <v>2709</v>
      </c>
      <c r="S269" s="19" t="s">
        <v>2710</v>
      </c>
      <c r="T269" s="8" t="s">
        <v>2711</v>
      </c>
      <c r="U269" s="8"/>
      <c r="V269" s="8" t="n">
        <f aca="false">COUNTA(M269:R269)</f>
        <v>6</v>
      </c>
      <c r="W269" s="8" t="s">
        <v>218</v>
      </c>
      <c r="X269" s="8" t="s">
        <v>259</v>
      </c>
      <c r="Y269" s="8" t="s">
        <v>218</v>
      </c>
      <c r="Z269" s="8"/>
      <c r="AA269" s="8" t="s">
        <v>2712</v>
      </c>
      <c r="AB269" s="20"/>
      <c r="AC269" s="20"/>
      <c r="AD269" s="20"/>
      <c r="AE269" s="8" t="s">
        <v>237</v>
      </c>
      <c r="AF269" s="8" t="s">
        <v>224</v>
      </c>
    </row>
    <row r="270" customFormat="false" ht="15" hidden="false" customHeight="false" outlineLevel="0" collapsed="false">
      <c r="A270" s="8" t="s">
        <v>2713</v>
      </c>
      <c r="B270" s="8" t="s">
        <v>2714</v>
      </c>
      <c r="C270" s="8"/>
      <c r="D270" s="8" t="s">
        <v>2532</v>
      </c>
      <c r="E270" s="8"/>
      <c r="F270" s="8" t="s">
        <v>70</v>
      </c>
      <c r="G270" s="8" t="s">
        <v>2533</v>
      </c>
      <c r="H270" s="8" t="s">
        <v>79</v>
      </c>
      <c r="I270" s="8" t="s">
        <v>208</v>
      </c>
      <c r="J270" s="8" t="n">
        <v>1</v>
      </c>
      <c r="K270" s="8" t="n">
        <v>4</v>
      </c>
      <c r="L270" s="18" t="n">
        <f aca="false">INDEX('All Items'!$Q:$Q,MATCH($A270,'All Items'!$A:$A,0))</f>
        <v>8.45</v>
      </c>
      <c r="M270" s="8" t="s">
        <v>2317</v>
      </c>
      <c r="N270" s="8" t="s">
        <v>1008</v>
      </c>
      <c r="O270" s="8" t="s">
        <v>2715</v>
      </c>
      <c r="P270" s="8" t="s">
        <v>2716</v>
      </c>
      <c r="Q270" s="8" t="s">
        <v>2717</v>
      </c>
      <c r="R270" s="8"/>
      <c r="S270" s="19" t="s">
        <v>2718</v>
      </c>
      <c r="T270" s="8" t="s">
        <v>2719</v>
      </c>
      <c r="U270" s="8"/>
      <c r="V270" s="8" t="n">
        <f aca="false">COUNTA(M270:R270)</f>
        <v>5</v>
      </c>
      <c r="W270" s="8" t="s">
        <v>218</v>
      </c>
      <c r="X270" s="8" t="s">
        <v>259</v>
      </c>
      <c r="Y270" s="8" t="s">
        <v>218</v>
      </c>
      <c r="Z270" s="8"/>
      <c r="AA270" s="8" t="s">
        <v>2720</v>
      </c>
      <c r="AB270" s="20" t="s">
        <v>2721</v>
      </c>
      <c r="AC270" s="20" t="s">
        <v>527</v>
      </c>
      <c r="AD270" s="20" t="s">
        <v>2722</v>
      </c>
      <c r="AE270" s="8" t="s">
        <v>223</v>
      </c>
      <c r="AF270" s="8" t="s">
        <v>224</v>
      </c>
    </row>
    <row r="271" customFormat="false" ht="15" hidden="false" customHeight="false" outlineLevel="0" collapsed="false">
      <c r="A271" s="8" t="s">
        <v>2723</v>
      </c>
      <c r="B271" s="8" t="s">
        <v>2724</v>
      </c>
      <c r="C271" s="8" t="s">
        <v>2725</v>
      </c>
      <c r="D271" s="8" t="s">
        <v>2532</v>
      </c>
      <c r="E271" s="8"/>
      <c r="F271" s="8" t="s">
        <v>70</v>
      </c>
      <c r="G271" s="8" t="s">
        <v>2533</v>
      </c>
      <c r="H271" s="8" t="s">
        <v>82</v>
      </c>
      <c r="I271" s="8" t="s">
        <v>208</v>
      </c>
      <c r="J271" s="8" t="n">
        <v>1</v>
      </c>
      <c r="K271" s="8" t="n">
        <v>3</v>
      </c>
      <c r="L271" s="18" t="n">
        <f aca="false">INDEX('All Items'!$Q:$Q,MATCH($A271,'All Items'!$A:$A,0))</f>
        <v>7.15</v>
      </c>
      <c r="M271" s="8" t="s">
        <v>1781</v>
      </c>
      <c r="N271" s="8" t="s">
        <v>2726</v>
      </c>
      <c r="O271" s="8" t="s">
        <v>2158</v>
      </c>
      <c r="P271" s="8" t="s">
        <v>2727</v>
      </c>
      <c r="Q271" s="8" t="s">
        <v>2728</v>
      </c>
      <c r="R271" s="8"/>
      <c r="S271" s="19" t="s">
        <v>2729</v>
      </c>
      <c r="T271" s="8" t="s">
        <v>2730</v>
      </c>
      <c r="U271" s="8"/>
      <c r="V271" s="8" t="n">
        <f aca="false">COUNTA(M271:R271)</f>
        <v>5</v>
      </c>
      <c r="W271" s="8" t="s">
        <v>218</v>
      </c>
      <c r="X271" s="8" t="s">
        <v>259</v>
      </c>
      <c r="Y271" s="8" t="s">
        <v>218</v>
      </c>
      <c r="Z271" s="8"/>
      <c r="AA271" s="8" t="s">
        <v>2731</v>
      </c>
      <c r="AB271" s="20"/>
      <c r="AC271" s="20"/>
      <c r="AD271" s="20"/>
      <c r="AE271" s="8" t="s">
        <v>237</v>
      </c>
      <c r="AF271" s="8" t="s">
        <v>224</v>
      </c>
    </row>
    <row r="272" customFormat="false" ht="15" hidden="false" customHeight="false" outlineLevel="0" collapsed="false">
      <c r="A272" s="8" t="s">
        <v>2732</v>
      </c>
      <c r="B272" s="8" t="s">
        <v>2733</v>
      </c>
      <c r="C272" s="8"/>
      <c r="D272" s="8" t="s">
        <v>2532</v>
      </c>
      <c r="E272" s="8"/>
      <c r="F272" s="8" t="s">
        <v>70</v>
      </c>
      <c r="G272" s="8" t="s">
        <v>2533</v>
      </c>
      <c r="H272" s="8" t="s">
        <v>83</v>
      </c>
      <c r="I272" s="8" t="s">
        <v>208</v>
      </c>
      <c r="J272" s="8" t="n">
        <v>1</v>
      </c>
      <c r="K272" s="8" t="n">
        <v>4</v>
      </c>
      <c r="L272" s="18" t="n">
        <f aca="false">INDEX('All Items'!$Q:$Q,MATCH($A272,'All Items'!$A:$A,0))</f>
        <v>8.7</v>
      </c>
      <c r="M272" s="8" t="s">
        <v>1781</v>
      </c>
      <c r="N272" s="8" t="s">
        <v>2585</v>
      </c>
      <c r="O272" s="8" t="s">
        <v>1008</v>
      </c>
      <c r="P272" s="8" t="s">
        <v>2734</v>
      </c>
      <c r="Q272" s="8" t="s">
        <v>2735</v>
      </c>
      <c r="R272" s="8" t="s">
        <v>2736</v>
      </c>
      <c r="S272" s="19" t="s">
        <v>2737</v>
      </c>
      <c r="T272" s="8" t="s">
        <v>2738</v>
      </c>
      <c r="U272" s="8" t="s">
        <v>2736</v>
      </c>
      <c r="V272" s="8" t="n">
        <f aca="false">COUNTA(M272:R272)</f>
        <v>6</v>
      </c>
      <c r="W272" s="8" t="s">
        <v>218</v>
      </c>
      <c r="X272" s="8" t="s">
        <v>259</v>
      </c>
      <c r="Y272" s="8" t="s">
        <v>218</v>
      </c>
      <c r="Z272" s="8"/>
      <c r="AA272" s="8" t="s">
        <v>2739</v>
      </c>
      <c r="AB272" s="20"/>
      <c r="AC272" s="20"/>
      <c r="AD272" s="20"/>
      <c r="AE272" s="8" t="s">
        <v>237</v>
      </c>
      <c r="AF272" s="8" t="s">
        <v>224</v>
      </c>
    </row>
    <row r="273" customFormat="false" ht="15" hidden="false" customHeight="false" outlineLevel="0" collapsed="false">
      <c r="A273" s="8" t="s">
        <v>2740</v>
      </c>
      <c r="B273" s="8" t="s">
        <v>2741</v>
      </c>
      <c r="C273" s="8" t="s">
        <v>2742</v>
      </c>
      <c r="D273" s="8" t="s">
        <v>2532</v>
      </c>
      <c r="E273" s="8"/>
      <c r="F273" s="8" t="s">
        <v>70</v>
      </c>
      <c r="G273" s="8" t="s">
        <v>2533</v>
      </c>
      <c r="H273" s="8" t="s">
        <v>80</v>
      </c>
      <c r="I273" s="8" t="s">
        <v>1030</v>
      </c>
      <c r="J273" s="8" t="n">
        <v>2</v>
      </c>
      <c r="K273" s="8" t="n">
        <v>3</v>
      </c>
      <c r="L273" s="18" t="n">
        <f aca="false">INDEX('All Items'!$Q:$Q,MATCH($A273,'All Items'!$A:$A,0))</f>
        <v>7.15</v>
      </c>
      <c r="M273" s="8" t="s">
        <v>1363</v>
      </c>
      <c r="N273" s="8" t="s">
        <v>2743</v>
      </c>
      <c r="O273" s="8" t="s">
        <v>2744</v>
      </c>
      <c r="P273" s="8" t="s">
        <v>2745</v>
      </c>
      <c r="Q273" s="8" t="s">
        <v>2746</v>
      </c>
      <c r="R273" s="8"/>
      <c r="S273" s="19" t="s">
        <v>2747</v>
      </c>
      <c r="T273" s="8" t="s">
        <v>2748</v>
      </c>
      <c r="U273" s="8" t="s">
        <v>2749</v>
      </c>
      <c r="V273" s="8" t="n">
        <f aca="false">COUNTA(M273:R273)</f>
        <v>5</v>
      </c>
      <c r="W273" s="8" t="s">
        <v>218</v>
      </c>
      <c r="X273" s="8" t="s">
        <v>259</v>
      </c>
      <c r="Y273" s="8" t="s">
        <v>218</v>
      </c>
      <c r="Z273" s="8"/>
      <c r="AA273" s="8" t="s">
        <v>2750</v>
      </c>
      <c r="AB273" s="20" t="s">
        <v>2751</v>
      </c>
      <c r="AC273" s="20" t="s">
        <v>221</v>
      </c>
      <c r="AD273" s="20" t="s">
        <v>2752</v>
      </c>
      <c r="AE273" s="8" t="s">
        <v>223</v>
      </c>
      <c r="AF273" s="8" t="s">
        <v>224</v>
      </c>
    </row>
    <row r="274" customFormat="false" ht="15" hidden="false" customHeight="false" outlineLevel="0" collapsed="false">
      <c r="A274" s="8" t="s">
        <v>2753</v>
      </c>
      <c r="B274" s="8" t="s">
        <v>2754</v>
      </c>
      <c r="C274" s="8"/>
      <c r="D274" s="8" t="s">
        <v>2532</v>
      </c>
      <c r="E274" s="8"/>
      <c r="F274" s="8" t="s">
        <v>70</v>
      </c>
      <c r="G274" s="8" t="s">
        <v>2533</v>
      </c>
      <c r="H274" s="8" t="s">
        <v>80</v>
      </c>
      <c r="I274" s="8" t="s">
        <v>1030</v>
      </c>
      <c r="J274" s="8" t="n">
        <v>2</v>
      </c>
      <c r="K274" s="8" t="n">
        <v>4</v>
      </c>
      <c r="L274" s="18" t="n">
        <f aca="false">INDEX('All Items'!$Q:$Q,MATCH($A274,'All Items'!$A:$A,0))</f>
        <v>8.7</v>
      </c>
      <c r="M274" s="8" t="s">
        <v>2755</v>
      </c>
      <c r="N274" s="8" t="s">
        <v>2743</v>
      </c>
      <c r="O274" s="8" t="s">
        <v>2756</v>
      </c>
      <c r="P274" s="8" t="s">
        <v>2757</v>
      </c>
      <c r="Q274" s="8" t="s">
        <v>2758</v>
      </c>
      <c r="R274" s="8" t="s">
        <v>2759</v>
      </c>
      <c r="S274" s="19" t="s">
        <v>2760</v>
      </c>
      <c r="T274" s="8" t="s">
        <v>2761</v>
      </c>
      <c r="U274" s="8"/>
      <c r="V274" s="8" t="n">
        <f aca="false">COUNTA(M274:R274)</f>
        <v>6</v>
      </c>
      <c r="W274" s="8" t="s">
        <v>218</v>
      </c>
      <c r="X274" s="8" t="s">
        <v>259</v>
      </c>
      <c r="Y274" s="8" t="s">
        <v>218</v>
      </c>
      <c r="Z274" s="8"/>
      <c r="AA274" s="8" t="s">
        <v>2762</v>
      </c>
      <c r="AB274" s="20" t="s">
        <v>2763</v>
      </c>
      <c r="AC274" s="20" t="s">
        <v>1174</v>
      </c>
      <c r="AD274" s="20" t="s">
        <v>2764</v>
      </c>
      <c r="AE274" s="8" t="s">
        <v>223</v>
      </c>
      <c r="AF274" s="8" t="s">
        <v>224</v>
      </c>
    </row>
    <row r="275" customFormat="false" ht="15" hidden="false" customHeight="false" outlineLevel="0" collapsed="false">
      <c r="A275" s="8" t="s">
        <v>2765</v>
      </c>
      <c r="B275" s="8" t="s">
        <v>2766</v>
      </c>
      <c r="C275" s="8"/>
      <c r="D275" s="8" t="s">
        <v>2532</v>
      </c>
      <c r="E275" s="8"/>
      <c r="F275" s="8" t="s">
        <v>70</v>
      </c>
      <c r="G275" s="8" t="s">
        <v>2533</v>
      </c>
      <c r="H275" s="8" t="s">
        <v>80</v>
      </c>
      <c r="I275" s="8" t="s">
        <v>273</v>
      </c>
      <c r="J275" s="8" t="n">
        <v>2</v>
      </c>
      <c r="K275" s="8" t="n">
        <v>3</v>
      </c>
      <c r="L275" s="18" t="n">
        <f aca="false">INDEX('All Items'!$Q:$Q,MATCH($A275,'All Items'!$A:$A,0))</f>
        <v>6.9</v>
      </c>
      <c r="M275" s="8" t="s">
        <v>2767</v>
      </c>
      <c r="N275" s="8" t="s">
        <v>2768</v>
      </c>
      <c r="O275" s="8" t="s">
        <v>2769</v>
      </c>
      <c r="P275" s="8" t="s">
        <v>2770</v>
      </c>
      <c r="Q275" s="8" t="s">
        <v>2771</v>
      </c>
      <c r="R275" s="8"/>
      <c r="S275" s="19" t="s">
        <v>2772</v>
      </c>
      <c r="T275" s="8" t="s">
        <v>2773</v>
      </c>
      <c r="U275" s="8"/>
      <c r="V275" s="8" t="n">
        <f aca="false">COUNTA(M275:R275)</f>
        <v>5</v>
      </c>
      <c r="W275" s="8" t="s">
        <v>218</v>
      </c>
      <c r="X275" s="8" t="s">
        <v>259</v>
      </c>
      <c r="Y275" s="8" t="s">
        <v>218</v>
      </c>
      <c r="Z275" s="8"/>
      <c r="AA275" s="8" t="s">
        <v>2774</v>
      </c>
      <c r="AB275" s="20"/>
      <c r="AC275" s="20"/>
      <c r="AD275" s="20"/>
      <c r="AE275" s="8" t="s">
        <v>237</v>
      </c>
      <c r="AF275" s="8" t="s">
        <v>224</v>
      </c>
    </row>
    <row r="276" customFormat="false" ht="15" hidden="false" customHeight="false" outlineLevel="0" collapsed="false">
      <c r="A276" s="8" t="s">
        <v>2775</v>
      </c>
      <c r="B276" s="8" t="s">
        <v>2776</v>
      </c>
      <c r="C276" s="8"/>
      <c r="D276" s="8" t="s">
        <v>2532</v>
      </c>
      <c r="E276" s="8"/>
      <c r="F276" s="8" t="s">
        <v>70</v>
      </c>
      <c r="G276" s="8" t="s">
        <v>2533</v>
      </c>
      <c r="H276" s="8" t="s">
        <v>78</v>
      </c>
      <c r="I276" s="8" t="s">
        <v>208</v>
      </c>
      <c r="J276" s="8" t="n">
        <v>2</v>
      </c>
      <c r="K276" s="8" t="n">
        <v>3</v>
      </c>
      <c r="L276" s="18" t="n">
        <f aca="false">INDEX('All Items'!$Q:$Q,MATCH($A276,'All Items'!$A:$A,0))</f>
        <v>7.4</v>
      </c>
      <c r="M276" s="8" t="s">
        <v>2777</v>
      </c>
      <c r="N276" s="8" t="s">
        <v>2778</v>
      </c>
      <c r="O276" s="8" t="s">
        <v>2779</v>
      </c>
      <c r="P276" s="8" t="s">
        <v>2780</v>
      </c>
      <c r="Q276" s="8" t="s">
        <v>2781</v>
      </c>
      <c r="R276" s="8" t="s">
        <v>2782</v>
      </c>
      <c r="S276" s="19" t="s">
        <v>2783</v>
      </c>
      <c r="T276" s="8" t="s">
        <v>2784</v>
      </c>
      <c r="U276" s="8"/>
      <c r="V276" s="8" t="n">
        <f aca="false">COUNTA(M276:R276)</f>
        <v>6</v>
      </c>
      <c r="W276" s="8" t="s">
        <v>218</v>
      </c>
      <c r="X276" s="8" t="s">
        <v>259</v>
      </c>
      <c r="Y276" s="8" t="s">
        <v>218</v>
      </c>
      <c r="Z276" s="8"/>
      <c r="AA276" s="8" t="s">
        <v>2785</v>
      </c>
      <c r="AB276" s="20"/>
      <c r="AC276" s="20"/>
      <c r="AD276" s="20"/>
      <c r="AE276" s="8" t="s">
        <v>237</v>
      </c>
      <c r="AF276" s="8" t="s">
        <v>224</v>
      </c>
    </row>
    <row r="277" customFormat="false" ht="15" hidden="false" customHeight="false" outlineLevel="0" collapsed="false">
      <c r="A277" s="8" t="s">
        <v>2786</v>
      </c>
      <c r="B277" s="8" t="s">
        <v>2787</v>
      </c>
      <c r="C277" s="8"/>
      <c r="D277" s="8" t="s">
        <v>2788</v>
      </c>
      <c r="E277" s="8"/>
      <c r="F277" s="8" t="s">
        <v>70</v>
      </c>
      <c r="G277" s="8" t="s">
        <v>2789</v>
      </c>
      <c r="H277" s="8" t="s">
        <v>78</v>
      </c>
      <c r="I277" s="8" t="s">
        <v>208</v>
      </c>
      <c r="J277" s="8" t="n">
        <v>1</v>
      </c>
      <c r="K277" s="8" t="n">
        <v>3</v>
      </c>
      <c r="L277" s="18" t="n">
        <f aca="false">INDEX('All Items'!$Q:$Q,MATCH($A277,'All Items'!$A:$A,0))</f>
        <v>6.9</v>
      </c>
      <c r="M277" s="8" t="s">
        <v>2790</v>
      </c>
      <c r="N277" s="8" t="s">
        <v>2791</v>
      </c>
      <c r="O277" s="8" t="s">
        <v>2792</v>
      </c>
      <c r="P277" s="8" t="s">
        <v>2793</v>
      </c>
      <c r="Q277" s="8" t="s">
        <v>2794</v>
      </c>
      <c r="R277" s="8" t="s">
        <v>2795</v>
      </c>
      <c r="S277" s="19" t="s">
        <v>2796</v>
      </c>
      <c r="T277" s="8" t="s">
        <v>2797</v>
      </c>
      <c r="U277" s="8" t="s">
        <v>2798</v>
      </c>
      <c r="V277" s="8" t="n">
        <f aca="false">COUNTA(M277:R277)</f>
        <v>6</v>
      </c>
      <c r="W277" s="8" t="s">
        <v>218</v>
      </c>
      <c r="X277" s="8" t="s">
        <v>259</v>
      </c>
      <c r="Y277" s="8" t="s">
        <v>259</v>
      </c>
      <c r="Z277" s="8" t="s">
        <v>2799</v>
      </c>
      <c r="AA277" s="8" t="s">
        <v>2800</v>
      </c>
      <c r="AB277" s="20"/>
      <c r="AC277" s="20"/>
      <c r="AD277" s="20"/>
      <c r="AE277" s="8" t="s">
        <v>237</v>
      </c>
      <c r="AF277" s="8" t="s">
        <v>224</v>
      </c>
    </row>
    <row r="278" customFormat="false" ht="15" hidden="false" customHeight="false" outlineLevel="0" collapsed="false">
      <c r="A278" s="8" t="s">
        <v>2801</v>
      </c>
      <c r="B278" s="8" t="s">
        <v>2802</v>
      </c>
      <c r="C278" s="8" t="s">
        <v>2803</v>
      </c>
      <c r="D278" s="8" t="s">
        <v>2532</v>
      </c>
      <c r="E278" s="8"/>
      <c r="F278" s="8" t="s">
        <v>70</v>
      </c>
      <c r="G278" s="8" t="s">
        <v>2533</v>
      </c>
      <c r="H278" s="8" t="s">
        <v>79</v>
      </c>
      <c r="I278" s="8" t="s">
        <v>273</v>
      </c>
      <c r="J278" s="8" t="n">
        <v>2</v>
      </c>
      <c r="K278" s="8" t="n">
        <v>3</v>
      </c>
      <c r="L278" s="18" t="n">
        <f aca="false">INDEX('All Items'!$Q:$Q,MATCH($A278,'All Items'!$A:$A,0))</f>
        <v>7.15</v>
      </c>
      <c r="M278" s="8" t="s">
        <v>1781</v>
      </c>
      <c r="N278" s="8" t="s">
        <v>1167</v>
      </c>
      <c r="O278" s="8" t="s">
        <v>1314</v>
      </c>
      <c r="P278" s="8" t="s">
        <v>1032</v>
      </c>
      <c r="Q278" s="8" t="s">
        <v>2804</v>
      </c>
      <c r="R278" s="8" t="s">
        <v>416</v>
      </c>
      <c r="S278" s="19" t="s">
        <v>2805</v>
      </c>
      <c r="T278" s="8" t="s">
        <v>2806</v>
      </c>
      <c r="U278" s="8"/>
      <c r="V278" s="8" t="n">
        <f aca="false">COUNTA(M278:R278)</f>
        <v>6</v>
      </c>
      <c r="W278" s="8" t="s">
        <v>218</v>
      </c>
      <c r="X278" s="8" t="s">
        <v>259</v>
      </c>
      <c r="Y278" s="8" t="s">
        <v>218</v>
      </c>
      <c r="Z278" s="8"/>
      <c r="AA278" s="8" t="s">
        <v>2807</v>
      </c>
      <c r="AB278" s="20"/>
      <c r="AC278" s="20"/>
      <c r="AD278" s="20"/>
      <c r="AE278" s="8" t="s">
        <v>237</v>
      </c>
      <c r="AF278" s="8" t="s">
        <v>224</v>
      </c>
    </row>
    <row r="279" customFormat="false" ht="15" hidden="false" customHeight="false" outlineLevel="0" collapsed="false">
      <c r="A279" s="8" t="s">
        <v>2808</v>
      </c>
      <c r="B279" s="8" t="s">
        <v>2809</v>
      </c>
      <c r="C279" s="8"/>
      <c r="D279" s="8" t="s">
        <v>2532</v>
      </c>
      <c r="E279" s="8"/>
      <c r="F279" s="8" t="s">
        <v>70</v>
      </c>
      <c r="G279" s="8" t="s">
        <v>2533</v>
      </c>
      <c r="H279" s="8" t="s">
        <v>82</v>
      </c>
      <c r="I279" s="8" t="s">
        <v>1030</v>
      </c>
      <c r="J279" s="8" t="n">
        <v>2</v>
      </c>
      <c r="K279" s="8" t="n">
        <v>3</v>
      </c>
      <c r="L279" s="18" t="n">
        <f aca="false">INDEX('All Items'!$Q:$Q,MATCH($A279,'All Items'!$A:$A,0))</f>
        <v>7.4</v>
      </c>
      <c r="M279" s="8" t="s">
        <v>1313</v>
      </c>
      <c r="N279" s="8" t="s">
        <v>2534</v>
      </c>
      <c r="O279" s="8" t="s">
        <v>2810</v>
      </c>
      <c r="P279" s="8" t="s">
        <v>2811</v>
      </c>
      <c r="Q279" s="8" t="s">
        <v>2812</v>
      </c>
      <c r="R279" s="8" t="s">
        <v>2813</v>
      </c>
      <c r="S279" s="19" t="s">
        <v>2814</v>
      </c>
      <c r="T279" s="8" t="s">
        <v>2815</v>
      </c>
      <c r="U279" s="8"/>
      <c r="V279" s="8" t="n">
        <f aca="false">COUNTA(M279:R279)</f>
        <v>6</v>
      </c>
      <c r="W279" s="8" t="s">
        <v>218</v>
      </c>
      <c r="X279" s="8" t="s">
        <v>259</v>
      </c>
      <c r="Y279" s="8" t="s">
        <v>218</v>
      </c>
      <c r="Z279" s="8"/>
      <c r="AA279" s="8" t="s">
        <v>2816</v>
      </c>
      <c r="AB279" s="20"/>
      <c r="AC279" s="20"/>
      <c r="AD279" s="20"/>
      <c r="AE279" s="8" t="s">
        <v>237</v>
      </c>
      <c r="AF279" s="8" t="s">
        <v>224</v>
      </c>
    </row>
    <row r="280" customFormat="false" ht="15" hidden="false" customHeight="false" outlineLevel="0" collapsed="false">
      <c r="A280" s="8" t="s">
        <v>2817</v>
      </c>
      <c r="B280" s="8" t="s">
        <v>2818</v>
      </c>
      <c r="C280" s="8" t="s">
        <v>2819</v>
      </c>
      <c r="D280" s="8" t="s">
        <v>2532</v>
      </c>
      <c r="E280" s="8"/>
      <c r="F280" s="8" t="s">
        <v>70</v>
      </c>
      <c r="G280" s="8" t="s">
        <v>2533</v>
      </c>
      <c r="H280" s="8" t="s">
        <v>78</v>
      </c>
      <c r="I280" s="8" t="s">
        <v>208</v>
      </c>
      <c r="J280" s="8" t="n">
        <v>2</v>
      </c>
      <c r="K280" s="8" t="n">
        <v>3</v>
      </c>
      <c r="L280" s="18" t="n">
        <f aca="false">INDEX('All Items'!$Q:$Q,MATCH($A280,'All Items'!$A:$A,0))</f>
        <v>7.15</v>
      </c>
      <c r="M280" s="8" t="s">
        <v>686</v>
      </c>
      <c r="N280" s="8" t="s">
        <v>2547</v>
      </c>
      <c r="O280" s="8" t="s">
        <v>2820</v>
      </c>
      <c r="P280" s="8" t="s">
        <v>2821</v>
      </c>
      <c r="Q280" s="8" t="s">
        <v>2822</v>
      </c>
      <c r="R280" s="8"/>
      <c r="S280" s="19" t="s">
        <v>2823</v>
      </c>
      <c r="T280" s="8" t="s">
        <v>2824</v>
      </c>
      <c r="U280" s="8" t="s">
        <v>2825</v>
      </c>
      <c r="V280" s="8" t="n">
        <f aca="false">COUNTA(M280:R280)</f>
        <v>5</v>
      </c>
      <c r="W280" s="8" t="s">
        <v>218</v>
      </c>
      <c r="X280" s="8" t="s">
        <v>259</v>
      </c>
      <c r="Y280" s="8" t="s">
        <v>218</v>
      </c>
      <c r="Z280" s="8"/>
      <c r="AA280" s="8" t="s">
        <v>2826</v>
      </c>
      <c r="AB280" s="20" t="s">
        <v>2827</v>
      </c>
      <c r="AC280" s="20" t="s">
        <v>221</v>
      </c>
      <c r="AD280" s="20" t="s">
        <v>2828</v>
      </c>
      <c r="AE280" s="8" t="s">
        <v>223</v>
      </c>
      <c r="AF280" s="8" t="s">
        <v>224</v>
      </c>
    </row>
    <row r="281" customFormat="false" ht="15" hidden="false" customHeight="false" outlineLevel="0" collapsed="false">
      <c r="A281" s="8" t="s">
        <v>2829</v>
      </c>
      <c r="B281" s="8" t="s">
        <v>2830</v>
      </c>
      <c r="C281" s="8"/>
      <c r="D281" s="8" t="s">
        <v>2532</v>
      </c>
      <c r="E281" s="8"/>
      <c r="F281" s="8" t="s">
        <v>70</v>
      </c>
      <c r="G281" s="8" t="s">
        <v>2533</v>
      </c>
      <c r="H281" s="8" t="s">
        <v>78</v>
      </c>
      <c r="I281" s="8" t="s">
        <v>208</v>
      </c>
      <c r="J281" s="8" t="n">
        <v>2</v>
      </c>
      <c r="K281" s="8" t="n">
        <v>3</v>
      </c>
      <c r="L281" s="18" t="n">
        <f aca="false">INDEX('All Items'!$Q:$Q,MATCH($A281,'All Items'!$A:$A,0))</f>
        <v>7.4</v>
      </c>
      <c r="M281" s="8" t="s">
        <v>2317</v>
      </c>
      <c r="N281" s="8" t="s">
        <v>1781</v>
      </c>
      <c r="O281" s="8" t="s">
        <v>2831</v>
      </c>
      <c r="P281" s="8" t="s">
        <v>2832</v>
      </c>
      <c r="Q281" s="8" t="s">
        <v>2833</v>
      </c>
      <c r="R281" s="8" t="s">
        <v>2834</v>
      </c>
      <c r="S281" s="19" t="s">
        <v>2835</v>
      </c>
      <c r="T281" s="8" t="s">
        <v>2836</v>
      </c>
      <c r="U281" s="8" t="s">
        <v>2837</v>
      </c>
      <c r="V281" s="8" t="n">
        <f aca="false">COUNTA(M281:R281)</f>
        <v>6</v>
      </c>
      <c r="W281" s="8" t="s">
        <v>218</v>
      </c>
      <c r="X281" s="8" t="s">
        <v>259</v>
      </c>
      <c r="Y281" s="8" t="s">
        <v>218</v>
      </c>
      <c r="Z281" s="8"/>
      <c r="AA281" s="8" t="s">
        <v>2838</v>
      </c>
      <c r="AB281" s="20"/>
      <c r="AC281" s="20"/>
      <c r="AD281" s="20"/>
      <c r="AE281" s="8" t="s">
        <v>237</v>
      </c>
      <c r="AF281" s="8" t="s">
        <v>224</v>
      </c>
    </row>
    <row r="282" customFormat="false" ht="15" hidden="false" customHeight="false" outlineLevel="0" collapsed="false">
      <c r="A282" s="8" t="s">
        <v>2839</v>
      </c>
      <c r="B282" s="8" t="s">
        <v>2840</v>
      </c>
      <c r="C282" s="8"/>
      <c r="D282" s="8" t="s">
        <v>2532</v>
      </c>
      <c r="E282" s="8"/>
      <c r="F282" s="8" t="s">
        <v>70</v>
      </c>
      <c r="G282" s="8" t="s">
        <v>2533</v>
      </c>
      <c r="H282" s="8" t="s">
        <v>81</v>
      </c>
      <c r="I282" s="8" t="s">
        <v>273</v>
      </c>
      <c r="J282" s="8" t="n">
        <v>2</v>
      </c>
      <c r="K282" s="8" t="n">
        <v>3</v>
      </c>
      <c r="L282" s="18" t="n">
        <f aca="false">INDEX('All Items'!$Q:$Q,MATCH($A282,'All Items'!$A:$A,0))</f>
        <v>6.9</v>
      </c>
      <c r="M282" s="8" t="s">
        <v>2841</v>
      </c>
      <c r="N282" s="8" t="s">
        <v>477</v>
      </c>
      <c r="O282" s="8" t="s">
        <v>2842</v>
      </c>
      <c r="P282" s="8" t="s">
        <v>2843</v>
      </c>
      <c r="Q282" s="8" t="s">
        <v>2844</v>
      </c>
      <c r="R282" s="8"/>
      <c r="S282" s="19" t="s">
        <v>2845</v>
      </c>
      <c r="T282" s="8" t="s">
        <v>2846</v>
      </c>
      <c r="U282" s="8" t="s">
        <v>2844</v>
      </c>
      <c r="V282" s="8" t="n">
        <f aca="false">COUNTA(M282:R282)</f>
        <v>5</v>
      </c>
      <c r="W282" s="8" t="s">
        <v>218</v>
      </c>
      <c r="X282" s="8" t="s">
        <v>259</v>
      </c>
      <c r="Y282" s="8" t="s">
        <v>218</v>
      </c>
      <c r="Z282" s="8"/>
      <c r="AA282" s="8" t="s">
        <v>2847</v>
      </c>
      <c r="AB282" s="20"/>
      <c r="AC282" s="20"/>
      <c r="AD282" s="20"/>
      <c r="AE282" s="8" t="s">
        <v>237</v>
      </c>
      <c r="AF282" s="8" t="s">
        <v>224</v>
      </c>
    </row>
    <row r="283" customFormat="false" ht="15" hidden="false" customHeight="false" outlineLevel="0" collapsed="false">
      <c r="A283" s="8" t="s">
        <v>2848</v>
      </c>
      <c r="B283" s="8" t="s">
        <v>2849</v>
      </c>
      <c r="C283" s="8" t="s">
        <v>2850</v>
      </c>
      <c r="D283" s="8" t="s">
        <v>2532</v>
      </c>
      <c r="E283" s="8"/>
      <c r="F283" s="8" t="s">
        <v>70</v>
      </c>
      <c r="G283" s="8" t="s">
        <v>2533</v>
      </c>
      <c r="H283" s="8" t="s">
        <v>79</v>
      </c>
      <c r="I283" s="8" t="s">
        <v>208</v>
      </c>
      <c r="J283" s="8" t="n">
        <v>2</v>
      </c>
      <c r="K283" s="8" t="n">
        <v>3</v>
      </c>
      <c r="L283" s="18" t="n">
        <f aca="false">INDEX('All Items'!$Q:$Q,MATCH($A283,'All Items'!$A:$A,0))</f>
        <v>7.4</v>
      </c>
      <c r="M283" s="8" t="s">
        <v>2585</v>
      </c>
      <c r="N283" s="8" t="s">
        <v>618</v>
      </c>
      <c r="O283" s="8" t="s">
        <v>2606</v>
      </c>
      <c r="P283" s="8" t="s">
        <v>2851</v>
      </c>
      <c r="Q283" s="8" t="s">
        <v>2852</v>
      </c>
      <c r="R283" s="8" t="s">
        <v>2853</v>
      </c>
      <c r="S283" s="19" t="s">
        <v>2854</v>
      </c>
      <c r="T283" s="8" t="s">
        <v>2855</v>
      </c>
      <c r="U283" s="8"/>
      <c r="V283" s="8" t="n">
        <f aca="false">COUNTA(M283:R283)</f>
        <v>6</v>
      </c>
      <c r="W283" s="8" t="s">
        <v>218</v>
      </c>
      <c r="X283" s="8" t="s">
        <v>259</v>
      </c>
      <c r="Y283" s="8" t="s">
        <v>218</v>
      </c>
      <c r="Z283" s="8"/>
      <c r="AA283" s="8" t="s">
        <v>2856</v>
      </c>
      <c r="AB283" s="20"/>
      <c r="AC283" s="20"/>
      <c r="AD283" s="20"/>
      <c r="AE283" s="8" t="s">
        <v>237</v>
      </c>
      <c r="AF283" s="8" t="s">
        <v>224</v>
      </c>
    </row>
    <row r="284" customFormat="false" ht="15" hidden="false" customHeight="false" outlineLevel="0" collapsed="false">
      <c r="A284" s="8" t="s">
        <v>2857</v>
      </c>
      <c r="B284" s="8" t="s">
        <v>2858</v>
      </c>
      <c r="C284" s="8"/>
      <c r="D284" s="8" t="s">
        <v>2859</v>
      </c>
      <c r="E284" s="8"/>
      <c r="F284" s="8" t="s">
        <v>70</v>
      </c>
      <c r="G284" s="8" t="s">
        <v>2533</v>
      </c>
      <c r="H284" s="8" t="s">
        <v>78</v>
      </c>
      <c r="I284" s="8" t="s">
        <v>208</v>
      </c>
      <c r="J284" s="8" t="n">
        <v>1</v>
      </c>
      <c r="K284" s="8" t="n">
        <v>5</v>
      </c>
      <c r="L284" s="18" t="n">
        <f aca="false">INDEX('All Items'!$Q:$Q,MATCH($A284,'All Items'!$A:$A,0))</f>
        <v>10</v>
      </c>
      <c r="M284" s="8" t="s">
        <v>2860</v>
      </c>
      <c r="N284" s="8" t="s">
        <v>2861</v>
      </c>
      <c r="O284" s="8" t="s">
        <v>2862</v>
      </c>
      <c r="P284" s="8" t="s">
        <v>2863</v>
      </c>
      <c r="Q284" s="8" t="s">
        <v>2864</v>
      </c>
      <c r="R284" s="8" t="s">
        <v>2865</v>
      </c>
      <c r="S284" s="19" t="s">
        <v>2866</v>
      </c>
      <c r="T284" s="8" t="s">
        <v>2867</v>
      </c>
      <c r="U284" s="8"/>
      <c r="V284" s="8" t="n">
        <f aca="false">COUNTA(M284:R284)</f>
        <v>6</v>
      </c>
      <c r="W284" s="8" t="s">
        <v>218</v>
      </c>
      <c r="X284" s="8" t="s">
        <v>259</v>
      </c>
      <c r="Y284" s="8" t="s">
        <v>218</v>
      </c>
      <c r="Z284" s="8"/>
      <c r="AA284" s="8" t="s">
        <v>2868</v>
      </c>
      <c r="AB284" s="20"/>
      <c r="AC284" s="20"/>
      <c r="AD284" s="20"/>
      <c r="AE284" s="8" t="s">
        <v>237</v>
      </c>
      <c r="AF284" s="8" t="s">
        <v>224</v>
      </c>
    </row>
    <row r="285" customFormat="false" ht="15" hidden="false" customHeight="false" outlineLevel="0" collapsed="false">
      <c r="A285" s="8" t="s">
        <v>2869</v>
      </c>
      <c r="B285" s="8" t="s">
        <v>2870</v>
      </c>
      <c r="C285" s="8"/>
      <c r="D285" s="8" t="s">
        <v>2859</v>
      </c>
      <c r="E285" s="8"/>
      <c r="F285" s="8" t="s">
        <v>70</v>
      </c>
      <c r="G285" s="8" t="s">
        <v>2533</v>
      </c>
      <c r="H285" s="8" t="s">
        <v>78</v>
      </c>
      <c r="I285" s="8" t="s">
        <v>208</v>
      </c>
      <c r="J285" s="8" t="n">
        <v>1</v>
      </c>
      <c r="K285" s="8" t="n">
        <v>4</v>
      </c>
      <c r="L285" s="18" t="n">
        <f aca="false">INDEX('All Items'!$Q:$Q,MATCH($A285,'All Items'!$A:$A,0))</f>
        <v>8.7</v>
      </c>
      <c r="M285" s="8" t="s">
        <v>2871</v>
      </c>
      <c r="N285" s="8" t="s">
        <v>2872</v>
      </c>
      <c r="O285" s="8" t="s">
        <v>2861</v>
      </c>
      <c r="P285" s="8" t="s">
        <v>2873</v>
      </c>
      <c r="Q285" s="8" t="s">
        <v>2874</v>
      </c>
      <c r="R285" s="8" t="s">
        <v>2865</v>
      </c>
      <c r="S285" s="19" t="s">
        <v>2875</v>
      </c>
      <c r="T285" s="8" t="s">
        <v>2876</v>
      </c>
      <c r="U285" s="8"/>
      <c r="V285" s="8" t="n">
        <f aca="false">COUNTA(M285:R285)</f>
        <v>6</v>
      </c>
      <c r="W285" s="8" t="s">
        <v>218</v>
      </c>
      <c r="X285" s="8" t="s">
        <v>259</v>
      </c>
      <c r="Y285" s="8" t="s">
        <v>218</v>
      </c>
      <c r="Z285" s="8"/>
      <c r="AA285" s="8" t="s">
        <v>2877</v>
      </c>
      <c r="AB285" s="20" t="s">
        <v>2878</v>
      </c>
      <c r="AC285" s="20" t="s">
        <v>221</v>
      </c>
      <c r="AD285" s="20" t="s">
        <v>2879</v>
      </c>
      <c r="AE285" s="8" t="s">
        <v>223</v>
      </c>
      <c r="AF285" s="8" t="s">
        <v>224</v>
      </c>
    </row>
    <row r="286" customFormat="false" ht="15" hidden="false" customHeight="false" outlineLevel="0" collapsed="false">
      <c r="A286" s="8" t="s">
        <v>2880</v>
      </c>
      <c r="B286" s="8" t="s">
        <v>2881</v>
      </c>
      <c r="C286" s="8"/>
      <c r="D286" s="8" t="s">
        <v>2859</v>
      </c>
      <c r="E286" s="8"/>
      <c r="F286" s="8" t="s">
        <v>70</v>
      </c>
      <c r="G286" s="8" t="s">
        <v>2533</v>
      </c>
      <c r="H286" s="8" t="s">
        <v>83</v>
      </c>
      <c r="I286" s="8" t="s">
        <v>208</v>
      </c>
      <c r="J286" s="8" t="n">
        <v>1</v>
      </c>
      <c r="K286" s="8" t="n">
        <v>5</v>
      </c>
      <c r="L286" s="18" t="n">
        <f aca="false">INDEX('All Items'!$Q:$Q,MATCH($A286,'All Items'!$A:$A,0))</f>
        <v>10</v>
      </c>
      <c r="M286" s="8" t="s">
        <v>2862</v>
      </c>
      <c r="N286" s="8" t="s">
        <v>2882</v>
      </c>
      <c r="O286" s="8" t="s">
        <v>2662</v>
      </c>
      <c r="P286" s="8" t="s">
        <v>2883</v>
      </c>
      <c r="Q286" s="8" t="s">
        <v>1793</v>
      </c>
      <c r="R286" s="8" t="s">
        <v>2865</v>
      </c>
      <c r="S286" s="19" t="s">
        <v>2884</v>
      </c>
      <c r="T286" s="8" t="s">
        <v>2885</v>
      </c>
      <c r="U286" s="8"/>
      <c r="V286" s="8" t="n">
        <f aca="false">COUNTA(M286:R286)</f>
        <v>6</v>
      </c>
      <c r="W286" s="8" t="s">
        <v>218</v>
      </c>
      <c r="X286" s="8" t="s">
        <v>259</v>
      </c>
      <c r="Y286" s="8" t="s">
        <v>218</v>
      </c>
      <c r="Z286" s="8"/>
      <c r="AA286" s="8" t="s">
        <v>2886</v>
      </c>
      <c r="AB286" s="20" t="s">
        <v>2887</v>
      </c>
      <c r="AC286" s="20" t="s">
        <v>221</v>
      </c>
      <c r="AD286" s="20" t="s">
        <v>2888</v>
      </c>
      <c r="AE286" s="8" t="s">
        <v>223</v>
      </c>
      <c r="AF286" s="8" t="s">
        <v>224</v>
      </c>
    </row>
    <row r="287" customFormat="false" ht="15" hidden="false" customHeight="false" outlineLevel="0" collapsed="false">
      <c r="A287" s="8" t="s">
        <v>2889</v>
      </c>
      <c r="B287" s="8" t="s">
        <v>2890</v>
      </c>
      <c r="C287" s="8"/>
      <c r="D287" s="8" t="s">
        <v>2859</v>
      </c>
      <c r="E287" s="8"/>
      <c r="F287" s="8" t="s">
        <v>70</v>
      </c>
      <c r="G287" s="8" t="s">
        <v>2533</v>
      </c>
      <c r="H287" s="8" t="s">
        <v>78</v>
      </c>
      <c r="I287" s="8" t="s">
        <v>208</v>
      </c>
      <c r="J287" s="8" t="n">
        <v>1</v>
      </c>
      <c r="K287" s="8" t="n">
        <v>4</v>
      </c>
      <c r="L287" s="18" t="n">
        <f aca="false">INDEX('All Items'!$Q:$Q,MATCH($A287,'All Items'!$A:$A,0))</f>
        <v>8.7</v>
      </c>
      <c r="M287" s="8" t="s">
        <v>2891</v>
      </c>
      <c r="N287" s="8" t="s">
        <v>2892</v>
      </c>
      <c r="O287" s="8" t="s">
        <v>477</v>
      </c>
      <c r="P287" s="8" t="s">
        <v>1618</v>
      </c>
      <c r="Q287" s="8" t="s">
        <v>2893</v>
      </c>
      <c r="R287" s="8" t="s">
        <v>2865</v>
      </c>
      <c r="S287" s="19" t="s">
        <v>2894</v>
      </c>
      <c r="T287" s="8" t="s">
        <v>2895</v>
      </c>
      <c r="U287" s="8"/>
      <c r="V287" s="8" t="n">
        <f aca="false">COUNTA(M287:R287)</f>
        <v>6</v>
      </c>
      <c r="W287" s="8" t="s">
        <v>218</v>
      </c>
      <c r="X287" s="8" t="s">
        <v>259</v>
      </c>
      <c r="Y287" s="8" t="s">
        <v>218</v>
      </c>
      <c r="Z287" s="8"/>
      <c r="AA287" s="8" t="s">
        <v>2896</v>
      </c>
      <c r="AB287" s="20" t="s">
        <v>2897</v>
      </c>
      <c r="AC287" s="20" t="s">
        <v>384</v>
      </c>
      <c r="AD287" s="20" t="s">
        <v>2898</v>
      </c>
      <c r="AE287" s="8" t="s">
        <v>223</v>
      </c>
      <c r="AF287" s="8" t="s">
        <v>224</v>
      </c>
    </row>
    <row r="288" customFormat="false" ht="15" hidden="false" customHeight="false" outlineLevel="0" collapsed="false">
      <c r="A288" s="8" t="s">
        <v>2899</v>
      </c>
      <c r="B288" s="8" t="s">
        <v>2900</v>
      </c>
      <c r="C288" s="8"/>
      <c r="D288" s="8" t="s">
        <v>2859</v>
      </c>
      <c r="E288" s="8"/>
      <c r="F288" s="8" t="s">
        <v>70</v>
      </c>
      <c r="G288" s="8" t="s">
        <v>2533</v>
      </c>
      <c r="H288" s="8" t="s">
        <v>78</v>
      </c>
      <c r="I288" s="8" t="s">
        <v>208</v>
      </c>
      <c r="J288" s="8" t="n">
        <v>1</v>
      </c>
      <c r="K288" s="8" t="n">
        <v>4</v>
      </c>
      <c r="L288" s="18" t="n">
        <f aca="false">INDEX('All Items'!$Q:$Q,MATCH($A288,'All Items'!$A:$A,0))</f>
        <v>8.7</v>
      </c>
      <c r="M288" s="8" t="s">
        <v>1669</v>
      </c>
      <c r="N288" s="8" t="s">
        <v>2901</v>
      </c>
      <c r="O288" s="8" t="s">
        <v>2902</v>
      </c>
      <c r="P288" s="8" t="s">
        <v>2903</v>
      </c>
      <c r="Q288" s="8" t="s">
        <v>2865</v>
      </c>
      <c r="R288" s="8" t="s">
        <v>2904</v>
      </c>
      <c r="S288" s="19" t="s">
        <v>2905</v>
      </c>
      <c r="T288" s="8" t="s">
        <v>2906</v>
      </c>
      <c r="U288" s="8" t="s">
        <v>2904</v>
      </c>
      <c r="V288" s="8" t="n">
        <f aca="false">COUNTA(M288:R288)</f>
        <v>6</v>
      </c>
      <c r="W288" s="8" t="s">
        <v>218</v>
      </c>
      <c r="X288" s="8" t="s">
        <v>259</v>
      </c>
      <c r="Y288" s="8" t="s">
        <v>218</v>
      </c>
      <c r="Z288" s="8"/>
      <c r="AA288" s="8" t="s">
        <v>2907</v>
      </c>
      <c r="AB288" s="20" t="s">
        <v>2908</v>
      </c>
      <c r="AC288" s="20" t="s">
        <v>221</v>
      </c>
      <c r="AD288" s="21" t="s">
        <v>2909</v>
      </c>
      <c r="AE288" s="8" t="s">
        <v>223</v>
      </c>
      <c r="AF288" s="8" t="s">
        <v>224</v>
      </c>
    </row>
    <row r="289" customFormat="false" ht="15" hidden="false" customHeight="false" outlineLevel="0" collapsed="false">
      <c r="A289" s="8" t="s">
        <v>2910</v>
      </c>
      <c r="B289" s="8" t="s">
        <v>2911</v>
      </c>
      <c r="C289" s="8"/>
      <c r="D289" s="8" t="s">
        <v>2859</v>
      </c>
      <c r="E289" s="8"/>
      <c r="F289" s="8" t="s">
        <v>70</v>
      </c>
      <c r="G289" s="8" t="s">
        <v>2533</v>
      </c>
      <c r="H289" s="8" t="s">
        <v>83</v>
      </c>
      <c r="I289" s="8" t="s">
        <v>208</v>
      </c>
      <c r="J289" s="8" t="n">
        <v>1</v>
      </c>
      <c r="K289" s="8" t="n">
        <v>4</v>
      </c>
      <c r="L289" s="18" t="n">
        <f aca="false">INDEX('All Items'!$Q:$Q,MATCH($A289,'All Items'!$A:$A,0))</f>
        <v>8.7</v>
      </c>
      <c r="M289" s="8" t="s">
        <v>2912</v>
      </c>
      <c r="N289" s="8" t="s">
        <v>2913</v>
      </c>
      <c r="O289" s="8" t="s">
        <v>2914</v>
      </c>
      <c r="P289" s="8" t="s">
        <v>2915</v>
      </c>
      <c r="Q289" s="8" t="s">
        <v>2916</v>
      </c>
      <c r="R289" s="8" t="s">
        <v>2865</v>
      </c>
      <c r="S289" s="19" t="s">
        <v>2917</v>
      </c>
      <c r="T289" s="8" t="s">
        <v>2918</v>
      </c>
      <c r="U289" s="8"/>
      <c r="V289" s="8" t="n">
        <f aca="false">COUNTA(M289:R289)</f>
        <v>6</v>
      </c>
      <c r="W289" s="8" t="s">
        <v>218</v>
      </c>
      <c r="X289" s="8" t="s">
        <v>259</v>
      </c>
      <c r="Y289" s="8" t="s">
        <v>218</v>
      </c>
      <c r="Z289" s="8"/>
      <c r="AA289" s="8" t="s">
        <v>2919</v>
      </c>
      <c r="AB289" s="20" t="s">
        <v>2920</v>
      </c>
      <c r="AC289" s="20" t="s">
        <v>527</v>
      </c>
      <c r="AD289" s="21" t="s">
        <v>2921</v>
      </c>
      <c r="AE289" s="8" t="s">
        <v>223</v>
      </c>
      <c r="AF289" s="8" t="s">
        <v>224</v>
      </c>
    </row>
    <row r="290" customFormat="false" ht="15" hidden="false" customHeight="false" outlineLevel="0" collapsed="false">
      <c r="A290" s="8" t="s">
        <v>2922</v>
      </c>
      <c r="B290" s="8" t="s">
        <v>2923</v>
      </c>
      <c r="C290" s="8"/>
      <c r="D290" s="8" t="s">
        <v>2859</v>
      </c>
      <c r="E290" s="8"/>
      <c r="F290" s="8" t="s">
        <v>70</v>
      </c>
      <c r="G290" s="8" t="s">
        <v>2533</v>
      </c>
      <c r="H290" s="8" t="s">
        <v>78</v>
      </c>
      <c r="I290" s="8" t="s">
        <v>273</v>
      </c>
      <c r="J290" s="8" t="n">
        <v>2</v>
      </c>
      <c r="K290" s="8" t="n">
        <v>3</v>
      </c>
      <c r="L290" s="18" t="n">
        <f aca="false">INDEX('All Items'!$Q:$Q,MATCH($A290,'All Items'!$A:$A,0))</f>
        <v>7.4</v>
      </c>
      <c r="M290" s="8" t="s">
        <v>2861</v>
      </c>
      <c r="N290" s="8" t="s">
        <v>2862</v>
      </c>
      <c r="O290" s="8" t="s">
        <v>2642</v>
      </c>
      <c r="P290" s="8" t="s">
        <v>2924</v>
      </c>
      <c r="Q290" s="8" t="s">
        <v>2925</v>
      </c>
      <c r="R290" s="8" t="s">
        <v>2926</v>
      </c>
      <c r="S290" s="19" t="s">
        <v>2927</v>
      </c>
      <c r="T290" s="8" t="s">
        <v>2928</v>
      </c>
      <c r="U290" s="8"/>
      <c r="V290" s="8" t="n">
        <f aca="false">COUNTA(M290:R290)</f>
        <v>6</v>
      </c>
      <c r="W290" s="8" t="s">
        <v>218</v>
      </c>
      <c r="X290" s="8" t="s">
        <v>259</v>
      </c>
      <c r="Y290" s="8" t="s">
        <v>218</v>
      </c>
      <c r="Z290" s="8"/>
      <c r="AA290" s="8" t="s">
        <v>2929</v>
      </c>
      <c r="AB290" s="20"/>
      <c r="AC290" s="20"/>
      <c r="AD290" s="20"/>
      <c r="AE290" s="8" t="s">
        <v>237</v>
      </c>
      <c r="AF290" s="8" t="s">
        <v>224</v>
      </c>
    </row>
    <row r="291" customFormat="false" ht="15" hidden="false" customHeight="false" outlineLevel="0" collapsed="false">
      <c r="A291" s="8" t="s">
        <v>2930</v>
      </c>
      <c r="B291" s="8" t="s">
        <v>2931</v>
      </c>
      <c r="C291" s="8"/>
      <c r="D291" s="8" t="s">
        <v>2859</v>
      </c>
      <c r="E291" s="8"/>
      <c r="F291" s="8" t="s">
        <v>70</v>
      </c>
      <c r="G291" s="8" t="s">
        <v>2533</v>
      </c>
      <c r="H291" s="8" t="s">
        <v>78</v>
      </c>
      <c r="I291" s="8" t="s">
        <v>208</v>
      </c>
      <c r="J291" s="8" t="n">
        <v>1</v>
      </c>
      <c r="K291" s="8" t="n">
        <v>3</v>
      </c>
      <c r="L291" s="18" t="n">
        <f aca="false">INDEX('All Items'!$Q:$Q,MATCH($A291,'All Items'!$A:$A,0))</f>
        <v>7.4</v>
      </c>
      <c r="M291" s="8" t="s">
        <v>2932</v>
      </c>
      <c r="N291" s="8" t="s">
        <v>2686</v>
      </c>
      <c r="O291" s="8" t="s">
        <v>2933</v>
      </c>
      <c r="P291" s="8" t="s">
        <v>2934</v>
      </c>
      <c r="Q291" s="8" t="s">
        <v>1906</v>
      </c>
      <c r="R291" s="8" t="s">
        <v>2935</v>
      </c>
      <c r="S291" s="19" t="s">
        <v>2936</v>
      </c>
      <c r="T291" s="8" t="s">
        <v>2937</v>
      </c>
      <c r="U291" s="8"/>
      <c r="V291" s="8" t="n">
        <f aca="false">COUNTA(M291:R291)</f>
        <v>6</v>
      </c>
      <c r="W291" s="8" t="s">
        <v>218</v>
      </c>
      <c r="X291" s="8" t="s">
        <v>259</v>
      </c>
      <c r="Y291" s="8" t="s">
        <v>218</v>
      </c>
      <c r="Z291" s="8"/>
      <c r="AA291" s="8" t="s">
        <v>2938</v>
      </c>
      <c r="AB291" s="20" t="s">
        <v>2939</v>
      </c>
      <c r="AC291" s="20" t="s">
        <v>384</v>
      </c>
      <c r="AD291" s="20" t="s">
        <v>2940</v>
      </c>
      <c r="AE291" s="8" t="s">
        <v>223</v>
      </c>
      <c r="AF291" s="8" t="s">
        <v>224</v>
      </c>
    </row>
    <row r="292" customFormat="false" ht="15" hidden="false" customHeight="false" outlineLevel="0" collapsed="false">
      <c r="A292" s="8" t="s">
        <v>2941</v>
      </c>
      <c r="B292" s="8" t="s">
        <v>2942</v>
      </c>
      <c r="C292" s="8"/>
      <c r="D292" s="8" t="s">
        <v>2859</v>
      </c>
      <c r="E292" s="8"/>
      <c r="F292" s="8" t="s">
        <v>70</v>
      </c>
      <c r="G292" s="8" t="s">
        <v>2533</v>
      </c>
      <c r="H292" s="8" t="s">
        <v>81</v>
      </c>
      <c r="I292" s="8" t="s">
        <v>208</v>
      </c>
      <c r="J292" s="8" t="n">
        <v>1</v>
      </c>
      <c r="K292" s="8" t="n">
        <v>3</v>
      </c>
      <c r="L292" s="18" t="n">
        <f aca="false">INDEX('All Items'!$Q:$Q,MATCH($A292,'All Items'!$A:$A,0))</f>
        <v>7.4</v>
      </c>
      <c r="M292" s="8" t="s">
        <v>2932</v>
      </c>
      <c r="N292" s="8" t="s">
        <v>2943</v>
      </c>
      <c r="O292" s="8" t="s">
        <v>1178</v>
      </c>
      <c r="P292" s="8" t="s">
        <v>2944</v>
      </c>
      <c r="Q292" s="8" t="s">
        <v>2945</v>
      </c>
      <c r="R292" s="8" t="s">
        <v>2946</v>
      </c>
      <c r="S292" s="19" t="s">
        <v>2947</v>
      </c>
      <c r="T292" s="8" t="s">
        <v>2948</v>
      </c>
      <c r="U292" s="8"/>
      <c r="V292" s="8" t="n">
        <f aca="false">COUNTA(M292:R292)</f>
        <v>6</v>
      </c>
      <c r="W292" s="8" t="s">
        <v>218</v>
      </c>
      <c r="X292" s="8" t="s">
        <v>259</v>
      </c>
      <c r="Y292" s="8" t="s">
        <v>218</v>
      </c>
      <c r="Z292" s="8"/>
      <c r="AA292" s="8" t="s">
        <v>2949</v>
      </c>
      <c r="AB292" s="20" t="s">
        <v>2950</v>
      </c>
      <c r="AC292" s="20" t="s">
        <v>527</v>
      </c>
      <c r="AD292" s="21" t="s">
        <v>2921</v>
      </c>
      <c r="AE292" s="8" t="s">
        <v>223</v>
      </c>
      <c r="AF292" s="8" t="s">
        <v>224</v>
      </c>
    </row>
    <row r="293" customFormat="false" ht="15" hidden="false" customHeight="false" outlineLevel="0" collapsed="false">
      <c r="A293" s="8" t="s">
        <v>2951</v>
      </c>
      <c r="B293" s="8" t="s">
        <v>2952</v>
      </c>
      <c r="C293" s="8"/>
      <c r="D293" s="8" t="s">
        <v>2859</v>
      </c>
      <c r="E293" s="8"/>
      <c r="F293" s="8" t="s">
        <v>70</v>
      </c>
      <c r="G293" s="8" t="s">
        <v>2533</v>
      </c>
      <c r="H293" s="8" t="s">
        <v>79</v>
      </c>
      <c r="I293" s="8" t="s">
        <v>208</v>
      </c>
      <c r="J293" s="8" t="n">
        <v>1</v>
      </c>
      <c r="K293" s="8" t="n">
        <v>4</v>
      </c>
      <c r="L293" s="18" t="n">
        <f aca="false">INDEX('All Items'!$Q:$Q,MATCH($A293,'All Items'!$A:$A,0))</f>
        <v>8.45</v>
      </c>
      <c r="M293" s="8" t="s">
        <v>2953</v>
      </c>
      <c r="N293" s="8" t="s">
        <v>1008</v>
      </c>
      <c r="O293" s="8" t="s">
        <v>1782</v>
      </c>
      <c r="P293" s="8" t="s">
        <v>2954</v>
      </c>
      <c r="Q293" s="8" t="s">
        <v>2955</v>
      </c>
      <c r="R293" s="8" t="s">
        <v>2865</v>
      </c>
      <c r="S293" s="19" t="s">
        <v>2956</v>
      </c>
      <c r="T293" s="8" t="s">
        <v>2957</v>
      </c>
      <c r="U293" s="8"/>
      <c r="V293" s="8" t="n">
        <f aca="false">COUNTA(M293:R293)</f>
        <v>6</v>
      </c>
      <c r="W293" s="8" t="s">
        <v>218</v>
      </c>
      <c r="X293" s="8" t="s">
        <v>259</v>
      </c>
      <c r="Y293" s="8" t="s">
        <v>218</v>
      </c>
      <c r="Z293" s="8"/>
      <c r="AA293" s="8" t="s">
        <v>2958</v>
      </c>
      <c r="AB293" s="20"/>
      <c r="AC293" s="20"/>
      <c r="AD293" s="20"/>
      <c r="AE293" s="8" t="s">
        <v>237</v>
      </c>
      <c r="AF293" s="8" t="s">
        <v>224</v>
      </c>
    </row>
    <row r="294" customFormat="false" ht="15" hidden="false" customHeight="false" outlineLevel="0" collapsed="false">
      <c r="A294" s="8" t="s">
        <v>2959</v>
      </c>
      <c r="B294" s="8" t="s">
        <v>2960</v>
      </c>
      <c r="C294" s="8"/>
      <c r="D294" s="8" t="s">
        <v>2859</v>
      </c>
      <c r="E294" s="8"/>
      <c r="F294" s="8" t="s">
        <v>70</v>
      </c>
      <c r="G294" s="8" t="s">
        <v>2533</v>
      </c>
      <c r="H294" s="8" t="s">
        <v>81</v>
      </c>
      <c r="I294" s="8" t="s">
        <v>208</v>
      </c>
      <c r="J294" s="8" t="n">
        <v>1</v>
      </c>
      <c r="K294" s="8" t="n">
        <v>4</v>
      </c>
      <c r="L294" s="18" t="n">
        <f aca="false">INDEX('All Items'!$Q:$Q,MATCH($A294,'All Items'!$A:$A,0))</f>
        <v>8.7</v>
      </c>
      <c r="M294" s="8" t="s">
        <v>2961</v>
      </c>
      <c r="N294" s="8" t="s">
        <v>285</v>
      </c>
      <c r="O294" s="8" t="s">
        <v>2962</v>
      </c>
      <c r="P294" s="8" t="s">
        <v>213</v>
      </c>
      <c r="Q294" s="8" t="s">
        <v>2963</v>
      </c>
      <c r="R294" s="8" t="s">
        <v>2964</v>
      </c>
      <c r="S294" s="19" t="s">
        <v>2965</v>
      </c>
      <c r="T294" s="8" t="s">
        <v>2966</v>
      </c>
      <c r="U294" s="8"/>
      <c r="V294" s="8" t="n">
        <f aca="false">COUNTA(M294:R294)</f>
        <v>6</v>
      </c>
      <c r="W294" s="8" t="s">
        <v>218</v>
      </c>
      <c r="X294" s="8" t="s">
        <v>259</v>
      </c>
      <c r="Y294" s="8" t="s">
        <v>218</v>
      </c>
      <c r="Z294" s="8"/>
      <c r="AA294" s="8" t="s">
        <v>2967</v>
      </c>
      <c r="AB294" s="20"/>
      <c r="AC294" s="20"/>
      <c r="AD294" s="20"/>
      <c r="AE294" s="8" t="s">
        <v>237</v>
      </c>
      <c r="AF294" s="8" t="s">
        <v>224</v>
      </c>
    </row>
    <row r="295" customFormat="false" ht="15" hidden="false" customHeight="false" outlineLevel="0" collapsed="false">
      <c r="A295" s="8" t="s">
        <v>2968</v>
      </c>
      <c r="B295" s="8" t="s">
        <v>2969</v>
      </c>
      <c r="C295" s="8"/>
      <c r="D295" s="8" t="s">
        <v>2859</v>
      </c>
      <c r="E295" s="8"/>
      <c r="F295" s="8" t="s">
        <v>70</v>
      </c>
      <c r="G295" s="8" t="s">
        <v>2533</v>
      </c>
      <c r="H295" s="8" t="s">
        <v>78</v>
      </c>
      <c r="I295" s="8" t="s">
        <v>208</v>
      </c>
      <c r="J295" s="8" t="n">
        <v>2</v>
      </c>
      <c r="K295" s="8" t="n">
        <v>4</v>
      </c>
      <c r="L295" s="18" t="n">
        <f aca="false">INDEX('All Items'!$Q:$Q,MATCH($A295,'All Items'!$A:$A,0))</f>
        <v>8.7</v>
      </c>
      <c r="M295" s="8" t="s">
        <v>686</v>
      </c>
      <c r="N295" s="8" t="s">
        <v>2970</v>
      </c>
      <c r="O295" s="8" t="s">
        <v>2971</v>
      </c>
      <c r="P295" s="8" t="s">
        <v>2972</v>
      </c>
      <c r="Q295" s="8" t="s">
        <v>2865</v>
      </c>
      <c r="R295" s="8" t="s">
        <v>213</v>
      </c>
      <c r="S295" s="19" t="s">
        <v>2973</v>
      </c>
      <c r="T295" s="8" t="s">
        <v>2974</v>
      </c>
      <c r="U295" s="8" t="s">
        <v>213</v>
      </c>
      <c r="V295" s="8" t="n">
        <f aca="false">COUNTA(M295:R295)</f>
        <v>6</v>
      </c>
      <c r="W295" s="8" t="s">
        <v>218</v>
      </c>
      <c r="X295" s="8" t="s">
        <v>259</v>
      </c>
      <c r="Y295" s="8" t="s">
        <v>218</v>
      </c>
      <c r="Z295" s="8"/>
      <c r="AA295" s="8" t="s">
        <v>2975</v>
      </c>
      <c r="AB295" s="20"/>
      <c r="AC295" s="20"/>
      <c r="AD295" s="20"/>
      <c r="AE295" s="8" t="s">
        <v>237</v>
      </c>
      <c r="AF295" s="8" t="s">
        <v>224</v>
      </c>
    </row>
    <row r="296" customFormat="false" ht="15" hidden="false" customHeight="false" outlineLevel="0" collapsed="false">
      <c r="A296" s="8" t="s">
        <v>2976</v>
      </c>
      <c r="B296" s="8" t="s">
        <v>2977</v>
      </c>
      <c r="C296" s="8"/>
      <c r="D296" s="8" t="s">
        <v>2859</v>
      </c>
      <c r="E296" s="8"/>
      <c r="F296" s="8" t="s">
        <v>70</v>
      </c>
      <c r="G296" s="8" t="s">
        <v>2533</v>
      </c>
      <c r="H296" s="8" t="s">
        <v>83</v>
      </c>
      <c r="I296" s="8" t="s">
        <v>273</v>
      </c>
      <c r="J296" s="8" t="n">
        <v>1</v>
      </c>
      <c r="K296" s="8" t="n">
        <v>4</v>
      </c>
      <c r="L296" s="18" t="n">
        <f aca="false">INDEX('All Items'!$Q:$Q,MATCH($A296,'All Items'!$A:$A,0))</f>
        <v>8.7</v>
      </c>
      <c r="M296" s="8" t="s">
        <v>2978</v>
      </c>
      <c r="N296" s="8" t="s">
        <v>2914</v>
      </c>
      <c r="O296" s="8" t="s">
        <v>2979</v>
      </c>
      <c r="P296" s="8" t="s">
        <v>2980</v>
      </c>
      <c r="Q296" s="8" t="s">
        <v>2865</v>
      </c>
      <c r="R296" s="8" t="s">
        <v>2981</v>
      </c>
      <c r="S296" s="19" t="s">
        <v>2982</v>
      </c>
      <c r="T296" s="8" t="s">
        <v>2983</v>
      </c>
      <c r="U296" s="8" t="s">
        <v>2984</v>
      </c>
      <c r="V296" s="8" t="n">
        <f aca="false">COUNTA(M296:R296)</f>
        <v>6</v>
      </c>
      <c r="W296" s="8" t="s">
        <v>218</v>
      </c>
      <c r="X296" s="8" t="s">
        <v>259</v>
      </c>
      <c r="Y296" s="8" t="s">
        <v>218</v>
      </c>
      <c r="Z296" s="8"/>
      <c r="AA296" s="8" t="s">
        <v>2985</v>
      </c>
      <c r="AB296" s="20" t="s">
        <v>2986</v>
      </c>
      <c r="AC296" s="20" t="s">
        <v>527</v>
      </c>
      <c r="AD296" s="20" t="s">
        <v>2987</v>
      </c>
      <c r="AE296" s="8" t="s">
        <v>223</v>
      </c>
      <c r="AF296" s="8" t="s">
        <v>224</v>
      </c>
    </row>
    <row r="297" customFormat="false" ht="15" hidden="false" customHeight="false" outlineLevel="0" collapsed="false">
      <c r="A297" s="8" t="s">
        <v>2988</v>
      </c>
      <c r="B297" s="8" t="s">
        <v>2989</v>
      </c>
      <c r="C297" s="8"/>
      <c r="D297" s="8" t="s">
        <v>2859</v>
      </c>
      <c r="E297" s="8"/>
      <c r="F297" s="8" t="s">
        <v>70</v>
      </c>
      <c r="G297" s="8" t="s">
        <v>2533</v>
      </c>
      <c r="H297" s="8" t="s">
        <v>79</v>
      </c>
      <c r="I297" s="8" t="s">
        <v>208</v>
      </c>
      <c r="J297" s="8" t="n">
        <v>1</v>
      </c>
      <c r="K297" s="8" t="n">
        <v>3</v>
      </c>
      <c r="L297" s="18" t="n">
        <f aca="false">INDEX('All Items'!$Q:$Q,MATCH($A297,'All Items'!$A:$A,0))</f>
        <v>7.4</v>
      </c>
      <c r="M297" s="8" t="s">
        <v>2990</v>
      </c>
      <c r="N297" s="8" t="s">
        <v>2991</v>
      </c>
      <c r="O297" s="8" t="s">
        <v>2992</v>
      </c>
      <c r="P297" s="8" t="s">
        <v>2862</v>
      </c>
      <c r="Q297" s="8" t="s">
        <v>2993</v>
      </c>
      <c r="R297" s="8" t="s">
        <v>2994</v>
      </c>
      <c r="S297" s="19" t="s">
        <v>2995</v>
      </c>
      <c r="T297" s="8" t="s">
        <v>2996</v>
      </c>
      <c r="U297" s="8"/>
      <c r="V297" s="8" t="n">
        <f aca="false">COUNTA(M297:R297)</f>
        <v>6</v>
      </c>
      <c r="W297" s="8" t="s">
        <v>218</v>
      </c>
      <c r="X297" s="8" t="s">
        <v>259</v>
      </c>
      <c r="Y297" s="8" t="s">
        <v>218</v>
      </c>
      <c r="Z297" s="8"/>
      <c r="AA297" s="8" t="s">
        <v>2997</v>
      </c>
      <c r="AB297" s="20"/>
      <c r="AC297" s="20"/>
      <c r="AD297" s="20"/>
      <c r="AE297" s="8" t="s">
        <v>237</v>
      </c>
      <c r="AF297" s="8" t="s">
        <v>224</v>
      </c>
    </row>
    <row r="298" customFormat="false" ht="15" hidden="false" customHeight="false" outlineLevel="0" collapsed="false">
      <c r="A298" s="8" t="s">
        <v>2998</v>
      </c>
      <c r="B298" s="8" t="s">
        <v>2999</v>
      </c>
      <c r="C298" s="8"/>
      <c r="D298" s="8" t="s">
        <v>2859</v>
      </c>
      <c r="E298" s="8"/>
      <c r="F298" s="8" t="s">
        <v>70</v>
      </c>
      <c r="G298" s="8" t="s">
        <v>2533</v>
      </c>
      <c r="H298" s="8" t="s">
        <v>78</v>
      </c>
      <c r="I298" s="8" t="s">
        <v>208</v>
      </c>
      <c r="J298" s="8" t="n">
        <v>2</v>
      </c>
      <c r="K298" s="8" t="n">
        <v>4</v>
      </c>
      <c r="L298" s="18" t="n">
        <f aca="false">INDEX('All Items'!$Q:$Q,MATCH($A298,'All Items'!$A:$A,0))</f>
        <v>8.7</v>
      </c>
      <c r="M298" s="8" t="s">
        <v>251</v>
      </c>
      <c r="N298" s="8" t="s">
        <v>275</v>
      </c>
      <c r="O298" s="8" t="s">
        <v>2902</v>
      </c>
      <c r="P298" s="8" t="s">
        <v>3000</v>
      </c>
      <c r="Q298" s="8" t="s">
        <v>2865</v>
      </c>
      <c r="R298" s="8" t="s">
        <v>3001</v>
      </c>
      <c r="S298" s="19" t="s">
        <v>3002</v>
      </c>
      <c r="T298" s="8" t="s">
        <v>3003</v>
      </c>
      <c r="U298" s="8" t="s">
        <v>3004</v>
      </c>
      <c r="V298" s="8" t="n">
        <f aca="false">COUNTA(M298:R298)</f>
        <v>6</v>
      </c>
      <c r="W298" s="8" t="s">
        <v>218</v>
      </c>
      <c r="X298" s="8" t="s">
        <v>259</v>
      </c>
      <c r="Y298" s="8" t="s">
        <v>218</v>
      </c>
      <c r="Z298" s="8"/>
      <c r="AA298" s="8" t="s">
        <v>3005</v>
      </c>
      <c r="AB298" s="20"/>
      <c r="AC298" s="20"/>
      <c r="AD298" s="20"/>
      <c r="AE298" s="8" t="s">
        <v>237</v>
      </c>
      <c r="AF298" s="8" t="s">
        <v>224</v>
      </c>
    </row>
    <row r="299" customFormat="false" ht="15" hidden="false" customHeight="false" outlineLevel="0" collapsed="false">
      <c r="A299" s="8" t="s">
        <v>3006</v>
      </c>
      <c r="B299" s="8" t="s">
        <v>3007</v>
      </c>
      <c r="C299" s="8"/>
      <c r="D299" s="8" t="s">
        <v>2859</v>
      </c>
      <c r="E299" s="8"/>
      <c r="F299" s="8" t="s">
        <v>70</v>
      </c>
      <c r="G299" s="8" t="s">
        <v>2533</v>
      </c>
      <c r="H299" s="8" t="s">
        <v>85</v>
      </c>
      <c r="I299" s="8" t="s">
        <v>208</v>
      </c>
      <c r="J299" s="8" t="n">
        <v>2</v>
      </c>
      <c r="K299" s="8" t="n">
        <v>3</v>
      </c>
      <c r="L299" s="18" t="n">
        <f aca="false">INDEX('All Items'!$Q:$Q,MATCH($A299,'All Items'!$A:$A,0))</f>
        <v>7.15</v>
      </c>
      <c r="M299" s="8" t="s">
        <v>2317</v>
      </c>
      <c r="N299" s="8" t="s">
        <v>2914</v>
      </c>
      <c r="O299" s="8" t="s">
        <v>1307</v>
      </c>
      <c r="P299" s="8" t="s">
        <v>3008</v>
      </c>
      <c r="Q299" s="8" t="s">
        <v>3009</v>
      </c>
      <c r="R299" s="8" t="s">
        <v>3010</v>
      </c>
      <c r="S299" s="19" t="s">
        <v>3011</v>
      </c>
      <c r="T299" s="8" t="s">
        <v>3012</v>
      </c>
      <c r="U299" s="8"/>
      <c r="V299" s="8" t="n">
        <f aca="false">COUNTA(M299:R299)</f>
        <v>6</v>
      </c>
      <c r="W299" s="8" t="s">
        <v>218</v>
      </c>
      <c r="X299" s="8" t="s">
        <v>259</v>
      </c>
      <c r="Y299" s="8" t="s">
        <v>218</v>
      </c>
      <c r="Z299" s="8"/>
      <c r="AA299" s="8" t="s">
        <v>3013</v>
      </c>
      <c r="AB299" s="20" t="s">
        <v>3014</v>
      </c>
      <c r="AC299" s="20" t="s">
        <v>527</v>
      </c>
      <c r="AD299" s="20" t="s">
        <v>2987</v>
      </c>
      <c r="AE299" s="8" t="s">
        <v>223</v>
      </c>
      <c r="AF299" s="8" t="s">
        <v>224</v>
      </c>
    </row>
    <row r="300" customFormat="false" ht="15" hidden="false" customHeight="false" outlineLevel="0" collapsed="false">
      <c r="A300" s="8" t="s">
        <v>3015</v>
      </c>
      <c r="B300" s="8" t="s">
        <v>3016</v>
      </c>
      <c r="C300" s="8"/>
      <c r="D300" s="8" t="s">
        <v>2859</v>
      </c>
      <c r="E300" s="8"/>
      <c r="F300" s="8" t="s">
        <v>70</v>
      </c>
      <c r="G300" s="8" t="s">
        <v>2533</v>
      </c>
      <c r="H300" s="8" t="s">
        <v>85</v>
      </c>
      <c r="I300" s="8" t="s">
        <v>208</v>
      </c>
      <c r="J300" s="8" t="n">
        <v>2</v>
      </c>
      <c r="K300" s="8" t="n">
        <v>3</v>
      </c>
      <c r="L300" s="18" t="n">
        <f aca="false">INDEX('All Items'!$Q:$Q,MATCH($A300,'All Items'!$A:$A,0))</f>
        <v>7.4</v>
      </c>
      <c r="M300" s="8" t="s">
        <v>2317</v>
      </c>
      <c r="N300" s="8" t="s">
        <v>1313</v>
      </c>
      <c r="O300" s="8" t="s">
        <v>2914</v>
      </c>
      <c r="P300" s="8" t="s">
        <v>213</v>
      </c>
      <c r="Q300" s="8" t="s">
        <v>3008</v>
      </c>
      <c r="R300" s="8" t="s">
        <v>3017</v>
      </c>
      <c r="S300" s="19" t="s">
        <v>3018</v>
      </c>
      <c r="T300" s="8" t="s">
        <v>3019</v>
      </c>
      <c r="U300" s="8"/>
      <c r="V300" s="8" t="n">
        <f aca="false">COUNTA(M300:R300)</f>
        <v>6</v>
      </c>
      <c r="W300" s="8" t="s">
        <v>218</v>
      </c>
      <c r="X300" s="8" t="s">
        <v>259</v>
      </c>
      <c r="Y300" s="8" t="s">
        <v>218</v>
      </c>
      <c r="Z300" s="8"/>
      <c r="AA300" s="8" t="s">
        <v>3020</v>
      </c>
      <c r="AB300" s="20" t="s">
        <v>3021</v>
      </c>
      <c r="AC300" s="20" t="s">
        <v>527</v>
      </c>
      <c r="AD300" s="20" t="s">
        <v>2987</v>
      </c>
      <c r="AE300" s="8" t="s">
        <v>223</v>
      </c>
      <c r="AF300" s="8" t="s">
        <v>224</v>
      </c>
    </row>
    <row r="301" customFormat="false" ht="15" hidden="false" customHeight="false" outlineLevel="0" collapsed="false">
      <c r="A301" s="8" t="s">
        <v>3022</v>
      </c>
      <c r="B301" s="8" t="s">
        <v>3023</v>
      </c>
      <c r="C301" s="8"/>
      <c r="D301" s="8" t="s">
        <v>2859</v>
      </c>
      <c r="E301" s="8"/>
      <c r="F301" s="8" t="s">
        <v>70</v>
      </c>
      <c r="G301" s="8" t="s">
        <v>2533</v>
      </c>
      <c r="H301" s="8" t="s">
        <v>78</v>
      </c>
      <c r="I301" s="8" t="s">
        <v>208</v>
      </c>
      <c r="J301" s="8" t="n">
        <v>2</v>
      </c>
      <c r="K301" s="8" t="n">
        <v>3</v>
      </c>
      <c r="L301" s="18" t="n">
        <f aca="false">INDEX('All Items'!$Q:$Q,MATCH($A301,'All Items'!$A:$A,0))</f>
        <v>7.4</v>
      </c>
      <c r="M301" s="8" t="s">
        <v>1371</v>
      </c>
      <c r="N301" s="8" t="s">
        <v>3024</v>
      </c>
      <c r="O301" s="8" t="s">
        <v>3025</v>
      </c>
      <c r="P301" s="8" t="s">
        <v>3026</v>
      </c>
      <c r="Q301" s="8" t="s">
        <v>3027</v>
      </c>
      <c r="R301" s="8" t="s">
        <v>3028</v>
      </c>
      <c r="S301" s="19" t="s">
        <v>3029</v>
      </c>
      <c r="T301" s="8" t="s">
        <v>3030</v>
      </c>
      <c r="U301" s="8"/>
      <c r="V301" s="8" t="n">
        <f aca="false">COUNTA(M301:R301)</f>
        <v>6</v>
      </c>
      <c r="W301" s="8" t="s">
        <v>218</v>
      </c>
      <c r="X301" s="8" t="s">
        <v>259</v>
      </c>
      <c r="Y301" s="8" t="s">
        <v>218</v>
      </c>
      <c r="Z301" s="8"/>
      <c r="AA301" s="8" t="s">
        <v>3031</v>
      </c>
      <c r="AB301" s="20"/>
      <c r="AC301" s="20"/>
      <c r="AD301" s="20"/>
      <c r="AE301" s="8" t="s">
        <v>237</v>
      </c>
      <c r="AF301" s="8" t="s">
        <v>224</v>
      </c>
    </row>
    <row r="302" customFormat="false" ht="15" hidden="false" customHeight="false" outlineLevel="0" collapsed="false">
      <c r="A302" s="8" t="s">
        <v>3032</v>
      </c>
      <c r="B302" s="8" t="s">
        <v>3033</v>
      </c>
      <c r="C302" s="8"/>
      <c r="D302" s="8" t="s">
        <v>2859</v>
      </c>
      <c r="E302" s="8"/>
      <c r="F302" s="8" t="s">
        <v>70</v>
      </c>
      <c r="G302" s="8" t="s">
        <v>2533</v>
      </c>
      <c r="H302" s="8" t="s">
        <v>78</v>
      </c>
      <c r="I302" s="8" t="s">
        <v>208</v>
      </c>
      <c r="J302" s="8" t="n">
        <v>2</v>
      </c>
      <c r="K302" s="8" t="n">
        <v>3</v>
      </c>
      <c r="L302" s="18" t="n">
        <f aca="false">INDEX('All Items'!$Q:$Q,MATCH($A302,'All Items'!$A:$A,0))</f>
        <v>7.4</v>
      </c>
      <c r="M302" s="8" t="s">
        <v>2979</v>
      </c>
      <c r="N302" s="8" t="s">
        <v>3034</v>
      </c>
      <c r="O302" s="8" t="s">
        <v>3035</v>
      </c>
      <c r="P302" s="8" t="s">
        <v>1307</v>
      </c>
      <c r="Q302" s="8" t="s">
        <v>3036</v>
      </c>
      <c r="R302" s="8" t="s">
        <v>3037</v>
      </c>
      <c r="S302" s="19" t="s">
        <v>3038</v>
      </c>
      <c r="T302" s="8" t="s">
        <v>3039</v>
      </c>
      <c r="U302" s="8"/>
      <c r="V302" s="8" t="n">
        <f aca="false">COUNTA(M302:R302)</f>
        <v>6</v>
      </c>
      <c r="W302" s="8" t="s">
        <v>218</v>
      </c>
      <c r="X302" s="8" t="s">
        <v>259</v>
      </c>
      <c r="Y302" s="8" t="s">
        <v>218</v>
      </c>
      <c r="Z302" s="8"/>
      <c r="AA302" s="8" t="s">
        <v>3040</v>
      </c>
      <c r="AB302" s="20"/>
      <c r="AC302" s="20"/>
      <c r="AD302" s="20"/>
      <c r="AE302" s="8" t="s">
        <v>237</v>
      </c>
      <c r="AF302" s="8" t="s">
        <v>224</v>
      </c>
    </row>
    <row r="303" customFormat="false" ht="15" hidden="false" customHeight="false" outlineLevel="0" collapsed="false">
      <c r="A303" s="8" t="s">
        <v>3041</v>
      </c>
      <c r="B303" s="8" t="s">
        <v>3042</v>
      </c>
      <c r="C303" s="8"/>
      <c r="D303" s="8" t="s">
        <v>2859</v>
      </c>
      <c r="E303" s="8"/>
      <c r="F303" s="8" t="s">
        <v>70</v>
      </c>
      <c r="G303" s="8" t="s">
        <v>2533</v>
      </c>
      <c r="H303" s="8" t="s">
        <v>79</v>
      </c>
      <c r="I303" s="8" t="s">
        <v>208</v>
      </c>
      <c r="J303" s="8" t="n">
        <v>2</v>
      </c>
      <c r="K303" s="8" t="n">
        <v>3</v>
      </c>
      <c r="L303" s="18" t="n">
        <f aca="false">INDEX('All Items'!$Q:$Q,MATCH($A303,'All Items'!$A:$A,0))</f>
        <v>6.9</v>
      </c>
      <c r="M303" s="8" t="s">
        <v>3043</v>
      </c>
      <c r="N303" s="8" t="s">
        <v>2822</v>
      </c>
      <c r="O303" s="8" t="s">
        <v>2865</v>
      </c>
      <c r="P303" s="8" t="s">
        <v>3044</v>
      </c>
      <c r="Q303" s="8" t="s">
        <v>3045</v>
      </c>
      <c r="R303" s="8" t="s">
        <v>2964</v>
      </c>
      <c r="S303" s="19" t="s">
        <v>3046</v>
      </c>
      <c r="T303" s="8" t="s">
        <v>3047</v>
      </c>
      <c r="U303" s="8"/>
      <c r="V303" s="8" t="n">
        <f aca="false">COUNTA(M303:R303)</f>
        <v>6</v>
      </c>
      <c r="W303" s="8" t="s">
        <v>218</v>
      </c>
      <c r="X303" s="8" t="s">
        <v>259</v>
      </c>
      <c r="Y303" s="8" t="s">
        <v>218</v>
      </c>
      <c r="Z303" s="8"/>
      <c r="AA303" s="8" t="s">
        <v>3048</v>
      </c>
      <c r="AB303" s="20" t="s">
        <v>3049</v>
      </c>
      <c r="AC303" s="20" t="s">
        <v>527</v>
      </c>
      <c r="AD303" s="20" t="s">
        <v>2987</v>
      </c>
      <c r="AE303" s="8" t="s">
        <v>223</v>
      </c>
      <c r="AF303" s="8" t="s">
        <v>224</v>
      </c>
    </row>
    <row r="304" customFormat="false" ht="15" hidden="false" customHeight="false" outlineLevel="0" collapsed="false">
      <c r="A304" s="8" t="s">
        <v>3050</v>
      </c>
      <c r="B304" s="8" t="s">
        <v>3051</v>
      </c>
      <c r="C304" s="8"/>
      <c r="D304" s="8" t="s">
        <v>2859</v>
      </c>
      <c r="E304" s="8"/>
      <c r="F304" s="8" t="s">
        <v>70</v>
      </c>
      <c r="G304" s="8" t="s">
        <v>2533</v>
      </c>
      <c r="H304" s="8" t="s">
        <v>85</v>
      </c>
      <c r="I304" s="8" t="s">
        <v>208</v>
      </c>
      <c r="J304" s="8" t="n">
        <v>2</v>
      </c>
      <c r="K304" s="8" t="n">
        <v>3</v>
      </c>
      <c r="L304" s="18" t="n">
        <f aca="false">INDEX('All Items'!$Q:$Q,MATCH($A304,'All Items'!$A:$A,0))</f>
        <v>7.4</v>
      </c>
      <c r="M304" s="8" t="s">
        <v>3052</v>
      </c>
      <c r="N304" s="8" t="s">
        <v>2970</v>
      </c>
      <c r="O304" s="8" t="s">
        <v>3053</v>
      </c>
      <c r="P304" s="8" t="s">
        <v>3054</v>
      </c>
      <c r="Q304" s="8" t="s">
        <v>3055</v>
      </c>
      <c r="R304" s="8" t="s">
        <v>2865</v>
      </c>
      <c r="S304" s="19" t="s">
        <v>3056</v>
      </c>
      <c r="T304" s="8" t="s">
        <v>3057</v>
      </c>
      <c r="U304" s="8"/>
      <c r="V304" s="8" t="n">
        <f aca="false">COUNTA(M304:R304)</f>
        <v>6</v>
      </c>
      <c r="W304" s="8" t="s">
        <v>218</v>
      </c>
      <c r="X304" s="8" t="s">
        <v>259</v>
      </c>
      <c r="Y304" s="8" t="s">
        <v>218</v>
      </c>
      <c r="Z304" s="8"/>
      <c r="AA304" s="8" t="s">
        <v>3058</v>
      </c>
      <c r="AB304" s="20"/>
      <c r="AC304" s="20"/>
      <c r="AD304" s="20"/>
      <c r="AE304" s="8" t="s">
        <v>237</v>
      </c>
      <c r="AF304" s="8" t="s">
        <v>224</v>
      </c>
    </row>
    <row r="305" customFormat="false" ht="15" hidden="false" customHeight="false" outlineLevel="0" collapsed="false">
      <c r="A305" s="8" t="s">
        <v>3059</v>
      </c>
      <c r="B305" s="8" t="s">
        <v>3060</v>
      </c>
      <c r="C305" s="8"/>
      <c r="D305" s="8" t="s">
        <v>2859</v>
      </c>
      <c r="E305" s="8"/>
      <c r="F305" s="8" t="s">
        <v>70</v>
      </c>
      <c r="G305" s="8" t="s">
        <v>2533</v>
      </c>
      <c r="H305" s="8" t="s">
        <v>82</v>
      </c>
      <c r="I305" s="8" t="s">
        <v>273</v>
      </c>
      <c r="J305" s="8" t="n">
        <v>2</v>
      </c>
      <c r="K305" s="8" t="n">
        <v>3</v>
      </c>
      <c r="L305" s="18" t="n">
        <f aca="false">INDEX('All Items'!$Q:$Q,MATCH($A305,'All Items'!$A:$A,0))</f>
        <v>7.4</v>
      </c>
      <c r="M305" s="8" t="s">
        <v>2317</v>
      </c>
      <c r="N305" s="8" t="s">
        <v>1669</v>
      </c>
      <c r="O305" s="8" t="s">
        <v>3061</v>
      </c>
      <c r="P305" s="8" t="s">
        <v>3062</v>
      </c>
      <c r="Q305" s="8" t="s">
        <v>3063</v>
      </c>
      <c r="R305" s="8" t="s">
        <v>3064</v>
      </c>
      <c r="S305" s="19" t="s">
        <v>3065</v>
      </c>
      <c r="T305" s="8" t="s">
        <v>3066</v>
      </c>
      <c r="U305" s="8"/>
      <c r="V305" s="8" t="n">
        <f aca="false">COUNTA(M305:R305)</f>
        <v>6</v>
      </c>
      <c r="W305" s="8" t="s">
        <v>218</v>
      </c>
      <c r="X305" s="8" t="s">
        <v>259</v>
      </c>
      <c r="Y305" s="8" t="s">
        <v>218</v>
      </c>
      <c r="Z305" s="8"/>
      <c r="AA305" s="8" t="s">
        <v>3067</v>
      </c>
      <c r="AB305" s="20" t="s">
        <v>3068</v>
      </c>
      <c r="AC305" s="20" t="s">
        <v>221</v>
      </c>
      <c r="AD305" s="21" t="s">
        <v>3069</v>
      </c>
      <c r="AE305" s="8" t="s">
        <v>223</v>
      </c>
      <c r="AF305" s="8" t="s">
        <v>224</v>
      </c>
    </row>
    <row r="306" customFormat="false" ht="15" hidden="false" customHeight="false" outlineLevel="0" collapsed="false">
      <c r="A306" s="8" t="s">
        <v>3070</v>
      </c>
      <c r="B306" s="8" t="s">
        <v>3071</v>
      </c>
      <c r="C306" s="8"/>
      <c r="D306" s="8" t="s">
        <v>2859</v>
      </c>
      <c r="E306" s="8"/>
      <c r="F306" s="8" t="s">
        <v>70</v>
      </c>
      <c r="G306" s="8" t="s">
        <v>2533</v>
      </c>
      <c r="H306" s="8" t="s">
        <v>82</v>
      </c>
      <c r="I306" s="8" t="s">
        <v>1030</v>
      </c>
      <c r="J306" s="8" t="n">
        <v>2</v>
      </c>
      <c r="K306" s="8" t="n">
        <v>3</v>
      </c>
      <c r="L306" s="18" t="n">
        <f aca="false">INDEX('All Items'!$Q:$Q,MATCH($A306,'All Items'!$A:$A,0))</f>
        <v>7.4</v>
      </c>
      <c r="M306" s="8" t="s">
        <v>2970</v>
      </c>
      <c r="N306" s="8" t="s">
        <v>2914</v>
      </c>
      <c r="O306" s="8" t="s">
        <v>679</v>
      </c>
      <c r="P306" s="8" t="s">
        <v>3072</v>
      </c>
      <c r="Q306" s="8" t="s">
        <v>3073</v>
      </c>
      <c r="R306" s="8" t="s">
        <v>3074</v>
      </c>
      <c r="S306" s="19" t="s">
        <v>3075</v>
      </c>
      <c r="T306" s="8" t="s">
        <v>3076</v>
      </c>
      <c r="U306" s="8"/>
      <c r="V306" s="8" t="n">
        <f aca="false">COUNTA(M306:R306)</f>
        <v>6</v>
      </c>
      <c r="W306" s="8" t="s">
        <v>218</v>
      </c>
      <c r="X306" s="8" t="s">
        <v>259</v>
      </c>
      <c r="Y306" s="8" t="s">
        <v>218</v>
      </c>
      <c r="Z306" s="8"/>
      <c r="AA306" s="8" t="s">
        <v>3077</v>
      </c>
      <c r="AB306" s="20" t="s">
        <v>3078</v>
      </c>
      <c r="AC306" s="20" t="s">
        <v>384</v>
      </c>
      <c r="AD306" s="21" t="s">
        <v>3079</v>
      </c>
      <c r="AE306" s="8" t="s">
        <v>223</v>
      </c>
      <c r="AF306" s="8" t="s">
        <v>224</v>
      </c>
    </row>
    <row r="307" customFormat="false" ht="15" hidden="false" customHeight="false" outlineLevel="0" collapsed="false">
      <c r="A307" s="8" t="s">
        <v>3080</v>
      </c>
      <c r="B307" s="8" t="s">
        <v>3081</v>
      </c>
      <c r="C307" s="8"/>
      <c r="D307" s="8" t="s">
        <v>2859</v>
      </c>
      <c r="E307" s="8"/>
      <c r="F307" s="8" t="s">
        <v>70</v>
      </c>
      <c r="G307" s="8" t="s">
        <v>2533</v>
      </c>
      <c r="H307" s="8" t="s">
        <v>80</v>
      </c>
      <c r="I307" s="8" t="s">
        <v>273</v>
      </c>
      <c r="J307" s="8" t="n">
        <v>1</v>
      </c>
      <c r="K307" s="8" t="n">
        <v>4</v>
      </c>
      <c r="L307" s="18" t="n">
        <f aca="false">INDEX('All Items'!$Q:$Q,MATCH($A307,'All Items'!$A:$A,0))</f>
        <v>8.45</v>
      </c>
      <c r="M307" s="8" t="s">
        <v>3043</v>
      </c>
      <c r="N307" s="8" t="s">
        <v>3082</v>
      </c>
      <c r="O307" s="8" t="s">
        <v>3083</v>
      </c>
      <c r="P307" s="8" t="s">
        <v>2780</v>
      </c>
      <c r="Q307" s="8" t="s">
        <v>3084</v>
      </c>
      <c r="R307" s="8" t="s">
        <v>2865</v>
      </c>
      <c r="S307" s="19" t="s">
        <v>3085</v>
      </c>
      <c r="T307" s="8" t="s">
        <v>3086</v>
      </c>
      <c r="U307" s="8"/>
      <c r="V307" s="8" t="n">
        <f aca="false">COUNTA(M307:R307)</f>
        <v>6</v>
      </c>
      <c r="W307" s="8" t="s">
        <v>218</v>
      </c>
      <c r="X307" s="8" t="s">
        <v>259</v>
      </c>
      <c r="Y307" s="8" t="s">
        <v>218</v>
      </c>
      <c r="Z307" s="8"/>
      <c r="AA307" s="8" t="s">
        <v>3087</v>
      </c>
      <c r="AB307" s="20"/>
      <c r="AC307" s="20"/>
      <c r="AD307" s="20"/>
      <c r="AE307" s="8" t="s">
        <v>237</v>
      </c>
      <c r="AF307" s="8" t="s">
        <v>224</v>
      </c>
    </row>
    <row r="308" customFormat="false" ht="15" hidden="false" customHeight="false" outlineLevel="0" collapsed="false">
      <c r="A308" s="8" t="s">
        <v>3088</v>
      </c>
      <c r="B308" s="8" t="s">
        <v>3089</v>
      </c>
      <c r="C308" s="8"/>
      <c r="D308" s="8" t="s">
        <v>2859</v>
      </c>
      <c r="E308" s="8"/>
      <c r="F308" s="8" t="s">
        <v>70</v>
      </c>
      <c r="G308" s="8" t="s">
        <v>2533</v>
      </c>
      <c r="H308" s="8" t="s">
        <v>80</v>
      </c>
      <c r="I308" s="8" t="s">
        <v>1030</v>
      </c>
      <c r="J308" s="8" t="n">
        <v>2</v>
      </c>
      <c r="K308" s="8" t="n">
        <v>3</v>
      </c>
      <c r="L308" s="18" t="n">
        <f aca="false">INDEX('All Items'!$Q:$Q,MATCH($A308,'All Items'!$A:$A,0))</f>
        <v>7.15</v>
      </c>
      <c r="M308" s="8" t="s">
        <v>3090</v>
      </c>
      <c r="N308" s="8" t="s">
        <v>1313</v>
      </c>
      <c r="O308" s="8" t="s">
        <v>1905</v>
      </c>
      <c r="P308" s="8" t="s">
        <v>3082</v>
      </c>
      <c r="Q308" s="8" t="s">
        <v>3091</v>
      </c>
      <c r="R308" s="8" t="s">
        <v>3092</v>
      </c>
      <c r="S308" s="19" t="s">
        <v>3093</v>
      </c>
      <c r="T308" s="8" t="s">
        <v>3094</v>
      </c>
      <c r="U308" s="8"/>
      <c r="V308" s="8" t="n">
        <f aca="false">COUNTA(M308:R308)</f>
        <v>6</v>
      </c>
      <c r="W308" s="8" t="s">
        <v>218</v>
      </c>
      <c r="X308" s="8" t="s">
        <v>259</v>
      </c>
      <c r="Y308" s="8" t="s">
        <v>218</v>
      </c>
      <c r="Z308" s="8"/>
      <c r="AA308" s="8" t="s">
        <v>3095</v>
      </c>
      <c r="AB308" s="20" t="s">
        <v>3096</v>
      </c>
      <c r="AC308" s="20" t="s">
        <v>1174</v>
      </c>
      <c r="AD308" s="20" t="s">
        <v>2987</v>
      </c>
      <c r="AE308" s="8" t="s">
        <v>223</v>
      </c>
      <c r="AF308" s="8" t="s">
        <v>224</v>
      </c>
    </row>
    <row r="309" customFormat="false" ht="15" hidden="false" customHeight="false" outlineLevel="0" collapsed="false">
      <c r="A309" s="8" t="s">
        <v>3097</v>
      </c>
      <c r="B309" s="8" t="s">
        <v>3098</v>
      </c>
      <c r="C309" s="8"/>
      <c r="D309" s="8" t="s">
        <v>2859</v>
      </c>
      <c r="E309" s="8"/>
      <c r="F309" s="8" t="s">
        <v>70</v>
      </c>
      <c r="G309" s="8" t="s">
        <v>2533</v>
      </c>
      <c r="H309" s="8" t="s">
        <v>80</v>
      </c>
      <c r="I309" s="8" t="s">
        <v>1030</v>
      </c>
      <c r="J309" s="8" t="n">
        <v>2</v>
      </c>
      <c r="K309" s="8" t="n">
        <v>3</v>
      </c>
      <c r="L309" s="18" t="n">
        <f aca="false">INDEX('All Items'!$Q:$Q,MATCH($A309,'All Items'!$A:$A,0))</f>
        <v>6.65</v>
      </c>
      <c r="M309" s="8" t="s">
        <v>3082</v>
      </c>
      <c r="N309" s="8" t="s">
        <v>3099</v>
      </c>
      <c r="O309" s="8" t="s">
        <v>3100</v>
      </c>
      <c r="P309" s="8" t="s">
        <v>3101</v>
      </c>
      <c r="Q309" s="8" t="s">
        <v>3102</v>
      </c>
      <c r="R309" s="8" t="s">
        <v>2865</v>
      </c>
      <c r="S309" s="19" t="s">
        <v>3103</v>
      </c>
      <c r="T309" s="8" t="s">
        <v>3082</v>
      </c>
      <c r="U309" s="8"/>
      <c r="V309" s="8" t="n">
        <f aca="false">COUNTA(M309:R309)</f>
        <v>6</v>
      </c>
      <c r="W309" s="8" t="s">
        <v>218</v>
      </c>
      <c r="X309" s="8" t="s">
        <v>259</v>
      </c>
      <c r="Y309" s="8" t="s">
        <v>218</v>
      </c>
      <c r="Z309" s="8"/>
      <c r="AA309" s="8" t="s">
        <v>3104</v>
      </c>
      <c r="AB309" s="20" t="s">
        <v>3105</v>
      </c>
      <c r="AC309" s="20" t="s">
        <v>527</v>
      </c>
      <c r="AD309" s="20" t="s">
        <v>2987</v>
      </c>
      <c r="AE309" s="8" t="s">
        <v>223</v>
      </c>
      <c r="AF309" s="8" t="s">
        <v>224</v>
      </c>
    </row>
    <row r="310" customFormat="false" ht="15" hidden="false" customHeight="false" outlineLevel="0" collapsed="false">
      <c r="A310" s="8" t="s">
        <v>3106</v>
      </c>
      <c r="B310" s="8" t="s">
        <v>3107</v>
      </c>
      <c r="C310" s="8"/>
      <c r="D310" s="8" t="s">
        <v>2859</v>
      </c>
      <c r="E310" s="8"/>
      <c r="F310" s="8" t="s">
        <v>70</v>
      </c>
      <c r="G310" s="8" t="s">
        <v>2533</v>
      </c>
      <c r="H310" s="8" t="s">
        <v>80</v>
      </c>
      <c r="I310" s="8" t="s">
        <v>227</v>
      </c>
      <c r="J310" s="8" t="n">
        <v>2</v>
      </c>
      <c r="K310" s="8" t="n">
        <v>4</v>
      </c>
      <c r="L310" s="18" t="n">
        <f aca="false">INDEX('All Items'!$Q:$Q,MATCH($A310,'All Items'!$A:$A,0))</f>
        <v>8.2</v>
      </c>
      <c r="M310" s="8" t="s">
        <v>1363</v>
      </c>
      <c r="N310" s="8" t="s">
        <v>3108</v>
      </c>
      <c r="O310" s="8" t="s">
        <v>3109</v>
      </c>
      <c r="P310" s="8" t="s">
        <v>3110</v>
      </c>
      <c r="Q310" s="8" t="s">
        <v>345</v>
      </c>
      <c r="R310" s="8"/>
      <c r="S310" s="19" t="s">
        <v>3111</v>
      </c>
      <c r="T310" s="8" t="s">
        <v>3112</v>
      </c>
      <c r="U310" s="8" t="s">
        <v>3113</v>
      </c>
      <c r="V310" s="8" t="n">
        <f aca="false">COUNTA(M310:R310)</f>
        <v>5</v>
      </c>
      <c r="W310" s="8" t="s">
        <v>218</v>
      </c>
      <c r="X310" s="8" t="s">
        <v>259</v>
      </c>
      <c r="Y310" s="8" t="s">
        <v>218</v>
      </c>
      <c r="Z310" s="8"/>
      <c r="AA310" s="8" t="s">
        <v>3114</v>
      </c>
      <c r="AB310" s="20"/>
      <c r="AC310" s="20"/>
      <c r="AD310" s="20"/>
      <c r="AE310" s="8" t="s">
        <v>237</v>
      </c>
      <c r="AF310" s="8" t="s">
        <v>224</v>
      </c>
    </row>
    <row r="311" customFormat="false" ht="15" hidden="false" customHeight="false" outlineLevel="0" collapsed="false">
      <c r="A311" s="8" t="s">
        <v>3115</v>
      </c>
      <c r="B311" s="8" t="s">
        <v>3116</v>
      </c>
      <c r="C311" s="8"/>
      <c r="D311" s="8" t="s">
        <v>2859</v>
      </c>
      <c r="E311" s="8"/>
      <c r="F311" s="8" t="s">
        <v>70</v>
      </c>
      <c r="G311" s="8" t="s">
        <v>2533</v>
      </c>
      <c r="H311" s="8" t="s">
        <v>80</v>
      </c>
      <c r="I311" s="8" t="s">
        <v>1030</v>
      </c>
      <c r="J311" s="8" t="n">
        <v>3</v>
      </c>
      <c r="K311" s="8" t="n">
        <v>3</v>
      </c>
      <c r="L311" s="18" t="n">
        <f aca="false">INDEX('All Items'!$Q:$Q,MATCH($A311,'All Items'!$A:$A,0))</f>
        <v>7.15</v>
      </c>
      <c r="M311" s="8" t="s">
        <v>3117</v>
      </c>
      <c r="N311" s="8" t="s">
        <v>3118</v>
      </c>
      <c r="O311" s="8" t="s">
        <v>3119</v>
      </c>
      <c r="P311" s="8" t="s">
        <v>3120</v>
      </c>
      <c r="Q311" s="8" t="s">
        <v>3121</v>
      </c>
      <c r="R311" s="8"/>
      <c r="S311" s="19" t="s">
        <v>3122</v>
      </c>
      <c r="T311" s="8" t="s">
        <v>3123</v>
      </c>
      <c r="U311" s="8"/>
      <c r="V311" s="8" t="n">
        <f aca="false">COUNTA(M311:R311)</f>
        <v>5</v>
      </c>
      <c r="W311" s="8" t="s">
        <v>218</v>
      </c>
      <c r="X311" s="8" t="s">
        <v>259</v>
      </c>
      <c r="Y311" s="8" t="s">
        <v>218</v>
      </c>
      <c r="Z311" s="8"/>
      <c r="AA311" s="8" t="s">
        <v>3124</v>
      </c>
      <c r="AB311" s="20"/>
      <c r="AC311" s="20"/>
      <c r="AD311" s="20"/>
      <c r="AE311" s="8" t="s">
        <v>237</v>
      </c>
      <c r="AF311" s="8" t="s">
        <v>224</v>
      </c>
    </row>
    <row r="312" customFormat="false" ht="15" hidden="false" customHeight="false" outlineLevel="0" collapsed="false">
      <c r="A312" s="8" t="s">
        <v>3125</v>
      </c>
      <c r="B312" s="8" t="s">
        <v>3126</v>
      </c>
      <c r="C312" s="8"/>
      <c r="D312" s="8" t="s">
        <v>2859</v>
      </c>
      <c r="E312" s="8"/>
      <c r="F312" s="8" t="s">
        <v>70</v>
      </c>
      <c r="G312" s="8" t="s">
        <v>2533</v>
      </c>
      <c r="H312" s="8" t="s">
        <v>81</v>
      </c>
      <c r="I312" s="8" t="s">
        <v>208</v>
      </c>
      <c r="J312" s="8" t="n">
        <v>2</v>
      </c>
      <c r="K312" s="8" t="n">
        <v>3</v>
      </c>
      <c r="L312" s="18" t="n">
        <f aca="false">INDEX('All Items'!$Q:$Q,MATCH($A312,'All Items'!$A:$A,0))</f>
        <v>7.4</v>
      </c>
      <c r="M312" s="8" t="s">
        <v>3127</v>
      </c>
      <c r="N312" s="8" t="s">
        <v>1008</v>
      </c>
      <c r="O312" s="8" t="s">
        <v>2624</v>
      </c>
      <c r="P312" s="8" t="s">
        <v>3128</v>
      </c>
      <c r="Q312" s="8" t="s">
        <v>3129</v>
      </c>
      <c r="R312" s="8" t="s">
        <v>3130</v>
      </c>
      <c r="S312" s="19" t="s">
        <v>3131</v>
      </c>
      <c r="T312" s="8" t="s">
        <v>3132</v>
      </c>
      <c r="U312" s="8" t="s">
        <v>3130</v>
      </c>
      <c r="V312" s="8" t="n">
        <f aca="false">COUNTA(M312:R312)</f>
        <v>6</v>
      </c>
      <c r="W312" s="8" t="s">
        <v>218</v>
      </c>
      <c r="X312" s="8" t="s">
        <v>259</v>
      </c>
      <c r="Y312" s="8" t="s">
        <v>218</v>
      </c>
      <c r="Z312" s="8"/>
      <c r="AA312" s="8" t="s">
        <v>3133</v>
      </c>
      <c r="AB312" s="20" t="s">
        <v>3134</v>
      </c>
      <c r="AC312" s="20" t="s">
        <v>221</v>
      </c>
      <c r="AD312" s="20" t="s">
        <v>2888</v>
      </c>
      <c r="AE312" s="8" t="s">
        <v>223</v>
      </c>
      <c r="AF312" s="8" t="s">
        <v>224</v>
      </c>
    </row>
    <row r="313" customFormat="false" ht="15" hidden="false" customHeight="false" outlineLevel="0" collapsed="false">
      <c r="A313" s="8" t="s">
        <v>3135</v>
      </c>
      <c r="B313" s="8" t="s">
        <v>3136</v>
      </c>
      <c r="C313" s="8"/>
      <c r="D313" s="8" t="s">
        <v>3137</v>
      </c>
      <c r="E313" s="8"/>
      <c r="F313" s="8" t="s">
        <v>70</v>
      </c>
      <c r="G313" s="8" t="s">
        <v>2533</v>
      </c>
      <c r="H313" s="8" t="s">
        <v>85</v>
      </c>
      <c r="I313" s="8" t="s">
        <v>208</v>
      </c>
      <c r="J313" s="8" t="n">
        <v>1</v>
      </c>
      <c r="K313" s="8" t="n">
        <v>4</v>
      </c>
      <c r="L313" s="18" t="n">
        <f aca="false">INDEX('All Items'!$Q:$Q,MATCH($A313,'All Items'!$A:$A,0))</f>
        <v>8.7</v>
      </c>
      <c r="M313" s="8" t="s">
        <v>1969</v>
      </c>
      <c r="N313" s="8" t="s">
        <v>2623</v>
      </c>
      <c r="O313" s="8" t="s">
        <v>3138</v>
      </c>
      <c r="P313" s="8" t="s">
        <v>3139</v>
      </c>
      <c r="Q313" s="8" t="s">
        <v>3140</v>
      </c>
      <c r="R313" s="8" t="s">
        <v>3141</v>
      </c>
      <c r="S313" s="19" t="s">
        <v>3142</v>
      </c>
      <c r="T313" s="8" t="s">
        <v>3143</v>
      </c>
      <c r="U313" s="8"/>
      <c r="V313" s="8" t="n">
        <f aca="false">COUNTA(M313:R313)</f>
        <v>6</v>
      </c>
      <c r="W313" s="8" t="s">
        <v>218</v>
      </c>
      <c r="X313" s="8" t="s">
        <v>259</v>
      </c>
      <c r="Y313" s="8" t="s">
        <v>218</v>
      </c>
      <c r="Z313" s="8"/>
      <c r="AA313" s="8" t="s">
        <v>3144</v>
      </c>
      <c r="AB313" s="20" t="s">
        <v>3145</v>
      </c>
      <c r="AC313" s="20" t="s">
        <v>384</v>
      </c>
      <c r="AD313" s="20" t="s">
        <v>3146</v>
      </c>
      <c r="AE313" s="8" t="s">
        <v>223</v>
      </c>
      <c r="AF313" s="8" t="s">
        <v>224</v>
      </c>
    </row>
    <row r="314" customFormat="false" ht="15" hidden="false" customHeight="false" outlineLevel="0" collapsed="false">
      <c r="A314" s="8" t="s">
        <v>3147</v>
      </c>
      <c r="B314" s="8" t="s">
        <v>3148</v>
      </c>
      <c r="C314" s="8"/>
      <c r="D314" s="8" t="s">
        <v>3137</v>
      </c>
      <c r="E314" s="8"/>
      <c r="F314" s="8" t="s">
        <v>70</v>
      </c>
      <c r="G314" s="8" t="s">
        <v>2533</v>
      </c>
      <c r="H314" s="8" t="s">
        <v>86</v>
      </c>
      <c r="I314" s="8" t="s">
        <v>208</v>
      </c>
      <c r="J314" s="8" t="n">
        <v>1</v>
      </c>
      <c r="K314" s="8" t="n">
        <v>5</v>
      </c>
      <c r="L314" s="18" t="n">
        <f aca="false">INDEX('All Items'!$Q:$Q,MATCH($A314,'All Items'!$A:$A,0))</f>
        <v>9.75</v>
      </c>
      <c r="M314" s="8" t="s">
        <v>1781</v>
      </c>
      <c r="N314" s="8" t="s">
        <v>3149</v>
      </c>
      <c r="O314" s="8" t="s">
        <v>3150</v>
      </c>
      <c r="P314" s="8" t="s">
        <v>3151</v>
      </c>
      <c r="Q314" s="8" t="s">
        <v>3152</v>
      </c>
      <c r="R314" s="8" t="s">
        <v>3153</v>
      </c>
      <c r="S314" s="19" t="s">
        <v>3154</v>
      </c>
      <c r="T314" s="8" t="s">
        <v>3155</v>
      </c>
      <c r="U314" s="8"/>
      <c r="V314" s="8" t="n">
        <f aca="false">COUNTA(M314:R314)</f>
        <v>6</v>
      </c>
      <c r="W314" s="8" t="s">
        <v>218</v>
      </c>
      <c r="X314" s="8" t="s">
        <v>259</v>
      </c>
      <c r="Y314" s="8" t="s">
        <v>218</v>
      </c>
      <c r="Z314" s="8"/>
      <c r="AA314" s="8" t="s">
        <v>3156</v>
      </c>
      <c r="AB314" s="20"/>
      <c r="AC314" s="20"/>
      <c r="AD314" s="20"/>
      <c r="AE314" s="8" t="s">
        <v>237</v>
      </c>
      <c r="AF314" s="8" t="s">
        <v>224</v>
      </c>
    </row>
    <row r="315" customFormat="false" ht="15" hidden="false" customHeight="false" outlineLevel="0" collapsed="false">
      <c r="A315" s="8" t="s">
        <v>3157</v>
      </c>
      <c r="B315" s="8" t="s">
        <v>3158</v>
      </c>
      <c r="C315" s="8"/>
      <c r="D315" s="8" t="s">
        <v>3137</v>
      </c>
      <c r="E315" s="8"/>
      <c r="F315" s="8" t="s">
        <v>70</v>
      </c>
      <c r="G315" s="8" t="s">
        <v>2533</v>
      </c>
      <c r="H315" s="8" t="s">
        <v>78</v>
      </c>
      <c r="I315" s="8" t="s">
        <v>208</v>
      </c>
      <c r="J315" s="8" t="n">
        <v>1</v>
      </c>
      <c r="K315" s="8" t="n">
        <v>4</v>
      </c>
      <c r="L315" s="18" t="n">
        <f aca="false">INDEX('All Items'!$Q:$Q,MATCH($A315,'All Items'!$A:$A,0))</f>
        <v>8.45</v>
      </c>
      <c r="M315" s="8" t="s">
        <v>2317</v>
      </c>
      <c r="N315" s="8" t="s">
        <v>686</v>
      </c>
      <c r="O315" s="8" t="s">
        <v>3159</v>
      </c>
      <c r="P315" s="8" t="s">
        <v>3160</v>
      </c>
      <c r="Q315" s="8" t="s">
        <v>3161</v>
      </c>
      <c r="R315" s="8" t="s">
        <v>3162</v>
      </c>
      <c r="S315" s="19" t="s">
        <v>3163</v>
      </c>
      <c r="T315" s="8" t="s">
        <v>3164</v>
      </c>
      <c r="U315" s="8"/>
      <c r="V315" s="8" t="n">
        <f aca="false">COUNTA(M315:R315)</f>
        <v>6</v>
      </c>
      <c r="W315" s="8" t="s">
        <v>218</v>
      </c>
      <c r="X315" s="8" t="s">
        <v>259</v>
      </c>
      <c r="Y315" s="8" t="s">
        <v>218</v>
      </c>
      <c r="Z315" s="8"/>
      <c r="AA315" s="8" t="s">
        <v>3165</v>
      </c>
      <c r="AB315" s="20"/>
      <c r="AC315" s="20"/>
      <c r="AD315" s="20"/>
      <c r="AE315" s="8" t="s">
        <v>237</v>
      </c>
      <c r="AF315" s="8" t="s">
        <v>224</v>
      </c>
    </row>
    <row r="316" customFormat="false" ht="15" hidden="false" customHeight="false" outlineLevel="0" collapsed="false">
      <c r="A316" s="8" t="s">
        <v>3166</v>
      </c>
      <c r="B316" s="8" t="s">
        <v>3167</v>
      </c>
      <c r="C316" s="8"/>
      <c r="D316" s="8" t="s">
        <v>3137</v>
      </c>
      <c r="E316" s="8"/>
      <c r="F316" s="8" t="s">
        <v>70</v>
      </c>
      <c r="G316" s="8" t="s">
        <v>2533</v>
      </c>
      <c r="H316" s="8" t="s">
        <v>78</v>
      </c>
      <c r="I316" s="8" t="s">
        <v>208</v>
      </c>
      <c r="J316" s="8" t="n">
        <v>1</v>
      </c>
      <c r="K316" s="8" t="n">
        <v>4</v>
      </c>
      <c r="L316" s="18" t="n">
        <f aca="false">INDEX('All Items'!$Q:$Q,MATCH($A316,'All Items'!$A:$A,0))</f>
        <v>8.45</v>
      </c>
      <c r="M316" s="8" t="s">
        <v>2317</v>
      </c>
      <c r="N316" s="8" t="s">
        <v>3168</v>
      </c>
      <c r="O316" s="8" t="s">
        <v>3169</v>
      </c>
      <c r="P316" s="8" t="s">
        <v>3170</v>
      </c>
      <c r="Q316" s="8" t="s">
        <v>213</v>
      </c>
      <c r="R316" s="8"/>
      <c r="S316" s="19" t="s">
        <v>3171</v>
      </c>
      <c r="T316" s="8" t="s">
        <v>3172</v>
      </c>
      <c r="U316" s="8" t="s">
        <v>3173</v>
      </c>
      <c r="V316" s="8" t="n">
        <f aca="false">COUNTA(M316:R316)</f>
        <v>5</v>
      </c>
      <c r="W316" s="8" t="s">
        <v>218</v>
      </c>
      <c r="X316" s="8" t="s">
        <v>259</v>
      </c>
      <c r="Y316" s="8" t="s">
        <v>218</v>
      </c>
      <c r="Z316" s="8"/>
      <c r="AA316" s="8" t="s">
        <v>3174</v>
      </c>
      <c r="AB316" s="20"/>
      <c r="AC316" s="20"/>
      <c r="AD316" s="20"/>
      <c r="AE316" s="8" t="s">
        <v>237</v>
      </c>
      <c r="AF316" s="8" t="s">
        <v>224</v>
      </c>
    </row>
    <row r="317" customFormat="false" ht="15" hidden="false" customHeight="false" outlineLevel="0" collapsed="false">
      <c r="A317" s="8" t="s">
        <v>3175</v>
      </c>
      <c r="B317" s="8" t="s">
        <v>3176</v>
      </c>
      <c r="C317" s="8"/>
      <c r="D317" s="8" t="s">
        <v>3137</v>
      </c>
      <c r="E317" s="8"/>
      <c r="F317" s="8" t="s">
        <v>70</v>
      </c>
      <c r="G317" s="8" t="s">
        <v>2533</v>
      </c>
      <c r="H317" s="8" t="s">
        <v>81</v>
      </c>
      <c r="I317" s="8" t="s">
        <v>208</v>
      </c>
      <c r="J317" s="8" t="n">
        <v>1</v>
      </c>
      <c r="K317" s="8" t="n">
        <v>4</v>
      </c>
      <c r="L317" s="18" t="n">
        <f aca="false">INDEX('All Items'!$Q:$Q,MATCH($A317,'All Items'!$A:$A,0))</f>
        <v>8.45</v>
      </c>
      <c r="M317" s="8" t="s">
        <v>1781</v>
      </c>
      <c r="N317" s="8" t="s">
        <v>2912</v>
      </c>
      <c r="O317" s="8" t="s">
        <v>3139</v>
      </c>
      <c r="P317" s="8" t="s">
        <v>1775</v>
      </c>
      <c r="Q317" s="8" t="s">
        <v>3177</v>
      </c>
      <c r="R317" s="8" t="s">
        <v>3178</v>
      </c>
      <c r="S317" s="19" t="s">
        <v>3179</v>
      </c>
      <c r="T317" s="8" t="s">
        <v>3180</v>
      </c>
      <c r="U317" s="8"/>
      <c r="V317" s="8" t="n">
        <f aca="false">COUNTA(M317:R317)</f>
        <v>6</v>
      </c>
      <c r="W317" s="8" t="s">
        <v>218</v>
      </c>
      <c r="X317" s="8" t="s">
        <v>259</v>
      </c>
      <c r="Y317" s="8" t="s">
        <v>218</v>
      </c>
      <c r="Z317" s="8"/>
      <c r="AA317" s="8" t="s">
        <v>3181</v>
      </c>
      <c r="AB317" s="20" t="s">
        <v>3182</v>
      </c>
      <c r="AC317" s="20" t="s">
        <v>527</v>
      </c>
      <c r="AD317" s="20" t="s">
        <v>2722</v>
      </c>
      <c r="AE317" s="8" t="s">
        <v>223</v>
      </c>
      <c r="AF317" s="8" t="s">
        <v>224</v>
      </c>
    </row>
    <row r="318" customFormat="false" ht="15" hidden="false" customHeight="false" outlineLevel="0" collapsed="false">
      <c r="A318" s="8" t="s">
        <v>3183</v>
      </c>
      <c r="B318" s="8" t="s">
        <v>3184</v>
      </c>
      <c r="C318" s="8"/>
      <c r="D318" s="8" t="s">
        <v>3137</v>
      </c>
      <c r="E318" s="8"/>
      <c r="F318" s="8" t="s">
        <v>70</v>
      </c>
      <c r="G318" s="8" t="s">
        <v>2533</v>
      </c>
      <c r="H318" s="8" t="s">
        <v>86</v>
      </c>
      <c r="I318" s="8" t="s">
        <v>208</v>
      </c>
      <c r="J318" s="8" t="n">
        <v>1</v>
      </c>
      <c r="K318" s="8" t="n">
        <v>3</v>
      </c>
      <c r="L318" s="18" t="n">
        <f aca="false">INDEX('All Items'!$Q:$Q,MATCH($A318,'All Items'!$A:$A,0))</f>
        <v>7.4</v>
      </c>
      <c r="M318" s="8" t="s">
        <v>1969</v>
      </c>
      <c r="N318" s="8" t="s">
        <v>1167</v>
      </c>
      <c r="O318" s="8" t="s">
        <v>1307</v>
      </c>
      <c r="P318" s="8" t="s">
        <v>3185</v>
      </c>
      <c r="Q318" s="8" t="s">
        <v>3186</v>
      </c>
      <c r="R318" s="8" t="s">
        <v>3187</v>
      </c>
      <c r="S318" s="19" t="s">
        <v>3188</v>
      </c>
      <c r="T318" s="8" t="s">
        <v>3189</v>
      </c>
      <c r="U318" s="8"/>
      <c r="V318" s="8" t="n">
        <f aca="false">COUNTA(M318:R318)</f>
        <v>6</v>
      </c>
      <c r="W318" s="8" t="s">
        <v>218</v>
      </c>
      <c r="X318" s="8" t="s">
        <v>259</v>
      </c>
      <c r="Y318" s="8" t="s">
        <v>218</v>
      </c>
      <c r="Z318" s="8"/>
      <c r="AA318" s="8" t="s">
        <v>3190</v>
      </c>
      <c r="AB318" s="20"/>
      <c r="AC318" s="20"/>
      <c r="AD318" s="20"/>
      <c r="AE318" s="8" t="s">
        <v>237</v>
      </c>
      <c r="AF318" s="8" t="s">
        <v>224</v>
      </c>
    </row>
    <row r="319" customFormat="false" ht="15" hidden="false" customHeight="false" outlineLevel="0" collapsed="false">
      <c r="A319" s="8" t="s">
        <v>3191</v>
      </c>
      <c r="B319" s="8" t="s">
        <v>3192</v>
      </c>
      <c r="C319" s="8"/>
      <c r="D319" s="8" t="s">
        <v>3137</v>
      </c>
      <c r="E319" s="8"/>
      <c r="F319" s="8" t="s">
        <v>70</v>
      </c>
      <c r="G319" s="8" t="s">
        <v>2533</v>
      </c>
      <c r="H319" s="8" t="s">
        <v>83</v>
      </c>
      <c r="I319" s="8" t="s">
        <v>208</v>
      </c>
      <c r="J319" s="8" t="n">
        <v>1</v>
      </c>
      <c r="K319" s="8" t="n">
        <v>3</v>
      </c>
      <c r="L319" s="18" t="n">
        <f aca="false">INDEX('All Items'!$Q:$Q,MATCH($A319,'All Items'!$A:$A,0))</f>
        <v>7.15</v>
      </c>
      <c r="M319" s="8" t="s">
        <v>2979</v>
      </c>
      <c r="N319" s="8" t="s">
        <v>1008</v>
      </c>
      <c r="O319" s="8" t="s">
        <v>3150</v>
      </c>
      <c r="P319" s="8" t="s">
        <v>3193</v>
      </c>
      <c r="Q319" s="8" t="s">
        <v>3187</v>
      </c>
      <c r="R319" s="8" t="s">
        <v>3194</v>
      </c>
      <c r="S319" s="19" t="s">
        <v>3195</v>
      </c>
      <c r="T319" s="8" t="s">
        <v>3196</v>
      </c>
      <c r="U319" s="8" t="s">
        <v>3194</v>
      </c>
      <c r="V319" s="8" t="n">
        <f aca="false">COUNTA(M319:R319)</f>
        <v>6</v>
      </c>
      <c r="W319" s="8" t="s">
        <v>218</v>
      </c>
      <c r="X319" s="8" t="s">
        <v>259</v>
      </c>
      <c r="Y319" s="8" t="s">
        <v>218</v>
      </c>
      <c r="Z319" s="8"/>
      <c r="AA319" s="8" t="s">
        <v>3197</v>
      </c>
      <c r="AB319" s="20"/>
      <c r="AC319" s="20"/>
      <c r="AD319" s="20"/>
      <c r="AE319" s="8" t="s">
        <v>237</v>
      </c>
      <c r="AF319" s="8" t="s">
        <v>224</v>
      </c>
    </row>
    <row r="320" customFormat="false" ht="15" hidden="false" customHeight="false" outlineLevel="0" collapsed="false">
      <c r="A320" s="8" t="s">
        <v>3198</v>
      </c>
      <c r="B320" s="8" t="s">
        <v>3199</v>
      </c>
      <c r="C320" s="8"/>
      <c r="D320" s="8" t="s">
        <v>3137</v>
      </c>
      <c r="E320" s="8"/>
      <c r="F320" s="8" t="s">
        <v>70</v>
      </c>
      <c r="G320" s="8" t="s">
        <v>2533</v>
      </c>
      <c r="H320" s="8" t="s">
        <v>78</v>
      </c>
      <c r="I320" s="8" t="s">
        <v>208</v>
      </c>
      <c r="J320" s="8" t="n">
        <v>1</v>
      </c>
      <c r="K320" s="8" t="n">
        <v>3</v>
      </c>
      <c r="L320" s="18" t="n">
        <f aca="false">INDEX('All Items'!$Q:$Q,MATCH($A320,'All Items'!$A:$A,0))</f>
        <v>7.15</v>
      </c>
      <c r="M320" s="8" t="s">
        <v>3200</v>
      </c>
      <c r="N320" s="8" t="s">
        <v>3201</v>
      </c>
      <c r="O320" s="8" t="s">
        <v>3202</v>
      </c>
      <c r="P320" s="8" t="s">
        <v>2686</v>
      </c>
      <c r="Q320" s="8" t="s">
        <v>3203</v>
      </c>
      <c r="R320" s="8" t="s">
        <v>3162</v>
      </c>
      <c r="S320" s="19" t="s">
        <v>3204</v>
      </c>
      <c r="T320" s="8" t="s">
        <v>3205</v>
      </c>
      <c r="U320" s="8"/>
      <c r="V320" s="8" t="n">
        <f aca="false">COUNTA(M320:R320)</f>
        <v>6</v>
      </c>
      <c r="W320" s="8" t="s">
        <v>218</v>
      </c>
      <c r="X320" s="8" t="s">
        <v>259</v>
      </c>
      <c r="Y320" s="8" t="s">
        <v>218</v>
      </c>
      <c r="Z320" s="8"/>
      <c r="AA320" s="8" t="s">
        <v>3206</v>
      </c>
      <c r="AB320" s="20" t="s">
        <v>3207</v>
      </c>
      <c r="AC320" s="20" t="s">
        <v>527</v>
      </c>
      <c r="AD320" s="20" t="s">
        <v>3208</v>
      </c>
      <c r="AE320" s="8" t="s">
        <v>223</v>
      </c>
      <c r="AF320" s="8" t="s">
        <v>224</v>
      </c>
    </row>
    <row r="321" customFormat="false" ht="15" hidden="false" customHeight="false" outlineLevel="0" collapsed="false">
      <c r="A321" s="8" t="s">
        <v>3209</v>
      </c>
      <c r="B321" s="8" t="s">
        <v>3210</v>
      </c>
      <c r="C321" s="8"/>
      <c r="D321" s="8" t="s">
        <v>3137</v>
      </c>
      <c r="E321" s="8"/>
      <c r="F321" s="8" t="s">
        <v>70</v>
      </c>
      <c r="G321" s="8" t="s">
        <v>2533</v>
      </c>
      <c r="H321" s="8" t="s">
        <v>83</v>
      </c>
      <c r="I321" s="8" t="s">
        <v>208</v>
      </c>
      <c r="J321" s="8" t="n">
        <v>2</v>
      </c>
      <c r="K321" s="8" t="n">
        <v>3</v>
      </c>
      <c r="L321" s="18" t="n">
        <f aca="false">INDEX('All Items'!$Q:$Q,MATCH($A321,'All Items'!$A:$A,0))</f>
        <v>7.4</v>
      </c>
      <c r="M321" s="8" t="s">
        <v>3211</v>
      </c>
      <c r="N321" s="8" t="s">
        <v>3150</v>
      </c>
      <c r="O321" s="8" t="s">
        <v>3212</v>
      </c>
      <c r="P321" s="8" t="s">
        <v>3213</v>
      </c>
      <c r="Q321" s="8" t="s">
        <v>3214</v>
      </c>
      <c r="R321" s="8" t="s">
        <v>3187</v>
      </c>
      <c r="S321" s="19" t="s">
        <v>3215</v>
      </c>
      <c r="T321" s="8" t="s">
        <v>3216</v>
      </c>
      <c r="U321" s="8"/>
      <c r="V321" s="8" t="n">
        <f aca="false">COUNTA(M321:R321)</f>
        <v>6</v>
      </c>
      <c r="W321" s="8" t="s">
        <v>218</v>
      </c>
      <c r="X321" s="8" t="s">
        <v>259</v>
      </c>
      <c r="Y321" s="8" t="s">
        <v>218</v>
      </c>
      <c r="Z321" s="8"/>
      <c r="AA321" s="8" t="s">
        <v>3217</v>
      </c>
      <c r="AB321" s="20"/>
      <c r="AC321" s="20"/>
      <c r="AD321" s="20"/>
      <c r="AE321" s="8" t="s">
        <v>237</v>
      </c>
      <c r="AF321" s="8" t="s">
        <v>224</v>
      </c>
    </row>
    <row r="322" customFormat="false" ht="15" hidden="false" customHeight="false" outlineLevel="0" collapsed="false">
      <c r="A322" s="8" t="s">
        <v>3218</v>
      </c>
      <c r="B322" s="8" t="s">
        <v>3219</v>
      </c>
      <c r="C322" s="8"/>
      <c r="D322" s="8" t="s">
        <v>3137</v>
      </c>
      <c r="E322" s="8"/>
      <c r="F322" s="8" t="s">
        <v>70</v>
      </c>
      <c r="G322" s="8" t="s">
        <v>2533</v>
      </c>
      <c r="H322" s="8" t="s">
        <v>78</v>
      </c>
      <c r="I322" s="8" t="s">
        <v>208</v>
      </c>
      <c r="J322" s="8" t="n">
        <v>2</v>
      </c>
      <c r="K322" s="8" t="n">
        <v>3</v>
      </c>
      <c r="L322" s="18" t="n">
        <f aca="false">INDEX('All Items'!$Q:$Q,MATCH($A322,'All Items'!$A:$A,0))</f>
        <v>7.15</v>
      </c>
      <c r="M322" s="8" t="s">
        <v>2317</v>
      </c>
      <c r="N322" s="8" t="s">
        <v>3159</v>
      </c>
      <c r="O322" s="8" t="s">
        <v>686</v>
      </c>
      <c r="P322" s="8" t="s">
        <v>3220</v>
      </c>
      <c r="Q322" s="8" t="s">
        <v>3221</v>
      </c>
      <c r="R322" s="8" t="s">
        <v>3162</v>
      </c>
      <c r="S322" s="19" t="s">
        <v>3222</v>
      </c>
      <c r="T322" s="8" t="s">
        <v>3223</v>
      </c>
      <c r="U322" s="8"/>
      <c r="V322" s="8" t="n">
        <f aca="false">COUNTA(M322:R322)</f>
        <v>6</v>
      </c>
      <c r="W322" s="8" t="s">
        <v>218</v>
      </c>
      <c r="X322" s="8" t="s">
        <v>259</v>
      </c>
      <c r="Y322" s="8" t="s">
        <v>218</v>
      </c>
      <c r="Z322" s="8"/>
      <c r="AA322" s="8" t="s">
        <v>3224</v>
      </c>
      <c r="AB322" s="20"/>
      <c r="AC322" s="20"/>
      <c r="AD322" s="20"/>
      <c r="AE322" s="8" t="s">
        <v>237</v>
      </c>
      <c r="AF322" s="8" t="s">
        <v>224</v>
      </c>
    </row>
    <row r="323" customFormat="false" ht="15" hidden="false" customHeight="false" outlineLevel="0" collapsed="false">
      <c r="A323" s="8" t="s">
        <v>3225</v>
      </c>
      <c r="B323" s="8" t="s">
        <v>3226</v>
      </c>
      <c r="C323" s="8"/>
      <c r="D323" s="8" t="s">
        <v>3137</v>
      </c>
      <c r="E323" s="8"/>
      <c r="F323" s="8" t="s">
        <v>70</v>
      </c>
      <c r="G323" s="8" t="s">
        <v>2533</v>
      </c>
      <c r="H323" s="8" t="s">
        <v>83</v>
      </c>
      <c r="I323" s="8" t="s">
        <v>208</v>
      </c>
      <c r="J323" s="8" t="n">
        <v>2</v>
      </c>
      <c r="K323" s="8" t="n">
        <v>3</v>
      </c>
      <c r="L323" s="18" t="n">
        <f aca="false">INDEX('All Items'!$Q:$Q,MATCH($A323,'All Items'!$A:$A,0))</f>
        <v>7.15</v>
      </c>
      <c r="M323" s="8" t="s">
        <v>3227</v>
      </c>
      <c r="N323" s="8" t="s">
        <v>3228</v>
      </c>
      <c r="O323" s="8" t="s">
        <v>2780</v>
      </c>
      <c r="P323" s="8" t="s">
        <v>3229</v>
      </c>
      <c r="Q323" s="8" t="s">
        <v>3230</v>
      </c>
      <c r="R323" s="8" t="s">
        <v>3231</v>
      </c>
      <c r="S323" s="19" t="s">
        <v>3232</v>
      </c>
      <c r="T323" s="8" t="s">
        <v>3233</v>
      </c>
      <c r="U323" s="8"/>
      <c r="V323" s="8" t="n">
        <f aca="false">COUNTA(M323:R323)</f>
        <v>6</v>
      </c>
      <c r="W323" s="8" t="s">
        <v>218</v>
      </c>
      <c r="X323" s="8" t="s">
        <v>259</v>
      </c>
      <c r="Y323" s="8" t="s">
        <v>218</v>
      </c>
      <c r="Z323" s="8"/>
      <c r="AA323" s="8" t="s">
        <v>3234</v>
      </c>
      <c r="AB323" s="20" t="s">
        <v>3235</v>
      </c>
      <c r="AC323" s="20" t="s">
        <v>527</v>
      </c>
      <c r="AD323" s="20" t="s">
        <v>3236</v>
      </c>
      <c r="AE323" s="8" t="s">
        <v>223</v>
      </c>
      <c r="AF323" s="8" t="s">
        <v>224</v>
      </c>
    </row>
    <row r="324" customFormat="false" ht="15" hidden="false" customHeight="false" outlineLevel="0" collapsed="false">
      <c r="A324" s="8" t="s">
        <v>3237</v>
      </c>
      <c r="B324" s="8" t="s">
        <v>3238</v>
      </c>
      <c r="C324" s="8"/>
      <c r="D324" s="8" t="s">
        <v>3137</v>
      </c>
      <c r="E324" s="8"/>
      <c r="F324" s="8" t="s">
        <v>70</v>
      </c>
      <c r="G324" s="8" t="s">
        <v>2533</v>
      </c>
      <c r="H324" s="8" t="s">
        <v>79</v>
      </c>
      <c r="I324" s="8" t="s">
        <v>208</v>
      </c>
      <c r="J324" s="8" t="n">
        <v>1</v>
      </c>
      <c r="K324" s="8" t="n">
        <v>3</v>
      </c>
      <c r="L324" s="18" t="n">
        <f aca="false">INDEX('All Items'!$Q:$Q,MATCH($A324,'All Items'!$A:$A,0))</f>
        <v>7.4</v>
      </c>
      <c r="M324" s="8" t="s">
        <v>1167</v>
      </c>
      <c r="N324" s="8" t="s">
        <v>2862</v>
      </c>
      <c r="O324" s="8" t="s">
        <v>3239</v>
      </c>
      <c r="P324" s="8" t="s">
        <v>3240</v>
      </c>
      <c r="Q324" s="8" t="s">
        <v>3241</v>
      </c>
      <c r="R324" s="8" t="s">
        <v>3187</v>
      </c>
      <c r="S324" s="19" t="s">
        <v>3242</v>
      </c>
      <c r="T324" s="8" t="s">
        <v>3243</v>
      </c>
      <c r="U324" s="8"/>
      <c r="V324" s="8" t="n">
        <f aca="false">COUNTA(M324:R324)</f>
        <v>6</v>
      </c>
      <c r="W324" s="8" t="s">
        <v>218</v>
      </c>
      <c r="X324" s="8" t="s">
        <v>259</v>
      </c>
      <c r="Y324" s="8" t="s">
        <v>218</v>
      </c>
      <c r="Z324" s="8"/>
      <c r="AA324" s="8" t="s">
        <v>3244</v>
      </c>
      <c r="AB324" s="20" t="s">
        <v>3245</v>
      </c>
      <c r="AC324" s="20" t="s">
        <v>527</v>
      </c>
      <c r="AD324" s="20" t="s">
        <v>3246</v>
      </c>
      <c r="AE324" s="8" t="s">
        <v>223</v>
      </c>
      <c r="AF324" s="8" t="s">
        <v>224</v>
      </c>
    </row>
    <row r="325" customFormat="false" ht="15" hidden="false" customHeight="false" outlineLevel="0" collapsed="false">
      <c r="A325" s="8" t="s">
        <v>3247</v>
      </c>
      <c r="B325" s="8" t="s">
        <v>3248</v>
      </c>
      <c r="C325" s="8"/>
      <c r="D325" s="8" t="s">
        <v>3137</v>
      </c>
      <c r="E325" s="8"/>
      <c r="F325" s="8" t="s">
        <v>70</v>
      </c>
      <c r="G325" s="8" t="s">
        <v>2533</v>
      </c>
      <c r="H325" s="8" t="s">
        <v>79</v>
      </c>
      <c r="I325" s="8" t="s">
        <v>208</v>
      </c>
      <c r="J325" s="8" t="n">
        <v>2</v>
      </c>
      <c r="K325" s="8" t="n">
        <v>3</v>
      </c>
      <c r="L325" s="18" t="n">
        <f aca="false">INDEX('All Items'!$Q:$Q,MATCH($A325,'All Items'!$A:$A,0))</f>
        <v>7.15</v>
      </c>
      <c r="M325" s="8" t="s">
        <v>2585</v>
      </c>
      <c r="N325" s="8" t="s">
        <v>3249</v>
      </c>
      <c r="O325" s="8" t="s">
        <v>3250</v>
      </c>
      <c r="P325" s="8" t="s">
        <v>3251</v>
      </c>
      <c r="Q325" s="8" t="s">
        <v>3252</v>
      </c>
      <c r="R325" s="8" t="s">
        <v>3187</v>
      </c>
      <c r="S325" s="19" t="s">
        <v>3253</v>
      </c>
      <c r="T325" s="8" t="s">
        <v>3254</v>
      </c>
      <c r="U325" s="8"/>
      <c r="V325" s="8" t="n">
        <f aca="false">COUNTA(M325:R325)</f>
        <v>6</v>
      </c>
      <c r="W325" s="8" t="s">
        <v>218</v>
      </c>
      <c r="X325" s="8" t="s">
        <v>259</v>
      </c>
      <c r="Y325" s="8" t="s">
        <v>218</v>
      </c>
      <c r="Z325" s="8"/>
      <c r="AA325" s="8" t="s">
        <v>3255</v>
      </c>
      <c r="AB325" s="20"/>
      <c r="AC325" s="20"/>
      <c r="AD325" s="20"/>
      <c r="AE325" s="8" t="s">
        <v>237</v>
      </c>
      <c r="AF325" s="8" t="s">
        <v>224</v>
      </c>
    </row>
    <row r="326" customFormat="false" ht="15" hidden="false" customHeight="false" outlineLevel="0" collapsed="false">
      <c r="A326" s="8" t="s">
        <v>3256</v>
      </c>
      <c r="B326" s="8" t="s">
        <v>3257</v>
      </c>
      <c r="C326" s="8"/>
      <c r="D326" s="8" t="s">
        <v>3137</v>
      </c>
      <c r="E326" s="8"/>
      <c r="F326" s="8" t="s">
        <v>70</v>
      </c>
      <c r="G326" s="8" t="s">
        <v>2533</v>
      </c>
      <c r="H326" s="8" t="s">
        <v>78</v>
      </c>
      <c r="I326" s="8" t="s">
        <v>208</v>
      </c>
      <c r="J326" s="8" t="n">
        <v>2</v>
      </c>
      <c r="K326" s="8" t="n">
        <v>3</v>
      </c>
      <c r="L326" s="18" t="n">
        <f aca="false">INDEX('All Items'!$Q:$Q,MATCH($A326,'All Items'!$A:$A,0))</f>
        <v>7.4</v>
      </c>
      <c r="M326" s="8" t="s">
        <v>3159</v>
      </c>
      <c r="N326" s="8" t="s">
        <v>2009</v>
      </c>
      <c r="O326" s="8" t="s">
        <v>3258</v>
      </c>
      <c r="P326" s="8" t="s">
        <v>2924</v>
      </c>
      <c r="Q326" s="8" t="s">
        <v>3259</v>
      </c>
      <c r="R326" s="8" t="s">
        <v>3260</v>
      </c>
      <c r="S326" s="19" t="s">
        <v>3261</v>
      </c>
      <c r="T326" s="8" t="s">
        <v>3262</v>
      </c>
      <c r="U326" s="8"/>
      <c r="V326" s="8" t="n">
        <f aca="false">COUNTA(M326:R326)</f>
        <v>6</v>
      </c>
      <c r="W326" s="8" t="s">
        <v>218</v>
      </c>
      <c r="X326" s="8" t="s">
        <v>259</v>
      </c>
      <c r="Y326" s="8" t="s">
        <v>218</v>
      </c>
      <c r="Z326" s="8"/>
      <c r="AA326" s="8" t="s">
        <v>3263</v>
      </c>
      <c r="AB326" s="20"/>
      <c r="AC326" s="20"/>
      <c r="AD326" s="20"/>
      <c r="AE326" s="8" t="s">
        <v>237</v>
      </c>
      <c r="AF326" s="8" t="s">
        <v>224</v>
      </c>
    </row>
    <row r="327" customFormat="false" ht="15" hidden="false" customHeight="false" outlineLevel="0" collapsed="false">
      <c r="A327" s="8" t="s">
        <v>3264</v>
      </c>
      <c r="B327" s="8" t="s">
        <v>3265</v>
      </c>
      <c r="C327" s="8"/>
      <c r="D327" s="8" t="s">
        <v>3137</v>
      </c>
      <c r="E327" s="8"/>
      <c r="F327" s="8" t="s">
        <v>70</v>
      </c>
      <c r="G327" s="8" t="s">
        <v>2533</v>
      </c>
      <c r="H327" s="8" t="s">
        <v>78</v>
      </c>
      <c r="I327" s="8" t="s">
        <v>208</v>
      </c>
      <c r="J327" s="8" t="n">
        <v>2</v>
      </c>
      <c r="K327" s="8" t="n">
        <v>3</v>
      </c>
      <c r="L327" s="18" t="n">
        <f aca="false">INDEX('All Items'!$Q:$Q,MATCH($A327,'All Items'!$A:$A,0))</f>
        <v>7.15</v>
      </c>
      <c r="M327" s="8" t="s">
        <v>1008</v>
      </c>
      <c r="N327" s="8" t="s">
        <v>3266</v>
      </c>
      <c r="O327" s="8" t="s">
        <v>3267</v>
      </c>
      <c r="P327" s="8" t="s">
        <v>1792</v>
      </c>
      <c r="Q327" s="8" t="s">
        <v>3268</v>
      </c>
      <c r="R327" s="8" t="s">
        <v>3269</v>
      </c>
      <c r="S327" s="19" t="s">
        <v>3270</v>
      </c>
      <c r="T327" s="8" t="s">
        <v>3271</v>
      </c>
      <c r="U327" s="8"/>
      <c r="V327" s="8" t="n">
        <f aca="false">COUNTA(M327:R327)</f>
        <v>6</v>
      </c>
      <c r="W327" s="8" t="s">
        <v>218</v>
      </c>
      <c r="X327" s="8" t="s">
        <v>259</v>
      </c>
      <c r="Y327" s="8" t="s">
        <v>218</v>
      </c>
      <c r="Z327" s="8"/>
      <c r="AA327" s="8" t="s">
        <v>3272</v>
      </c>
      <c r="AB327" s="20"/>
      <c r="AC327" s="20"/>
      <c r="AD327" s="20"/>
      <c r="AE327" s="8" t="s">
        <v>237</v>
      </c>
      <c r="AF327" s="8" t="s">
        <v>224</v>
      </c>
    </row>
    <row r="328" customFormat="false" ht="15" hidden="false" customHeight="false" outlineLevel="0" collapsed="false">
      <c r="A328" s="8" t="s">
        <v>3273</v>
      </c>
      <c r="B328" s="8" t="s">
        <v>3274</v>
      </c>
      <c r="C328" s="8"/>
      <c r="D328" s="8" t="s">
        <v>3137</v>
      </c>
      <c r="E328" s="8"/>
      <c r="F328" s="8" t="s">
        <v>70</v>
      </c>
      <c r="G328" s="8" t="s">
        <v>2533</v>
      </c>
      <c r="H328" s="8" t="s">
        <v>83</v>
      </c>
      <c r="I328" s="8" t="s">
        <v>208</v>
      </c>
      <c r="J328" s="8" t="n">
        <v>2</v>
      </c>
      <c r="K328" s="8" t="n">
        <v>3</v>
      </c>
      <c r="L328" s="18" t="n">
        <f aca="false">INDEX('All Items'!$Q:$Q,MATCH($A328,'All Items'!$A:$A,0))</f>
        <v>7.4</v>
      </c>
      <c r="M328" s="8" t="s">
        <v>3275</v>
      </c>
      <c r="N328" s="8" t="s">
        <v>3276</v>
      </c>
      <c r="O328" s="8" t="s">
        <v>3277</v>
      </c>
      <c r="P328" s="8" t="s">
        <v>3278</v>
      </c>
      <c r="Q328" s="8" t="s">
        <v>3279</v>
      </c>
      <c r="R328" s="8" t="s">
        <v>3187</v>
      </c>
      <c r="S328" s="19" t="s">
        <v>3280</v>
      </c>
      <c r="T328" s="8" t="s">
        <v>3281</v>
      </c>
      <c r="U328" s="8"/>
      <c r="V328" s="8" t="n">
        <f aca="false">COUNTA(M328:R328)</f>
        <v>6</v>
      </c>
      <c r="W328" s="8" t="s">
        <v>218</v>
      </c>
      <c r="X328" s="8" t="s">
        <v>259</v>
      </c>
      <c r="Y328" s="8" t="s">
        <v>218</v>
      </c>
      <c r="Z328" s="8"/>
      <c r="AA328" s="8" t="s">
        <v>3282</v>
      </c>
      <c r="AB328" s="20"/>
      <c r="AC328" s="20"/>
      <c r="AD328" s="20"/>
      <c r="AE328" s="8" t="s">
        <v>237</v>
      </c>
      <c r="AF328" s="8" t="s">
        <v>224</v>
      </c>
    </row>
    <row r="329" customFormat="false" ht="15" hidden="false" customHeight="false" outlineLevel="0" collapsed="false">
      <c r="A329" s="8" t="s">
        <v>3283</v>
      </c>
      <c r="B329" s="8" t="s">
        <v>3284</v>
      </c>
      <c r="C329" s="8"/>
      <c r="D329" s="8" t="s">
        <v>3137</v>
      </c>
      <c r="E329" s="8"/>
      <c r="F329" s="8" t="s">
        <v>70</v>
      </c>
      <c r="G329" s="8" t="s">
        <v>2533</v>
      </c>
      <c r="H329" s="8" t="s">
        <v>81</v>
      </c>
      <c r="I329" s="8" t="s">
        <v>227</v>
      </c>
      <c r="J329" s="8" t="n">
        <v>2</v>
      </c>
      <c r="K329" s="8" t="n">
        <v>3</v>
      </c>
      <c r="L329" s="18" t="n">
        <f aca="false">INDEX('All Items'!$Q:$Q,MATCH($A329,'All Items'!$A:$A,0))</f>
        <v>7.15</v>
      </c>
      <c r="M329" s="8" t="s">
        <v>3285</v>
      </c>
      <c r="N329" s="8" t="s">
        <v>791</v>
      </c>
      <c r="O329" s="8" t="s">
        <v>2953</v>
      </c>
      <c r="P329" s="8" t="s">
        <v>1905</v>
      </c>
      <c r="Q329" s="8" t="s">
        <v>3286</v>
      </c>
      <c r="R329" s="8" t="s">
        <v>3287</v>
      </c>
      <c r="S329" s="19" t="s">
        <v>3288</v>
      </c>
      <c r="T329" s="8" t="s">
        <v>3289</v>
      </c>
      <c r="U329" s="8"/>
      <c r="V329" s="8" t="n">
        <f aca="false">COUNTA(M329:R329)</f>
        <v>6</v>
      </c>
      <c r="W329" s="8" t="s">
        <v>218</v>
      </c>
      <c r="X329" s="8" t="s">
        <v>259</v>
      </c>
      <c r="Y329" s="8" t="s">
        <v>218</v>
      </c>
      <c r="Z329" s="8"/>
      <c r="AA329" s="8" t="s">
        <v>3290</v>
      </c>
      <c r="AB329" s="20"/>
      <c r="AC329" s="20"/>
      <c r="AD329" s="20"/>
      <c r="AE329" s="8" t="s">
        <v>237</v>
      </c>
      <c r="AF329" s="8" t="s">
        <v>224</v>
      </c>
    </row>
    <row r="330" customFormat="false" ht="15" hidden="false" customHeight="false" outlineLevel="0" collapsed="false">
      <c r="A330" s="8" t="s">
        <v>3291</v>
      </c>
      <c r="B330" s="8" t="s">
        <v>3292</v>
      </c>
      <c r="C330" s="8"/>
      <c r="D330" s="8" t="s">
        <v>3137</v>
      </c>
      <c r="E330" s="8"/>
      <c r="F330" s="8" t="s">
        <v>70</v>
      </c>
      <c r="G330" s="8" t="s">
        <v>2533</v>
      </c>
      <c r="H330" s="8" t="s">
        <v>80</v>
      </c>
      <c r="I330" s="8" t="s">
        <v>227</v>
      </c>
      <c r="J330" s="8" t="n">
        <v>2</v>
      </c>
      <c r="K330" s="8" t="n">
        <v>3</v>
      </c>
      <c r="L330" s="18" t="n">
        <f aca="false">INDEX('All Items'!$Q:$Q,MATCH($A330,'All Items'!$A:$A,0))</f>
        <v>7.4</v>
      </c>
      <c r="M330" s="8" t="s">
        <v>2494</v>
      </c>
      <c r="N330" s="8" t="s">
        <v>3293</v>
      </c>
      <c r="O330" s="8" t="s">
        <v>3294</v>
      </c>
      <c r="P330" s="8" t="s">
        <v>3295</v>
      </c>
      <c r="Q330" s="8" t="s">
        <v>3296</v>
      </c>
      <c r="R330" s="8" t="s">
        <v>3187</v>
      </c>
      <c r="S330" s="19" t="s">
        <v>3297</v>
      </c>
      <c r="T330" s="8" t="s">
        <v>3298</v>
      </c>
      <c r="U330" s="8"/>
      <c r="V330" s="8" t="n">
        <f aca="false">COUNTA(M330:R330)</f>
        <v>6</v>
      </c>
      <c r="W330" s="8" t="s">
        <v>218</v>
      </c>
      <c r="X330" s="8" t="s">
        <v>259</v>
      </c>
      <c r="Y330" s="8" t="s">
        <v>218</v>
      </c>
      <c r="Z330" s="8"/>
      <c r="AA330" s="8" t="s">
        <v>3299</v>
      </c>
      <c r="AB330" s="20"/>
      <c r="AC330" s="20"/>
      <c r="AD330" s="20"/>
      <c r="AE330" s="8" t="s">
        <v>237</v>
      </c>
      <c r="AF330" s="8" t="s">
        <v>224</v>
      </c>
    </row>
    <row r="331" customFormat="false" ht="15" hidden="false" customHeight="false" outlineLevel="0" collapsed="false">
      <c r="A331" s="8" t="s">
        <v>3300</v>
      </c>
      <c r="B331" s="8" t="s">
        <v>3301</v>
      </c>
      <c r="C331" s="8"/>
      <c r="D331" s="8" t="s">
        <v>3137</v>
      </c>
      <c r="E331" s="8"/>
      <c r="F331" s="8" t="s">
        <v>70</v>
      </c>
      <c r="G331" s="8" t="s">
        <v>2533</v>
      </c>
      <c r="H331" s="8" t="s">
        <v>85</v>
      </c>
      <c r="I331" s="8" t="s">
        <v>1030</v>
      </c>
      <c r="J331" s="8" t="n">
        <v>2</v>
      </c>
      <c r="K331" s="8" t="n">
        <v>4</v>
      </c>
      <c r="L331" s="18" t="n">
        <f aca="false">INDEX('All Items'!$Q:$Q,MATCH($A331,'All Items'!$A:$A,0))</f>
        <v>8.7</v>
      </c>
      <c r="M331" s="8" t="s">
        <v>1167</v>
      </c>
      <c r="N331" s="8" t="s">
        <v>3302</v>
      </c>
      <c r="O331" s="8" t="s">
        <v>3187</v>
      </c>
      <c r="P331" s="8" t="s">
        <v>275</v>
      </c>
      <c r="Q331" s="8" t="s">
        <v>3138</v>
      </c>
      <c r="R331" s="8" t="s">
        <v>3194</v>
      </c>
      <c r="S331" s="19" t="s">
        <v>3303</v>
      </c>
      <c r="T331" s="8" t="s">
        <v>3304</v>
      </c>
      <c r="U331" s="8" t="s">
        <v>3305</v>
      </c>
      <c r="V331" s="8" t="n">
        <f aca="false">COUNTA(M331:R331)</f>
        <v>6</v>
      </c>
      <c r="W331" s="8" t="s">
        <v>218</v>
      </c>
      <c r="X331" s="8" t="s">
        <v>259</v>
      </c>
      <c r="Y331" s="8" t="s">
        <v>218</v>
      </c>
      <c r="Z331" s="8"/>
      <c r="AA331" s="8" t="s">
        <v>3306</v>
      </c>
      <c r="AB331" s="20"/>
      <c r="AC331" s="20"/>
      <c r="AD331" s="20"/>
      <c r="AE331" s="8" t="s">
        <v>237</v>
      </c>
      <c r="AF331" s="8" t="s">
        <v>224</v>
      </c>
    </row>
    <row r="332" customFormat="false" ht="15" hidden="false" customHeight="false" outlineLevel="0" collapsed="false">
      <c r="A332" s="8" t="s">
        <v>3307</v>
      </c>
      <c r="B332" s="8" t="s">
        <v>3308</v>
      </c>
      <c r="C332" s="8"/>
      <c r="D332" s="8" t="s">
        <v>3309</v>
      </c>
      <c r="E332" s="8"/>
      <c r="F332" s="8" t="s">
        <v>70</v>
      </c>
      <c r="G332" s="8" t="s">
        <v>2789</v>
      </c>
      <c r="H332" s="8" t="s">
        <v>78</v>
      </c>
      <c r="I332" s="8" t="s">
        <v>208</v>
      </c>
      <c r="J332" s="8" t="n">
        <v>1</v>
      </c>
      <c r="K332" s="8" t="n">
        <v>5</v>
      </c>
      <c r="L332" s="18" t="n">
        <f aca="false">INDEX('All Items'!$Q:$Q,MATCH($A332,'All Items'!$A:$A,0))</f>
        <v>10</v>
      </c>
      <c r="M332" s="8" t="s">
        <v>1313</v>
      </c>
      <c r="N332" s="8" t="s">
        <v>2623</v>
      </c>
      <c r="O332" s="8" t="s">
        <v>791</v>
      </c>
      <c r="P332" s="8" t="s">
        <v>443</v>
      </c>
      <c r="Q332" s="8" t="s">
        <v>2585</v>
      </c>
      <c r="R332" s="8" t="s">
        <v>3310</v>
      </c>
      <c r="S332" s="19" t="s">
        <v>3311</v>
      </c>
      <c r="T332" s="8" t="s">
        <v>3312</v>
      </c>
      <c r="U332" s="8"/>
      <c r="V332" s="8" t="n">
        <f aca="false">COUNTA(M332:R332)</f>
        <v>6</v>
      </c>
      <c r="W332" s="8" t="s">
        <v>218</v>
      </c>
      <c r="X332" s="8" t="s">
        <v>259</v>
      </c>
      <c r="Y332" s="8" t="s">
        <v>218</v>
      </c>
      <c r="Z332" s="8"/>
      <c r="AA332" s="8" t="s">
        <v>3313</v>
      </c>
      <c r="AB332" s="20" t="s">
        <v>3314</v>
      </c>
      <c r="AC332" s="20" t="s">
        <v>1174</v>
      </c>
      <c r="AD332" s="20" t="s">
        <v>3315</v>
      </c>
      <c r="AE332" s="8" t="s">
        <v>223</v>
      </c>
      <c r="AF332" s="8" t="s">
        <v>224</v>
      </c>
    </row>
    <row r="333" customFormat="false" ht="15" hidden="false" customHeight="false" outlineLevel="0" collapsed="false">
      <c r="A333" s="8" t="s">
        <v>3316</v>
      </c>
      <c r="B333" s="8" t="s">
        <v>3317</v>
      </c>
      <c r="C333" s="8"/>
      <c r="D333" s="8" t="s">
        <v>3309</v>
      </c>
      <c r="E333" s="8"/>
      <c r="F333" s="8" t="s">
        <v>70</v>
      </c>
      <c r="G333" s="8" t="s">
        <v>2789</v>
      </c>
      <c r="H333" s="8" t="s">
        <v>83</v>
      </c>
      <c r="I333" s="8" t="s">
        <v>208</v>
      </c>
      <c r="J333" s="8" t="n">
        <v>1</v>
      </c>
      <c r="K333" s="8" t="n">
        <v>4</v>
      </c>
      <c r="L333" s="18" t="n">
        <f aca="false">INDEX('All Items'!$Q:$Q,MATCH($A333,'All Items'!$A:$A,0))</f>
        <v>8.45</v>
      </c>
      <c r="M333" s="8" t="s">
        <v>3318</v>
      </c>
      <c r="N333" s="8" t="s">
        <v>3319</v>
      </c>
      <c r="O333" s="8" t="s">
        <v>3320</v>
      </c>
      <c r="P333" s="8" t="s">
        <v>1618</v>
      </c>
      <c r="Q333" s="8" t="s">
        <v>3321</v>
      </c>
      <c r="R333" s="8" t="s">
        <v>3322</v>
      </c>
      <c r="S333" s="19" t="s">
        <v>3323</v>
      </c>
      <c r="T333" s="8" t="s">
        <v>3324</v>
      </c>
      <c r="U333" s="8"/>
      <c r="V333" s="8" t="n">
        <f aca="false">COUNTA(M333:R333)</f>
        <v>6</v>
      </c>
      <c r="W333" s="8" t="s">
        <v>218</v>
      </c>
      <c r="X333" s="8" t="s">
        <v>259</v>
      </c>
      <c r="Y333" s="8" t="s">
        <v>218</v>
      </c>
      <c r="Z333" s="8"/>
      <c r="AA333" s="8" t="s">
        <v>3325</v>
      </c>
      <c r="AB333" s="20"/>
      <c r="AC333" s="20"/>
      <c r="AD333" s="20"/>
      <c r="AE333" s="8" t="s">
        <v>237</v>
      </c>
      <c r="AF333" s="8" t="s">
        <v>224</v>
      </c>
    </row>
    <row r="334" customFormat="false" ht="15" hidden="false" customHeight="false" outlineLevel="0" collapsed="false">
      <c r="A334" s="8" t="s">
        <v>3326</v>
      </c>
      <c r="B334" s="8" t="s">
        <v>3327</v>
      </c>
      <c r="C334" s="8" t="s">
        <v>3328</v>
      </c>
      <c r="D334" s="8" t="s">
        <v>3309</v>
      </c>
      <c r="E334" s="8"/>
      <c r="F334" s="8" t="s">
        <v>70</v>
      </c>
      <c r="G334" s="8" t="s">
        <v>2789</v>
      </c>
      <c r="H334" s="8" t="s">
        <v>78</v>
      </c>
      <c r="I334" s="8" t="s">
        <v>208</v>
      </c>
      <c r="J334" s="8" t="n">
        <v>1</v>
      </c>
      <c r="K334" s="8" t="n">
        <v>4</v>
      </c>
      <c r="L334" s="18" t="n">
        <f aca="false">INDEX('All Items'!$Q:$Q,MATCH($A334,'All Items'!$A:$A,0))</f>
        <v>8.7</v>
      </c>
      <c r="M334" s="8" t="s">
        <v>3149</v>
      </c>
      <c r="N334" s="8" t="s">
        <v>3329</v>
      </c>
      <c r="O334" s="8" t="s">
        <v>3330</v>
      </c>
      <c r="P334" s="8" t="s">
        <v>995</v>
      </c>
      <c r="Q334" s="8" t="s">
        <v>213</v>
      </c>
      <c r="R334" s="8" t="s">
        <v>3331</v>
      </c>
      <c r="S334" s="19" t="s">
        <v>3332</v>
      </c>
      <c r="T334" s="8" t="s">
        <v>3333</v>
      </c>
      <c r="U334" s="8" t="s">
        <v>3331</v>
      </c>
      <c r="V334" s="8" t="n">
        <f aca="false">COUNTA(M334:R334)</f>
        <v>6</v>
      </c>
      <c r="W334" s="8" t="s">
        <v>218</v>
      </c>
      <c r="X334" s="8" t="s">
        <v>259</v>
      </c>
      <c r="Y334" s="8" t="s">
        <v>218</v>
      </c>
      <c r="Z334" s="8"/>
      <c r="AA334" s="8" t="s">
        <v>3334</v>
      </c>
      <c r="AB334" s="20"/>
      <c r="AC334" s="20"/>
      <c r="AD334" s="20"/>
      <c r="AE334" s="8" t="s">
        <v>237</v>
      </c>
      <c r="AF334" s="8" t="s">
        <v>224</v>
      </c>
    </row>
    <row r="335" customFormat="false" ht="15" hidden="false" customHeight="false" outlineLevel="0" collapsed="false">
      <c r="A335" s="8" t="s">
        <v>3335</v>
      </c>
      <c r="B335" s="8" t="s">
        <v>3336</v>
      </c>
      <c r="C335" s="8"/>
      <c r="D335" s="8" t="s">
        <v>3309</v>
      </c>
      <c r="E335" s="8"/>
      <c r="F335" s="8" t="s">
        <v>70</v>
      </c>
      <c r="G335" s="8" t="s">
        <v>2789</v>
      </c>
      <c r="H335" s="8" t="s">
        <v>78</v>
      </c>
      <c r="I335" s="8" t="s">
        <v>208</v>
      </c>
      <c r="J335" s="8" t="n">
        <v>2</v>
      </c>
      <c r="K335" s="8" t="n">
        <v>4</v>
      </c>
      <c r="L335" s="18" t="n">
        <f aca="false">INDEX('All Items'!$Q:$Q,MATCH($A335,'All Items'!$A:$A,0))</f>
        <v>8.7</v>
      </c>
      <c r="M335" s="8" t="s">
        <v>3149</v>
      </c>
      <c r="N335" s="8" t="s">
        <v>2582</v>
      </c>
      <c r="O335" s="8" t="s">
        <v>3329</v>
      </c>
      <c r="P335" s="8" t="s">
        <v>995</v>
      </c>
      <c r="Q335" s="8" t="s">
        <v>3337</v>
      </c>
      <c r="R335" s="8"/>
      <c r="S335" s="19" t="s">
        <v>3338</v>
      </c>
      <c r="T335" s="8" t="s">
        <v>3339</v>
      </c>
      <c r="U335" s="8" t="s">
        <v>3337</v>
      </c>
      <c r="V335" s="8" t="n">
        <f aca="false">COUNTA(M335:R335)</f>
        <v>5</v>
      </c>
      <c r="W335" s="8" t="s">
        <v>218</v>
      </c>
      <c r="X335" s="8" t="s">
        <v>259</v>
      </c>
      <c r="Y335" s="8" t="s">
        <v>218</v>
      </c>
      <c r="Z335" s="8"/>
      <c r="AA335" s="8" t="s">
        <v>3340</v>
      </c>
      <c r="AB335" s="20"/>
      <c r="AC335" s="20"/>
      <c r="AD335" s="20"/>
      <c r="AE335" s="8" t="s">
        <v>237</v>
      </c>
      <c r="AF335" s="8" t="s">
        <v>224</v>
      </c>
    </row>
    <row r="336" customFormat="false" ht="15" hidden="false" customHeight="false" outlineLevel="0" collapsed="false">
      <c r="A336" s="8" t="s">
        <v>3341</v>
      </c>
      <c r="B336" s="8" t="s">
        <v>3342</v>
      </c>
      <c r="C336" s="8"/>
      <c r="D336" s="8" t="s">
        <v>3309</v>
      </c>
      <c r="E336" s="8"/>
      <c r="F336" s="8" t="s">
        <v>70</v>
      </c>
      <c r="G336" s="8" t="s">
        <v>2789</v>
      </c>
      <c r="H336" s="8" t="s">
        <v>78</v>
      </c>
      <c r="I336" s="8" t="s">
        <v>208</v>
      </c>
      <c r="J336" s="8" t="n">
        <v>1</v>
      </c>
      <c r="K336" s="8" t="n">
        <v>3</v>
      </c>
      <c r="L336" s="18" t="n">
        <f aca="false">INDEX('All Items'!$Q:$Q,MATCH($A336,'All Items'!$A:$A,0))</f>
        <v>7.4</v>
      </c>
      <c r="M336" s="8" t="s">
        <v>791</v>
      </c>
      <c r="N336" s="8" t="s">
        <v>995</v>
      </c>
      <c r="O336" s="8" t="s">
        <v>1307</v>
      </c>
      <c r="P336" s="8" t="s">
        <v>3343</v>
      </c>
      <c r="Q336" s="8" t="s">
        <v>3322</v>
      </c>
      <c r="R336" s="8" t="s">
        <v>3344</v>
      </c>
      <c r="S336" s="19" t="s">
        <v>3345</v>
      </c>
      <c r="T336" s="8" t="s">
        <v>3346</v>
      </c>
      <c r="U336" s="8" t="s">
        <v>3347</v>
      </c>
      <c r="V336" s="8" t="n">
        <f aca="false">COUNTA(M336:R336)</f>
        <v>6</v>
      </c>
      <c r="W336" s="8" t="s">
        <v>218</v>
      </c>
      <c r="X336" s="8" t="s">
        <v>259</v>
      </c>
      <c r="Y336" s="8" t="s">
        <v>218</v>
      </c>
      <c r="Z336" s="8"/>
      <c r="AA336" s="8" t="s">
        <v>3348</v>
      </c>
      <c r="AB336" s="20"/>
      <c r="AC336" s="20"/>
      <c r="AD336" s="20"/>
      <c r="AE336" s="8" t="s">
        <v>237</v>
      </c>
      <c r="AF336" s="8" t="s">
        <v>224</v>
      </c>
    </row>
    <row r="337" customFormat="false" ht="15" hidden="false" customHeight="false" outlineLevel="0" collapsed="false">
      <c r="A337" s="8" t="s">
        <v>3349</v>
      </c>
      <c r="B337" s="8" t="s">
        <v>3350</v>
      </c>
      <c r="C337" s="8"/>
      <c r="D337" s="8" t="s">
        <v>3309</v>
      </c>
      <c r="E337" s="8"/>
      <c r="F337" s="8" t="s">
        <v>70</v>
      </c>
      <c r="G337" s="8" t="s">
        <v>2789</v>
      </c>
      <c r="H337" s="8" t="s">
        <v>78</v>
      </c>
      <c r="I337" s="8" t="s">
        <v>208</v>
      </c>
      <c r="J337" s="8" t="n">
        <v>2</v>
      </c>
      <c r="K337" s="8" t="n">
        <v>3</v>
      </c>
      <c r="L337" s="18" t="n">
        <f aca="false">INDEX('All Items'!$Q:$Q,MATCH($A337,'All Items'!$A:$A,0))</f>
        <v>7.4</v>
      </c>
      <c r="M337" s="8" t="s">
        <v>791</v>
      </c>
      <c r="N337" s="8" t="s">
        <v>3351</v>
      </c>
      <c r="O337" s="8" t="s">
        <v>1307</v>
      </c>
      <c r="P337" s="8" t="s">
        <v>3352</v>
      </c>
      <c r="Q337" s="8" t="s">
        <v>3322</v>
      </c>
      <c r="R337" s="8" t="s">
        <v>3353</v>
      </c>
      <c r="S337" s="19" t="s">
        <v>3354</v>
      </c>
      <c r="T337" s="8" t="s">
        <v>3355</v>
      </c>
      <c r="U337" s="8" t="s">
        <v>3356</v>
      </c>
      <c r="V337" s="8" t="n">
        <f aca="false">COUNTA(M337:R337)</f>
        <v>6</v>
      </c>
      <c r="W337" s="8" t="s">
        <v>218</v>
      </c>
      <c r="X337" s="8" t="s">
        <v>259</v>
      </c>
      <c r="Y337" s="8" t="s">
        <v>218</v>
      </c>
      <c r="Z337" s="8"/>
      <c r="AA337" s="8" t="s">
        <v>3357</v>
      </c>
      <c r="AB337" s="20" t="s">
        <v>3358</v>
      </c>
      <c r="AC337" s="20" t="s">
        <v>384</v>
      </c>
      <c r="AD337" s="20" t="s">
        <v>3359</v>
      </c>
      <c r="AE337" s="8" t="s">
        <v>223</v>
      </c>
      <c r="AF337" s="8" t="s">
        <v>224</v>
      </c>
    </row>
    <row r="338" customFormat="false" ht="15" hidden="false" customHeight="false" outlineLevel="0" collapsed="false">
      <c r="A338" s="8" t="s">
        <v>3360</v>
      </c>
      <c r="B338" s="8" t="s">
        <v>3361</v>
      </c>
      <c r="C338" s="8" t="s">
        <v>3362</v>
      </c>
      <c r="D338" s="8" t="s">
        <v>3309</v>
      </c>
      <c r="E338" s="8"/>
      <c r="F338" s="8" t="s">
        <v>70</v>
      </c>
      <c r="G338" s="8" t="s">
        <v>2789</v>
      </c>
      <c r="H338" s="8" t="s">
        <v>89</v>
      </c>
      <c r="I338" s="8" t="s">
        <v>208</v>
      </c>
      <c r="J338" s="8" t="n">
        <v>1</v>
      </c>
      <c r="K338" s="8" t="n">
        <v>3</v>
      </c>
      <c r="L338" s="18" t="n">
        <f aca="false">INDEX('All Items'!$Q:$Q,MATCH($A338,'All Items'!$A:$A,0))</f>
        <v>7.4</v>
      </c>
      <c r="M338" s="8" t="s">
        <v>552</v>
      </c>
      <c r="N338" s="8" t="s">
        <v>791</v>
      </c>
      <c r="O338" s="8" t="s">
        <v>3149</v>
      </c>
      <c r="P338" s="8" t="s">
        <v>3363</v>
      </c>
      <c r="Q338" s="8" t="s">
        <v>3364</v>
      </c>
      <c r="R338" s="8" t="s">
        <v>3322</v>
      </c>
      <c r="S338" s="19" t="s">
        <v>3365</v>
      </c>
      <c r="T338" s="8" t="s">
        <v>3366</v>
      </c>
      <c r="U338" s="8"/>
      <c r="V338" s="8" t="n">
        <f aca="false">COUNTA(M338:R338)</f>
        <v>6</v>
      </c>
      <c r="W338" s="8" t="s">
        <v>218</v>
      </c>
      <c r="X338" s="8" t="s">
        <v>259</v>
      </c>
      <c r="Y338" s="8" t="s">
        <v>218</v>
      </c>
      <c r="Z338" s="8"/>
      <c r="AA338" s="8" t="s">
        <v>3367</v>
      </c>
      <c r="AB338" s="20" t="s">
        <v>3368</v>
      </c>
      <c r="AC338" s="20" t="s">
        <v>1174</v>
      </c>
      <c r="AD338" s="20" t="s">
        <v>3315</v>
      </c>
      <c r="AE338" s="8" t="s">
        <v>223</v>
      </c>
      <c r="AF338" s="8" t="s">
        <v>224</v>
      </c>
    </row>
    <row r="339" customFormat="false" ht="15" hidden="false" customHeight="false" outlineLevel="0" collapsed="false">
      <c r="A339" s="8" t="s">
        <v>3369</v>
      </c>
      <c r="B339" s="8" t="s">
        <v>3370</v>
      </c>
      <c r="C339" s="8"/>
      <c r="D339" s="8" t="s">
        <v>3309</v>
      </c>
      <c r="E339" s="8"/>
      <c r="F339" s="8" t="s">
        <v>70</v>
      </c>
      <c r="G339" s="8" t="s">
        <v>2789</v>
      </c>
      <c r="H339" s="8" t="s">
        <v>83</v>
      </c>
      <c r="I339" s="8" t="s">
        <v>208</v>
      </c>
      <c r="J339" s="8" t="n">
        <v>1</v>
      </c>
      <c r="K339" s="8" t="n">
        <v>3</v>
      </c>
      <c r="L339" s="18" t="n">
        <f aca="false">INDEX('All Items'!$Q:$Q,MATCH($A339,'All Items'!$A:$A,0))</f>
        <v>7.4</v>
      </c>
      <c r="M339" s="8" t="s">
        <v>2593</v>
      </c>
      <c r="N339" s="8" t="s">
        <v>995</v>
      </c>
      <c r="O339" s="8" t="s">
        <v>3319</v>
      </c>
      <c r="P339" s="8" t="s">
        <v>213</v>
      </c>
      <c r="Q339" s="8" t="s">
        <v>3371</v>
      </c>
      <c r="R339" s="8" t="s">
        <v>3322</v>
      </c>
      <c r="S339" s="19" t="s">
        <v>3372</v>
      </c>
      <c r="T339" s="8" t="s">
        <v>3373</v>
      </c>
      <c r="U339" s="8"/>
      <c r="V339" s="8" t="n">
        <f aca="false">COUNTA(M339:R339)</f>
        <v>6</v>
      </c>
      <c r="W339" s="8" t="s">
        <v>218</v>
      </c>
      <c r="X339" s="8" t="s">
        <v>259</v>
      </c>
      <c r="Y339" s="8" t="s">
        <v>218</v>
      </c>
      <c r="Z339" s="8"/>
      <c r="AA339" s="8" t="s">
        <v>3374</v>
      </c>
      <c r="AB339" s="20" t="s">
        <v>3375</v>
      </c>
      <c r="AC339" s="20" t="s">
        <v>384</v>
      </c>
      <c r="AD339" s="20" t="s">
        <v>3376</v>
      </c>
      <c r="AE339" s="8" t="s">
        <v>223</v>
      </c>
      <c r="AF339" s="8" t="s">
        <v>224</v>
      </c>
    </row>
    <row r="340" customFormat="false" ht="15" hidden="false" customHeight="false" outlineLevel="0" collapsed="false">
      <c r="A340" s="8" t="s">
        <v>3377</v>
      </c>
      <c r="B340" s="8" t="s">
        <v>3378</v>
      </c>
      <c r="C340" s="8"/>
      <c r="D340" s="8" t="s">
        <v>3309</v>
      </c>
      <c r="E340" s="8"/>
      <c r="F340" s="8" t="s">
        <v>70</v>
      </c>
      <c r="G340" s="8" t="s">
        <v>2789</v>
      </c>
      <c r="H340" s="8" t="s">
        <v>78</v>
      </c>
      <c r="I340" s="8" t="s">
        <v>208</v>
      </c>
      <c r="J340" s="8" t="n">
        <v>1</v>
      </c>
      <c r="K340" s="8" t="n">
        <v>3</v>
      </c>
      <c r="L340" s="18" t="n">
        <f aca="false">INDEX('All Items'!$Q:$Q,MATCH($A340,'All Items'!$A:$A,0))</f>
        <v>7.15</v>
      </c>
      <c r="M340" s="8" t="s">
        <v>3379</v>
      </c>
      <c r="N340" s="8" t="s">
        <v>3138</v>
      </c>
      <c r="O340" s="8" t="s">
        <v>3380</v>
      </c>
      <c r="P340" s="8" t="s">
        <v>2557</v>
      </c>
      <c r="Q340" s="8" t="s">
        <v>3381</v>
      </c>
      <c r="R340" s="8" t="s">
        <v>3322</v>
      </c>
      <c r="S340" s="19" t="s">
        <v>3382</v>
      </c>
      <c r="T340" s="8" t="s">
        <v>3383</v>
      </c>
      <c r="U340" s="8"/>
      <c r="V340" s="8" t="n">
        <f aca="false">COUNTA(M340:R340)</f>
        <v>6</v>
      </c>
      <c r="W340" s="8" t="s">
        <v>218</v>
      </c>
      <c r="X340" s="8" t="s">
        <v>259</v>
      </c>
      <c r="Y340" s="8" t="s">
        <v>218</v>
      </c>
      <c r="Z340" s="8"/>
      <c r="AA340" s="8" t="s">
        <v>3384</v>
      </c>
      <c r="AB340" s="20"/>
      <c r="AC340" s="20"/>
      <c r="AD340" s="20"/>
      <c r="AE340" s="8" t="s">
        <v>237</v>
      </c>
      <c r="AF340" s="8" t="s">
        <v>224</v>
      </c>
    </row>
    <row r="341" customFormat="false" ht="15" hidden="false" customHeight="false" outlineLevel="0" collapsed="false">
      <c r="A341" s="8" t="s">
        <v>3385</v>
      </c>
      <c r="B341" s="8" t="s">
        <v>3386</v>
      </c>
      <c r="C341" s="8"/>
      <c r="D341" s="8" t="s">
        <v>3309</v>
      </c>
      <c r="E341" s="8"/>
      <c r="F341" s="8" t="s">
        <v>70</v>
      </c>
      <c r="G341" s="8" t="s">
        <v>2789</v>
      </c>
      <c r="H341" s="8" t="s">
        <v>85</v>
      </c>
      <c r="I341" s="8" t="s">
        <v>208</v>
      </c>
      <c r="J341" s="8" t="n">
        <v>2</v>
      </c>
      <c r="K341" s="8" t="n">
        <v>3</v>
      </c>
      <c r="L341" s="18" t="n">
        <f aca="false">INDEX('All Items'!$Q:$Q,MATCH($A341,'All Items'!$A:$A,0))</f>
        <v>7.15</v>
      </c>
      <c r="M341" s="8" t="s">
        <v>552</v>
      </c>
      <c r="N341" s="8" t="s">
        <v>1313</v>
      </c>
      <c r="O341" s="8" t="s">
        <v>3149</v>
      </c>
      <c r="P341" s="8" t="s">
        <v>3387</v>
      </c>
      <c r="Q341" s="8" t="s">
        <v>3388</v>
      </c>
      <c r="R341" s="8"/>
      <c r="S341" s="19" t="s">
        <v>3389</v>
      </c>
      <c r="T341" s="8" t="s">
        <v>3390</v>
      </c>
      <c r="U341" s="8"/>
      <c r="V341" s="8" t="n">
        <f aca="false">COUNTA(M341:R341)</f>
        <v>5</v>
      </c>
      <c r="W341" s="8" t="s">
        <v>218</v>
      </c>
      <c r="X341" s="8" t="s">
        <v>259</v>
      </c>
      <c r="Y341" s="8" t="s">
        <v>218</v>
      </c>
      <c r="Z341" s="8"/>
      <c r="AA341" s="8" t="s">
        <v>3391</v>
      </c>
      <c r="AB341" s="20"/>
      <c r="AC341" s="20"/>
      <c r="AD341" s="20"/>
      <c r="AE341" s="8" t="s">
        <v>237</v>
      </c>
      <c r="AF341" s="8" t="s">
        <v>224</v>
      </c>
    </row>
    <row r="342" customFormat="false" ht="15" hidden="false" customHeight="false" outlineLevel="0" collapsed="false">
      <c r="A342" s="8" t="s">
        <v>3392</v>
      </c>
      <c r="B342" s="8" t="s">
        <v>3393</v>
      </c>
      <c r="C342" s="8"/>
      <c r="D342" s="8" t="s">
        <v>3309</v>
      </c>
      <c r="E342" s="8"/>
      <c r="F342" s="8" t="s">
        <v>70</v>
      </c>
      <c r="G342" s="8" t="s">
        <v>2789</v>
      </c>
      <c r="H342" s="8" t="s">
        <v>80</v>
      </c>
      <c r="I342" s="8" t="s">
        <v>273</v>
      </c>
      <c r="J342" s="8" t="n">
        <v>1</v>
      </c>
      <c r="K342" s="8" t="n">
        <v>4</v>
      </c>
      <c r="L342" s="18" t="n">
        <f aca="false">INDEX('All Items'!$Q:$Q,MATCH($A342,'All Items'!$A:$A,0))</f>
        <v>8.45</v>
      </c>
      <c r="M342" s="8" t="s">
        <v>686</v>
      </c>
      <c r="N342" s="8" t="s">
        <v>995</v>
      </c>
      <c r="O342" s="8" t="s">
        <v>3322</v>
      </c>
      <c r="P342" s="8" t="s">
        <v>2780</v>
      </c>
      <c r="Q342" s="8" t="s">
        <v>3394</v>
      </c>
      <c r="R342" s="8"/>
      <c r="S342" s="19" t="s">
        <v>3395</v>
      </c>
      <c r="T342" s="8" t="s">
        <v>3396</v>
      </c>
      <c r="U342" s="8" t="s">
        <v>3397</v>
      </c>
      <c r="V342" s="8" t="n">
        <f aca="false">COUNTA(M342:R342)</f>
        <v>5</v>
      </c>
      <c r="W342" s="8" t="s">
        <v>218</v>
      </c>
      <c r="X342" s="8" t="s">
        <v>259</v>
      </c>
      <c r="Y342" s="8" t="s">
        <v>218</v>
      </c>
      <c r="Z342" s="8"/>
      <c r="AA342" s="8" t="s">
        <v>3398</v>
      </c>
      <c r="AB342" s="20" t="s">
        <v>3399</v>
      </c>
      <c r="AC342" s="20" t="s">
        <v>384</v>
      </c>
      <c r="AD342" s="20" t="s">
        <v>3400</v>
      </c>
      <c r="AE342" s="8" t="s">
        <v>223</v>
      </c>
      <c r="AF342" s="8" t="s">
        <v>224</v>
      </c>
    </row>
    <row r="343" customFormat="false" ht="15" hidden="false" customHeight="false" outlineLevel="0" collapsed="false">
      <c r="A343" s="8" t="s">
        <v>3401</v>
      </c>
      <c r="B343" s="8" t="s">
        <v>3402</v>
      </c>
      <c r="C343" s="8"/>
      <c r="D343" s="8" t="s">
        <v>3309</v>
      </c>
      <c r="E343" s="8"/>
      <c r="F343" s="8" t="s">
        <v>70</v>
      </c>
      <c r="G343" s="8" t="s">
        <v>2789</v>
      </c>
      <c r="H343" s="8" t="s">
        <v>83</v>
      </c>
      <c r="I343" s="8" t="s">
        <v>208</v>
      </c>
      <c r="J343" s="8" t="n">
        <v>2</v>
      </c>
      <c r="K343" s="8" t="n">
        <v>3</v>
      </c>
      <c r="L343" s="18" t="n">
        <f aca="false">INDEX('All Items'!$Q:$Q,MATCH($A343,'All Items'!$A:$A,0))</f>
        <v>7.4</v>
      </c>
      <c r="M343" s="8" t="s">
        <v>3403</v>
      </c>
      <c r="N343" s="8" t="s">
        <v>3404</v>
      </c>
      <c r="O343" s="8" t="s">
        <v>2734</v>
      </c>
      <c r="P343" s="8" t="s">
        <v>3405</v>
      </c>
      <c r="Q343" s="8" t="s">
        <v>3406</v>
      </c>
      <c r="R343" s="8" t="s">
        <v>3407</v>
      </c>
      <c r="S343" s="19" t="s">
        <v>3408</v>
      </c>
      <c r="T343" s="8" t="s">
        <v>3409</v>
      </c>
      <c r="U343" s="8"/>
      <c r="V343" s="8" t="n">
        <f aca="false">COUNTA(M343:R343)</f>
        <v>6</v>
      </c>
      <c r="W343" s="8" t="s">
        <v>218</v>
      </c>
      <c r="X343" s="8" t="s">
        <v>259</v>
      </c>
      <c r="Y343" s="8" t="s">
        <v>218</v>
      </c>
      <c r="Z343" s="8"/>
      <c r="AA343" s="8" t="s">
        <v>3410</v>
      </c>
      <c r="AB343" s="20" t="s">
        <v>3411</v>
      </c>
      <c r="AC343" s="20" t="s">
        <v>221</v>
      </c>
      <c r="AD343" s="20" t="s">
        <v>3412</v>
      </c>
      <c r="AE343" s="8" t="s">
        <v>223</v>
      </c>
      <c r="AF343" s="8" t="s">
        <v>224</v>
      </c>
    </row>
    <row r="344" customFormat="false" ht="15" hidden="false" customHeight="false" outlineLevel="0" collapsed="false">
      <c r="A344" s="8" t="s">
        <v>3413</v>
      </c>
      <c r="B344" s="8" t="s">
        <v>3414</v>
      </c>
      <c r="C344" s="8"/>
      <c r="D344" s="8" t="s">
        <v>3309</v>
      </c>
      <c r="E344" s="8"/>
      <c r="F344" s="8" t="s">
        <v>70</v>
      </c>
      <c r="G344" s="8" t="s">
        <v>2789</v>
      </c>
      <c r="H344" s="8" t="s">
        <v>89</v>
      </c>
      <c r="I344" s="8" t="s">
        <v>208</v>
      </c>
      <c r="J344" s="8" t="n">
        <v>2</v>
      </c>
      <c r="K344" s="8" t="n">
        <v>3</v>
      </c>
      <c r="L344" s="18" t="n">
        <f aca="false">INDEX('All Items'!$Q:$Q,MATCH($A344,'All Items'!$A:$A,0))</f>
        <v>7.4</v>
      </c>
      <c r="M344" s="8" t="s">
        <v>1295</v>
      </c>
      <c r="N344" s="8" t="s">
        <v>388</v>
      </c>
      <c r="O344" s="8" t="s">
        <v>3149</v>
      </c>
      <c r="P344" s="8" t="s">
        <v>3415</v>
      </c>
      <c r="Q344" s="8" t="s">
        <v>2522</v>
      </c>
      <c r="R344" s="8" t="s">
        <v>3416</v>
      </c>
      <c r="S344" s="19" t="s">
        <v>3417</v>
      </c>
      <c r="T344" s="8" t="s">
        <v>3418</v>
      </c>
      <c r="U344" s="8"/>
      <c r="V344" s="8" t="n">
        <f aca="false">COUNTA(M344:R344)</f>
        <v>6</v>
      </c>
      <c r="W344" s="8" t="s">
        <v>218</v>
      </c>
      <c r="X344" s="8" t="s">
        <v>259</v>
      </c>
      <c r="Y344" s="8" t="s">
        <v>218</v>
      </c>
      <c r="Z344" s="8"/>
      <c r="AA344" s="8" t="s">
        <v>3419</v>
      </c>
      <c r="AB344" s="20" t="s">
        <v>3420</v>
      </c>
      <c r="AC344" s="20" t="s">
        <v>221</v>
      </c>
      <c r="AD344" s="20" t="s">
        <v>3421</v>
      </c>
      <c r="AE344" s="8" t="s">
        <v>223</v>
      </c>
      <c r="AF344" s="8" t="s">
        <v>224</v>
      </c>
    </row>
    <row r="345" customFormat="false" ht="15" hidden="false" customHeight="false" outlineLevel="0" collapsed="false">
      <c r="A345" s="8" t="s">
        <v>3422</v>
      </c>
      <c r="B345" s="8" t="s">
        <v>3423</v>
      </c>
      <c r="C345" s="8"/>
      <c r="D345" s="8" t="s">
        <v>3309</v>
      </c>
      <c r="E345" s="8"/>
      <c r="F345" s="8" t="s">
        <v>70</v>
      </c>
      <c r="G345" s="8" t="s">
        <v>2789</v>
      </c>
      <c r="H345" s="8" t="s">
        <v>78</v>
      </c>
      <c r="I345" s="8" t="s">
        <v>208</v>
      </c>
      <c r="J345" s="8" t="n">
        <v>2</v>
      </c>
      <c r="K345" s="8" t="n">
        <v>3</v>
      </c>
      <c r="L345" s="18" t="n">
        <f aca="false">INDEX('All Items'!$Q:$Q,MATCH($A345,'All Items'!$A:$A,0))</f>
        <v>7.15</v>
      </c>
      <c r="M345" s="8" t="s">
        <v>1313</v>
      </c>
      <c r="N345" s="8" t="s">
        <v>3424</v>
      </c>
      <c r="O345" s="8" t="s">
        <v>3425</v>
      </c>
      <c r="P345" s="8" t="s">
        <v>3426</v>
      </c>
      <c r="Q345" s="8" t="s">
        <v>3427</v>
      </c>
      <c r="R345" s="8" t="s">
        <v>3322</v>
      </c>
      <c r="S345" s="19" t="s">
        <v>3428</v>
      </c>
      <c r="T345" s="8" t="s">
        <v>3429</v>
      </c>
      <c r="U345" s="8"/>
      <c r="V345" s="8" t="n">
        <f aca="false">COUNTA(M345:R345)</f>
        <v>6</v>
      </c>
      <c r="W345" s="8" t="s">
        <v>218</v>
      </c>
      <c r="X345" s="8" t="s">
        <v>259</v>
      </c>
      <c r="Y345" s="8" t="s">
        <v>218</v>
      </c>
      <c r="Z345" s="8"/>
      <c r="AA345" s="8" t="s">
        <v>3430</v>
      </c>
      <c r="AB345" s="20" t="s">
        <v>3431</v>
      </c>
      <c r="AC345" s="20" t="s">
        <v>516</v>
      </c>
      <c r="AD345" s="20" t="s">
        <v>3432</v>
      </c>
      <c r="AE345" s="8" t="s">
        <v>223</v>
      </c>
      <c r="AF345" s="8" t="s">
        <v>224</v>
      </c>
    </row>
    <row r="346" customFormat="false" ht="15" hidden="false" customHeight="false" outlineLevel="0" collapsed="false">
      <c r="A346" s="8" t="s">
        <v>3433</v>
      </c>
      <c r="B346" s="8" t="s">
        <v>3434</v>
      </c>
      <c r="C346" s="8"/>
      <c r="D346" s="8" t="s">
        <v>3435</v>
      </c>
      <c r="E346" s="8"/>
      <c r="F346" s="8" t="s">
        <v>70</v>
      </c>
      <c r="G346" s="8" t="s">
        <v>2789</v>
      </c>
      <c r="H346" s="8" t="s">
        <v>83</v>
      </c>
      <c r="I346" s="8" t="s">
        <v>208</v>
      </c>
      <c r="J346" s="8" t="n">
        <v>1</v>
      </c>
      <c r="K346" s="8" t="n">
        <v>4</v>
      </c>
      <c r="L346" s="18" t="n">
        <f aca="false">INDEX('All Items'!$Q:$Q,MATCH($A346,'All Items'!$A:$A,0))</f>
        <v>8.7</v>
      </c>
      <c r="M346" s="8" t="s">
        <v>2623</v>
      </c>
      <c r="N346" s="8" t="s">
        <v>3329</v>
      </c>
      <c r="O346" s="8" t="s">
        <v>3310</v>
      </c>
      <c r="P346" s="8" t="s">
        <v>3436</v>
      </c>
      <c r="Q346" s="8" t="s">
        <v>1793</v>
      </c>
      <c r="R346" s="8" t="s">
        <v>3435</v>
      </c>
      <c r="S346" s="19" t="s">
        <v>3437</v>
      </c>
      <c r="T346" s="8" t="s">
        <v>3438</v>
      </c>
      <c r="U346" s="8"/>
      <c r="V346" s="8" t="n">
        <f aca="false">COUNTA(M346:R346)</f>
        <v>6</v>
      </c>
      <c r="W346" s="8" t="s">
        <v>218</v>
      </c>
      <c r="X346" s="8" t="s">
        <v>259</v>
      </c>
      <c r="Y346" s="8" t="s">
        <v>218</v>
      </c>
      <c r="Z346" s="8"/>
      <c r="AA346" s="8" t="s">
        <v>3439</v>
      </c>
      <c r="AB346" s="20" t="s">
        <v>3440</v>
      </c>
      <c r="AC346" s="20" t="s">
        <v>1837</v>
      </c>
      <c r="AD346" s="20" t="s">
        <v>3441</v>
      </c>
      <c r="AE346" s="8" t="s">
        <v>223</v>
      </c>
      <c r="AF346" s="8" t="s">
        <v>224</v>
      </c>
    </row>
    <row r="347" customFormat="false" ht="15" hidden="false" customHeight="false" outlineLevel="0" collapsed="false">
      <c r="A347" s="8" t="s">
        <v>3442</v>
      </c>
      <c r="B347" s="8" t="s">
        <v>3443</v>
      </c>
      <c r="C347" s="8"/>
      <c r="D347" s="8" t="s">
        <v>3435</v>
      </c>
      <c r="E347" s="8"/>
      <c r="F347" s="8" t="s">
        <v>70</v>
      </c>
      <c r="G347" s="8" t="s">
        <v>2789</v>
      </c>
      <c r="H347" s="8" t="s">
        <v>81</v>
      </c>
      <c r="I347" s="8" t="s">
        <v>208</v>
      </c>
      <c r="J347" s="8" t="n">
        <v>1</v>
      </c>
      <c r="K347" s="8" t="n">
        <v>4</v>
      </c>
      <c r="L347" s="18" t="n">
        <f aca="false">INDEX('All Items'!$Q:$Q,MATCH($A347,'All Items'!$A:$A,0))</f>
        <v>8.7</v>
      </c>
      <c r="M347" s="8" t="s">
        <v>3444</v>
      </c>
      <c r="N347" s="8" t="s">
        <v>3445</v>
      </c>
      <c r="O347" s="8" t="s">
        <v>1008</v>
      </c>
      <c r="P347" s="8" t="s">
        <v>3446</v>
      </c>
      <c r="Q347" s="8" t="s">
        <v>3447</v>
      </c>
      <c r="R347" s="8" t="s">
        <v>3435</v>
      </c>
      <c r="S347" s="19" t="s">
        <v>3448</v>
      </c>
      <c r="T347" s="8" t="s">
        <v>3449</v>
      </c>
      <c r="U347" s="8"/>
      <c r="V347" s="8" t="n">
        <f aca="false">COUNTA(M347:R347)</f>
        <v>6</v>
      </c>
      <c r="W347" s="8" t="s">
        <v>218</v>
      </c>
      <c r="X347" s="8" t="s">
        <v>259</v>
      </c>
      <c r="Y347" s="8" t="s">
        <v>218</v>
      </c>
      <c r="Z347" s="8"/>
      <c r="AA347" s="8" t="s">
        <v>3450</v>
      </c>
      <c r="AB347" s="20"/>
      <c r="AC347" s="20"/>
      <c r="AD347" s="20"/>
      <c r="AE347" s="8" t="s">
        <v>237</v>
      </c>
      <c r="AF347" s="8" t="s">
        <v>224</v>
      </c>
    </row>
    <row r="348" customFormat="false" ht="15" hidden="false" customHeight="false" outlineLevel="0" collapsed="false">
      <c r="A348" s="8" t="s">
        <v>3451</v>
      </c>
      <c r="B348" s="8" t="s">
        <v>3452</v>
      </c>
      <c r="C348" s="8"/>
      <c r="D348" s="8" t="s">
        <v>3435</v>
      </c>
      <c r="E348" s="8"/>
      <c r="F348" s="8" t="s">
        <v>70</v>
      </c>
      <c r="G348" s="8" t="s">
        <v>2789</v>
      </c>
      <c r="H348" s="8" t="s">
        <v>78</v>
      </c>
      <c r="I348" s="8" t="s">
        <v>208</v>
      </c>
      <c r="J348" s="8" t="n">
        <v>1</v>
      </c>
      <c r="K348" s="8" t="n">
        <v>4</v>
      </c>
      <c r="L348" s="18" t="n">
        <f aca="false">INDEX('All Items'!$Q:$Q,MATCH($A348,'All Items'!$A:$A,0))</f>
        <v>8.7</v>
      </c>
      <c r="M348" s="8" t="s">
        <v>3149</v>
      </c>
      <c r="N348" s="8" t="s">
        <v>3453</v>
      </c>
      <c r="O348" s="8" t="s">
        <v>3454</v>
      </c>
      <c r="P348" s="8" t="s">
        <v>3455</v>
      </c>
      <c r="Q348" s="8" t="s">
        <v>3456</v>
      </c>
      <c r="R348" s="8" t="s">
        <v>3457</v>
      </c>
      <c r="S348" s="19" t="s">
        <v>3458</v>
      </c>
      <c r="T348" s="8" t="s">
        <v>3459</v>
      </c>
      <c r="U348" s="8"/>
      <c r="V348" s="8" t="n">
        <f aca="false">COUNTA(M348:R348)</f>
        <v>6</v>
      </c>
      <c r="W348" s="8" t="s">
        <v>218</v>
      </c>
      <c r="X348" s="8" t="s">
        <v>259</v>
      </c>
      <c r="Y348" s="8" t="s">
        <v>218</v>
      </c>
      <c r="Z348" s="8"/>
      <c r="AA348" s="8" t="s">
        <v>3460</v>
      </c>
      <c r="AB348" s="20"/>
      <c r="AC348" s="20"/>
      <c r="AD348" s="20"/>
      <c r="AE348" s="8" t="s">
        <v>237</v>
      </c>
      <c r="AF348" s="8" t="s">
        <v>224</v>
      </c>
    </row>
    <row r="349" customFormat="false" ht="15" hidden="false" customHeight="false" outlineLevel="0" collapsed="false">
      <c r="A349" s="8" t="s">
        <v>3461</v>
      </c>
      <c r="B349" s="8" t="s">
        <v>3462</v>
      </c>
      <c r="C349" s="8" t="s">
        <v>3463</v>
      </c>
      <c r="D349" s="8" t="s">
        <v>3435</v>
      </c>
      <c r="E349" s="8"/>
      <c r="F349" s="8" t="s">
        <v>70</v>
      </c>
      <c r="G349" s="8" t="s">
        <v>2789</v>
      </c>
      <c r="H349" s="8" t="s">
        <v>79</v>
      </c>
      <c r="I349" s="8" t="s">
        <v>208</v>
      </c>
      <c r="J349" s="8" t="n">
        <v>1</v>
      </c>
      <c r="K349" s="8" t="n">
        <v>4</v>
      </c>
      <c r="L349" s="18" t="n">
        <f aca="false">INDEX('All Items'!$Q:$Q,MATCH($A349,'All Items'!$A:$A,0))</f>
        <v>8.7</v>
      </c>
      <c r="M349" s="8" t="s">
        <v>3454</v>
      </c>
      <c r="N349" s="8" t="s">
        <v>2585</v>
      </c>
      <c r="O349" s="8" t="s">
        <v>3464</v>
      </c>
      <c r="P349" s="8" t="s">
        <v>3465</v>
      </c>
      <c r="Q349" s="8" t="s">
        <v>3466</v>
      </c>
      <c r="R349" s="8" t="s">
        <v>3467</v>
      </c>
      <c r="S349" s="19" t="s">
        <v>3468</v>
      </c>
      <c r="T349" s="8" t="s">
        <v>3469</v>
      </c>
      <c r="U349" s="8"/>
      <c r="V349" s="8" t="n">
        <f aca="false">COUNTA(M349:R349)</f>
        <v>6</v>
      </c>
      <c r="W349" s="8" t="s">
        <v>218</v>
      </c>
      <c r="X349" s="8" t="s">
        <v>259</v>
      </c>
      <c r="Y349" s="8" t="s">
        <v>218</v>
      </c>
      <c r="Z349" s="8"/>
      <c r="AA349" s="8" t="s">
        <v>3470</v>
      </c>
      <c r="AB349" s="20" t="s">
        <v>3471</v>
      </c>
      <c r="AC349" s="20" t="s">
        <v>516</v>
      </c>
      <c r="AD349" s="20" t="s">
        <v>3472</v>
      </c>
      <c r="AE349" s="8" t="s">
        <v>223</v>
      </c>
      <c r="AF349" s="8" t="s">
        <v>224</v>
      </c>
    </row>
    <row r="350" customFormat="false" ht="15" hidden="false" customHeight="false" outlineLevel="0" collapsed="false">
      <c r="A350" s="8" t="s">
        <v>3473</v>
      </c>
      <c r="B350" s="8" t="s">
        <v>3474</v>
      </c>
      <c r="C350" s="8" t="s">
        <v>3475</v>
      </c>
      <c r="D350" s="8" t="s">
        <v>3435</v>
      </c>
      <c r="E350" s="8"/>
      <c r="F350" s="8" t="s">
        <v>70</v>
      </c>
      <c r="G350" s="8" t="s">
        <v>2789</v>
      </c>
      <c r="H350" s="8" t="s">
        <v>79</v>
      </c>
      <c r="I350" s="8" t="s">
        <v>208</v>
      </c>
      <c r="J350" s="8" t="n">
        <v>2</v>
      </c>
      <c r="K350" s="8" t="n">
        <v>3</v>
      </c>
      <c r="L350" s="18" t="n">
        <f aca="false">INDEX('All Items'!$Q:$Q,MATCH($A350,'All Items'!$A:$A,0))</f>
        <v>7.4</v>
      </c>
      <c r="M350" s="8" t="s">
        <v>1933</v>
      </c>
      <c r="N350" s="8" t="s">
        <v>3476</v>
      </c>
      <c r="O350" s="8" t="s">
        <v>1008</v>
      </c>
      <c r="P350" s="8" t="s">
        <v>3465</v>
      </c>
      <c r="Q350" s="8" t="s">
        <v>477</v>
      </c>
      <c r="R350" s="8" t="s">
        <v>3467</v>
      </c>
      <c r="S350" s="19" t="s">
        <v>3477</v>
      </c>
      <c r="T350" s="8" t="s">
        <v>3478</v>
      </c>
      <c r="U350" s="8"/>
      <c r="V350" s="8" t="n">
        <f aca="false">COUNTA(M350:R350)</f>
        <v>6</v>
      </c>
      <c r="W350" s="8" t="s">
        <v>218</v>
      </c>
      <c r="X350" s="8" t="s">
        <v>259</v>
      </c>
      <c r="Y350" s="8" t="s">
        <v>218</v>
      </c>
      <c r="Z350" s="8"/>
      <c r="AA350" s="8" t="s">
        <v>3479</v>
      </c>
      <c r="AB350" s="20"/>
      <c r="AC350" s="20"/>
      <c r="AD350" s="20"/>
      <c r="AE350" s="8" t="s">
        <v>237</v>
      </c>
      <c r="AF350" s="8" t="s">
        <v>224</v>
      </c>
    </row>
    <row r="351" customFormat="false" ht="15" hidden="false" customHeight="false" outlineLevel="0" collapsed="false">
      <c r="A351" s="8" t="s">
        <v>3480</v>
      </c>
      <c r="B351" s="8" t="s">
        <v>3481</v>
      </c>
      <c r="C351" s="8"/>
      <c r="D351" s="8" t="s">
        <v>3435</v>
      </c>
      <c r="E351" s="8"/>
      <c r="F351" s="8" t="s">
        <v>70</v>
      </c>
      <c r="G351" s="8" t="s">
        <v>2789</v>
      </c>
      <c r="H351" s="8" t="s">
        <v>83</v>
      </c>
      <c r="I351" s="8" t="s">
        <v>208</v>
      </c>
      <c r="J351" s="8" t="n">
        <v>2</v>
      </c>
      <c r="K351" s="8" t="n">
        <v>3</v>
      </c>
      <c r="L351" s="18" t="n">
        <f aca="false">INDEX('All Items'!$Q:$Q,MATCH($A351,'All Items'!$A:$A,0))</f>
        <v>7.4</v>
      </c>
      <c r="M351" s="8" t="s">
        <v>3482</v>
      </c>
      <c r="N351" s="8" t="s">
        <v>2652</v>
      </c>
      <c r="O351" s="8" t="s">
        <v>3320</v>
      </c>
      <c r="P351" s="8" t="s">
        <v>1307</v>
      </c>
      <c r="Q351" s="8" t="s">
        <v>3483</v>
      </c>
      <c r="R351" s="8" t="s">
        <v>3484</v>
      </c>
      <c r="S351" s="19" t="s">
        <v>3485</v>
      </c>
      <c r="T351" s="8" t="s">
        <v>3486</v>
      </c>
      <c r="U351" s="8" t="s">
        <v>3484</v>
      </c>
      <c r="V351" s="8" t="n">
        <f aca="false">COUNTA(M351:R351)</f>
        <v>6</v>
      </c>
      <c r="W351" s="8" t="s">
        <v>218</v>
      </c>
      <c r="X351" s="8" t="s">
        <v>259</v>
      </c>
      <c r="Y351" s="8" t="s">
        <v>218</v>
      </c>
      <c r="Z351" s="8"/>
      <c r="AA351" s="8" t="s">
        <v>3487</v>
      </c>
      <c r="AB351" s="20" t="s">
        <v>3488</v>
      </c>
      <c r="AC351" s="20" t="s">
        <v>1837</v>
      </c>
      <c r="AD351" s="20" t="s">
        <v>3412</v>
      </c>
      <c r="AE351" s="8" t="s">
        <v>223</v>
      </c>
      <c r="AF351" s="8" t="s">
        <v>224</v>
      </c>
    </row>
    <row r="352" customFormat="false" ht="15" hidden="false" customHeight="false" outlineLevel="0" collapsed="false">
      <c r="A352" s="8" t="s">
        <v>3489</v>
      </c>
      <c r="B352" s="8" t="s">
        <v>3490</v>
      </c>
      <c r="C352" s="8"/>
      <c r="D352" s="8" t="s">
        <v>3435</v>
      </c>
      <c r="E352" s="8"/>
      <c r="F352" s="8" t="s">
        <v>70</v>
      </c>
      <c r="G352" s="8" t="s">
        <v>2789</v>
      </c>
      <c r="H352" s="8" t="s">
        <v>85</v>
      </c>
      <c r="I352" s="8" t="s">
        <v>208</v>
      </c>
      <c r="J352" s="8" t="n">
        <v>2</v>
      </c>
      <c r="K352" s="8" t="n">
        <v>3</v>
      </c>
      <c r="L352" s="18" t="n">
        <f aca="false">INDEX('All Items'!$Q:$Q,MATCH($A352,'All Items'!$A:$A,0))</f>
        <v>7.4</v>
      </c>
      <c r="M352" s="8" t="s">
        <v>3138</v>
      </c>
      <c r="N352" s="8" t="s">
        <v>3491</v>
      </c>
      <c r="O352" s="8" t="s">
        <v>3149</v>
      </c>
      <c r="P352" s="8" t="s">
        <v>3492</v>
      </c>
      <c r="Q352" s="8" t="s">
        <v>3493</v>
      </c>
      <c r="R352" s="8" t="s">
        <v>3494</v>
      </c>
      <c r="S352" s="19" t="s">
        <v>3495</v>
      </c>
      <c r="T352" s="8" t="s">
        <v>3496</v>
      </c>
      <c r="U352" s="8"/>
      <c r="V352" s="8" t="n">
        <f aca="false">COUNTA(M352:R352)</f>
        <v>6</v>
      </c>
      <c r="W352" s="8" t="s">
        <v>218</v>
      </c>
      <c r="X352" s="8" t="s">
        <v>259</v>
      </c>
      <c r="Y352" s="8" t="s">
        <v>218</v>
      </c>
      <c r="Z352" s="8"/>
      <c r="AA352" s="8" t="s">
        <v>3497</v>
      </c>
      <c r="AB352" s="20"/>
      <c r="AC352" s="20"/>
      <c r="AD352" s="20"/>
      <c r="AE352" s="8" t="s">
        <v>237</v>
      </c>
      <c r="AF352" s="8" t="s">
        <v>224</v>
      </c>
    </row>
    <row r="353" customFormat="false" ht="15" hidden="false" customHeight="false" outlineLevel="0" collapsed="false">
      <c r="A353" s="8" t="s">
        <v>3498</v>
      </c>
      <c r="B353" s="8" t="s">
        <v>3499</v>
      </c>
      <c r="C353" s="8"/>
      <c r="D353" s="8" t="s">
        <v>3435</v>
      </c>
      <c r="E353" s="8"/>
      <c r="F353" s="8" t="s">
        <v>70</v>
      </c>
      <c r="G353" s="8" t="s">
        <v>2789</v>
      </c>
      <c r="H353" s="8" t="s">
        <v>78</v>
      </c>
      <c r="I353" s="8" t="s">
        <v>208</v>
      </c>
      <c r="J353" s="8" t="n">
        <v>2</v>
      </c>
      <c r="K353" s="8" t="n">
        <v>3</v>
      </c>
      <c r="L353" s="18" t="n">
        <f aca="false">INDEX('All Items'!$Q:$Q,MATCH($A353,'All Items'!$A:$A,0))</f>
        <v>7.15</v>
      </c>
      <c r="M353" s="8" t="s">
        <v>3500</v>
      </c>
      <c r="N353" s="8" t="s">
        <v>2623</v>
      </c>
      <c r="O353" s="8" t="s">
        <v>2585</v>
      </c>
      <c r="P353" s="8" t="s">
        <v>3501</v>
      </c>
      <c r="Q353" s="8" t="s">
        <v>3502</v>
      </c>
      <c r="R353" s="8" t="s">
        <v>3467</v>
      </c>
      <c r="S353" s="19" t="s">
        <v>3503</v>
      </c>
      <c r="T353" s="8" t="s">
        <v>3504</v>
      </c>
      <c r="U353" s="8"/>
      <c r="V353" s="8" t="n">
        <f aca="false">COUNTA(M353:R353)</f>
        <v>6</v>
      </c>
      <c r="W353" s="8" t="s">
        <v>218</v>
      </c>
      <c r="X353" s="8" t="s">
        <v>259</v>
      </c>
      <c r="Y353" s="8" t="s">
        <v>218</v>
      </c>
      <c r="Z353" s="8"/>
      <c r="AA353" s="8" t="s">
        <v>3505</v>
      </c>
      <c r="AB353" s="20"/>
      <c r="AC353" s="20"/>
      <c r="AD353" s="20"/>
      <c r="AE353" s="8" t="s">
        <v>237</v>
      </c>
      <c r="AF353" s="8" t="s">
        <v>224</v>
      </c>
    </row>
    <row r="354" customFormat="false" ht="15" hidden="false" customHeight="false" outlineLevel="0" collapsed="false">
      <c r="A354" s="8" t="s">
        <v>3506</v>
      </c>
      <c r="B354" s="8" t="s">
        <v>3507</v>
      </c>
      <c r="C354" s="8"/>
      <c r="D354" s="8" t="s">
        <v>3508</v>
      </c>
      <c r="E354" s="8"/>
      <c r="F354" s="8" t="s">
        <v>70</v>
      </c>
      <c r="G354" s="8" t="s">
        <v>2789</v>
      </c>
      <c r="H354" s="8" t="s">
        <v>85</v>
      </c>
      <c r="I354" s="8" t="s">
        <v>208</v>
      </c>
      <c r="J354" s="8" t="n">
        <v>1</v>
      </c>
      <c r="K354" s="8" t="n">
        <v>3</v>
      </c>
      <c r="L354" s="18" t="n">
        <f aca="false">INDEX('All Items'!$Q:$Q,MATCH($A354,'All Items'!$A:$A,0))</f>
        <v>7.4</v>
      </c>
      <c r="M354" s="8" t="s">
        <v>791</v>
      </c>
      <c r="N354" s="8" t="s">
        <v>2009</v>
      </c>
      <c r="O354" s="8" t="s">
        <v>3509</v>
      </c>
      <c r="P354" s="8" t="s">
        <v>3510</v>
      </c>
      <c r="Q354" s="8" t="s">
        <v>3511</v>
      </c>
      <c r="R354" s="8" t="s">
        <v>3512</v>
      </c>
      <c r="S354" s="19" t="s">
        <v>3513</v>
      </c>
      <c r="T354" s="8" t="s">
        <v>3514</v>
      </c>
      <c r="U354" s="8"/>
      <c r="V354" s="8" t="n">
        <f aca="false">COUNTA(M354:R354)</f>
        <v>6</v>
      </c>
      <c r="W354" s="8" t="s">
        <v>218</v>
      </c>
      <c r="X354" s="8" t="s">
        <v>259</v>
      </c>
      <c r="Y354" s="8" t="s">
        <v>218</v>
      </c>
      <c r="Z354" s="8"/>
      <c r="AA354" s="8" t="s">
        <v>3515</v>
      </c>
      <c r="AB354" s="20" t="s">
        <v>3516</v>
      </c>
      <c r="AC354" s="20" t="s">
        <v>221</v>
      </c>
      <c r="AD354" s="20" t="s">
        <v>3517</v>
      </c>
      <c r="AE354" s="8" t="s">
        <v>223</v>
      </c>
      <c r="AF354" s="8" t="s">
        <v>224</v>
      </c>
    </row>
    <row r="355" customFormat="false" ht="15" hidden="false" customHeight="false" outlineLevel="0" collapsed="false">
      <c r="A355" s="8" t="s">
        <v>3518</v>
      </c>
      <c r="B355" s="8" t="s">
        <v>3519</v>
      </c>
      <c r="C355" s="8"/>
      <c r="D355" s="8" t="s">
        <v>3508</v>
      </c>
      <c r="E355" s="8"/>
      <c r="F355" s="8" t="s">
        <v>70</v>
      </c>
      <c r="G355" s="8" t="s">
        <v>2789</v>
      </c>
      <c r="H355" s="8" t="s">
        <v>78</v>
      </c>
      <c r="I355" s="8" t="s">
        <v>208</v>
      </c>
      <c r="J355" s="8" t="n">
        <v>1</v>
      </c>
      <c r="K355" s="8" t="n">
        <v>4</v>
      </c>
      <c r="L355" s="18" t="n">
        <f aca="false">INDEX('All Items'!$Q:$Q,MATCH($A355,'All Items'!$A:$A,0))</f>
        <v>8.7</v>
      </c>
      <c r="M355" s="8" t="s">
        <v>3520</v>
      </c>
      <c r="N355" s="8" t="s">
        <v>3521</v>
      </c>
      <c r="O355" s="8" t="s">
        <v>3425</v>
      </c>
      <c r="P355" s="8" t="s">
        <v>3522</v>
      </c>
      <c r="Q355" s="8" t="s">
        <v>3523</v>
      </c>
      <c r="R355" s="8" t="s">
        <v>3524</v>
      </c>
      <c r="S355" s="19" t="s">
        <v>3525</v>
      </c>
      <c r="T355" s="8" t="s">
        <v>3526</v>
      </c>
      <c r="U355" s="8"/>
      <c r="V355" s="8" t="n">
        <f aca="false">COUNTA(M355:R355)</f>
        <v>6</v>
      </c>
      <c r="W355" s="8" t="s">
        <v>218</v>
      </c>
      <c r="X355" s="8" t="s">
        <v>259</v>
      </c>
      <c r="Y355" s="8" t="s">
        <v>218</v>
      </c>
      <c r="Z355" s="8"/>
      <c r="AA355" s="8" t="s">
        <v>3527</v>
      </c>
      <c r="AB355" s="20"/>
      <c r="AC355" s="20"/>
      <c r="AD355" s="20"/>
      <c r="AE355" s="8" t="s">
        <v>237</v>
      </c>
      <c r="AF355" s="8" t="s">
        <v>224</v>
      </c>
    </row>
    <row r="356" customFormat="false" ht="15" hidden="false" customHeight="false" outlineLevel="0" collapsed="false">
      <c r="A356" s="8" t="s">
        <v>3528</v>
      </c>
      <c r="B356" s="8" t="s">
        <v>3529</v>
      </c>
      <c r="C356" s="8"/>
      <c r="D356" s="8" t="s">
        <v>3508</v>
      </c>
      <c r="E356" s="8"/>
      <c r="F356" s="8" t="s">
        <v>70</v>
      </c>
      <c r="G356" s="8" t="s">
        <v>2789</v>
      </c>
      <c r="H356" s="8" t="s">
        <v>83</v>
      </c>
      <c r="I356" s="8" t="s">
        <v>208</v>
      </c>
      <c r="J356" s="8" t="n">
        <v>1</v>
      </c>
      <c r="K356" s="8" t="n">
        <v>3</v>
      </c>
      <c r="L356" s="18" t="n">
        <f aca="false">INDEX('All Items'!$Q:$Q,MATCH($A356,'All Items'!$A:$A,0))</f>
        <v>7.4</v>
      </c>
      <c r="M356" s="8" t="s">
        <v>3530</v>
      </c>
      <c r="N356" s="8" t="s">
        <v>2585</v>
      </c>
      <c r="O356" s="8" t="s">
        <v>3531</v>
      </c>
      <c r="P356" s="8" t="s">
        <v>1792</v>
      </c>
      <c r="Q356" s="8" t="s">
        <v>3405</v>
      </c>
      <c r="R356" s="8" t="s">
        <v>3532</v>
      </c>
      <c r="S356" s="19" t="s">
        <v>3533</v>
      </c>
      <c r="T356" s="8" t="s">
        <v>3534</v>
      </c>
      <c r="U356" s="8"/>
      <c r="V356" s="8" t="n">
        <f aca="false">COUNTA(M356:R356)</f>
        <v>6</v>
      </c>
      <c r="W356" s="8" t="s">
        <v>218</v>
      </c>
      <c r="X356" s="8" t="s">
        <v>259</v>
      </c>
      <c r="Y356" s="8" t="s">
        <v>259</v>
      </c>
      <c r="Z356" s="8" t="s">
        <v>3535</v>
      </c>
      <c r="AA356" s="8" t="s">
        <v>3536</v>
      </c>
      <c r="AB356" s="20"/>
      <c r="AC356" s="20"/>
      <c r="AD356" s="20"/>
      <c r="AE356" s="8" t="s">
        <v>237</v>
      </c>
      <c r="AF356" s="8" t="s">
        <v>224</v>
      </c>
    </row>
    <row r="357" customFormat="false" ht="15" hidden="false" customHeight="false" outlineLevel="0" collapsed="false">
      <c r="A357" s="8" t="s">
        <v>3537</v>
      </c>
      <c r="B357" s="8" t="s">
        <v>3538</v>
      </c>
      <c r="C357" s="8"/>
      <c r="D357" s="8" t="s">
        <v>3508</v>
      </c>
      <c r="E357" s="8"/>
      <c r="F357" s="8" t="s">
        <v>70</v>
      </c>
      <c r="G357" s="8" t="s">
        <v>2789</v>
      </c>
      <c r="H357" s="8" t="s">
        <v>82</v>
      </c>
      <c r="I357" s="8" t="s">
        <v>227</v>
      </c>
      <c r="J357" s="8" t="n">
        <v>1</v>
      </c>
      <c r="K357" s="8" t="n">
        <v>3</v>
      </c>
      <c r="L357" s="18" t="n">
        <f aca="false">INDEX('All Items'!$Q:$Q,MATCH($A357,'All Items'!$A:$A,0))</f>
        <v>7.15</v>
      </c>
      <c r="M357" s="8" t="s">
        <v>1313</v>
      </c>
      <c r="N357" s="8" t="s">
        <v>3539</v>
      </c>
      <c r="O357" s="8" t="s">
        <v>3540</v>
      </c>
      <c r="P357" s="8" t="s">
        <v>2804</v>
      </c>
      <c r="Q357" s="8" t="s">
        <v>3532</v>
      </c>
      <c r="R357" s="8"/>
      <c r="S357" s="19" t="s">
        <v>3541</v>
      </c>
      <c r="T357" s="8" t="s">
        <v>3542</v>
      </c>
      <c r="U357" s="8"/>
      <c r="V357" s="8" t="n">
        <f aca="false">COUNTA(M357:R357)</f>
        <v>5</v>
      </c>
      <c r="W357" s="8" t="s">
        <v>218</v>
      </c>
      <c r="X357" s="8" t="s">
        <v>259</v>
      </c>
      <c r="Y357" s="8" t="s">
        <v>259</v>
      </c>
      <c r="Z357" s="8" t="s">
        <v>3543</v>
      </c>
      <c r="AA357" s="8" t="s">
        <v>3544</v>
      </c>
      <c r="AB357" s="20"/>
      <c r="AC357" s="20"/>
      <c r="AD357" s="20"/>
      <c r="AE357" s="8" t="s">
        <v>237</v>
      </c>
      <c r="AF357" s="8" t="s">
        <v>224</v>
      </c>
    </row>
    <row r="358" customFormat="false" ht="15" hidden="false" customHeight="false" outlineLevel="0" collapsed="false">
      <c r="A358" s="8" t="s">
        <v>3545</v>
      </c>
      <c r="B358" s="8" t="s">
        <v>3546</v>
      </c>
      <c r="C358" s="8"/>
      <c r="D358" s="8" t="s">
        <v>3547</v>
      </c>
      <c r="E358" s="8"/>
      <c r="F358" s="8" t="s">
        <v>70</v>
      </c>
      <c r="G358" s="8" t="s">
        <v>2789</v>
      </c>
      <c r="H358" s="8" t="s">
        <v>81</v>
      </c>
      <c r="I358" s="8" t="s">
        <v>208</v>
      </c>
      <c r="J358" s="8" t="n">
        <v>1</v>
      </c>
      <c r="K358" s="8" t="n">
        <v>4</v>
      </c>
      <c r="L358" s="18" t="n">
        <f aca="false">INDEX('All Items'!$Q:$Q,MATCH($A358,'All Items'!$A:$A,0))</f>
        <v>8.45</v>
      </c>
      <c r="M358" s="8" t="s">
        <v>3320</v>
      </c>
      <c r="N358" s="8" t="s">
        <v>3548</v>
      </c>
      <c r="O358" s="8" t="s">
        <v>3464</v>
      </c>
      <c r="P358" s="8" t="s">
        <v>285</v>
      </c>
      <c r="Q358" s="8" t="s">
        <v>2963</v>
      </c>
      <c r="R358" s="8"/>
      <c r="S358" s="19" t="s">
        <v>3549</v>
      </c>
      <c r="T358" s="8" t="s">
        <v>3550</v>
      </c>
      <c r="U358" s="8"/>
      <c r="V358" s="8" t="n">
        <f aca="false">COUNTA(M358:R358)</f>
        <v>5</v>
      </c>
      <c r="W358" s="8" t="s">
        <v>218</v>
      </c>
      <c r="X358" s="8" t="s">
        <v>259</v>
      </c>
      <c r="Y358" s="8" t="s">
        <v>259</v>
      </c>
      <c r="Z358" s="8" t="s">
        <v>3551</v>
      </c>
      <c r="AA358" s="8" t="s">
        <v>3552</v>
      </c>
      <c r="AB358" s="20"/>
      <c r="AC358" s="20"/>
      <c r="AD358" s="20"/>
      <c r="AE358" s="8" t="s">
        <v>237</v>
      </c>
      <c r="AF358" s="8" t="s">
        <v>224</v>
      </c>
    </row>
    <row r="359" customFormat="false" ht="15" hidden="false" customHeight="false" outlineLevel="0" collapsed="false">
      <c r="A359" s="8" t="s">
        <v>3553</v>
      </c>
      <c r="B359" s="8" t="s">
        <v>3554</v>
      </c>
      <c r="C359" s="8"/>
      <c r="D359" s="8" t="s">
        <v>3547</v>
      </c>
      <c r="E359" s="8"/>
      <c r="F359" s="8" t="s">
        <v>70</v>
      </c>
      <c r="G359" s="8" t="s">
        <v>2789</v>
      </c>
      <c r="H359" s="8" t="s">
        <v>78</v>
      </c>
      <c r="I359" s="8" t="s">
        <v>208</v>
      </c>
      <c r="J359" s="8" t="n">
        <v>1</v>
      </c>
      <c r="K359" s="8" t="n">
        <v>3</v>
      </c>
      <c r="L359" s="18" t="n">
        <f aca="false">INDEX('All Items'!$Q:$Q,MATCH($A359,'All Items'!$A:$A,0))</f>
        <v>7.4</v>
      </c>
      <c r="M359" s="8" t="s">
        <v>3320</v>
      </c>
      <c r="N359" s="8" t="s">
        <v>3555</v>
      </c>
      <c r="O359" s="8" t="s">
        <v>995</v>
      </c>
      <c r="P359" s="8" t="s">
        <v>3556</v>
      </c>
      <c r="Q359" s="8" t="s">
        <v>3557</v>
      </c>
      <c r="R359" s="8" t="s">
        <v>3558</v>
      </c>
      <c r="S359" s="19" t="s">
        <v>3559</v>
      </c>
      <c r="T359" s="8" t="s">
        <v>3560</v>
      </c>
      <c r="U359" s="8"/>
      <c r="V359" s="8" t="n">
        <f aca="false">COUNTA(M359:R359)</f>
        <v>6</v>
      </c>
      <c r="W359" s="8" t="s">
        <v>218</v>
      </c>
      <c r="X359" s="8" t="s">
        <v>259</v>
      </c>
      <c r="Y359" s="8" t="s">
        <v>259</v>
      </c>
      <c r="Z359" s="8" t="s">
        <v>3561</v>
      </c>
      <c r="AA359" s="8" t="s">
        <v>3562</v>
      </c>
      <c r="AB359" s="20" t="s">
        <v>3563</v>
      </c>
      <c r="AC359" s="20" t="s">
        <v>595</v>
      </c>
      <c r="AD359" s="20" t="s">
        <v>3564</v>
      </c>
      <c r="AE359" s="8" t="s">
        <v>223</v>
      </c>
      <c r="AF359" s="8" t="s">
        <v>224</v>
      </c>
    </row>
    <row r="360" customFormat="false" ht="15" hidden="false" customHeight="false" outlineLevel="0" collapsed="false">
      <c r="A360" s="8" t="s">
        <v>3565</v>
      </c>
      <c r="B360" s="8" t="s">
        <v>3566</v>
      </c>
      <c r="C360" s="8"/>
      <c r="D360" s="8" t="s">
        <v>3547</v>
      </c>
      <c r="E360" s="8"/>
      <c r="F360" s="8" t="s">
        <v>70</v>
      </c>
      <c r="G360" s="8" t="s">
        <v>2789</v>
      </c>
      <c r="H360" s="8" t="s">
        <v>85</v>
      </c>
      <c r="I360" s="8" t="s">
        <v>1030</v>
      </c>
      <c r="J360" s="8" t="n">
        <v>1</v>
      </c>
      <c r="K360" s="8" t="n">
        <v>4</v>
      </c>
      <c r="L360" s="18" t="n">
        <f aca="false">INDEX('All Items'!$Q:$Q,MATCH($A360,'All Items'!$A:$A,0))</f>
        <v>8.7</v>
      </c>
      <c r="M360" s="8" t="s">
        <v>1295</v>
      </c>
      <c r="N360" s="8" t="s">
        <v>3510</v>
      </c>
      <c r="O360" s="8" t="s">
        <v>3138</v>
      </c>
      <c r="P360" s="8" t="s">
        <v>3548</v>
      </c>
      <c r="Q360" s="8" t="s">
        <v>3302</v>
      </c>
      <c r="R360" s="8" t="s">
        <v>3558</v>
      </c>
      <c r="S360" s="19" t="s">
        <v>3567</v>
      </c>
      <c r="T360" s="8" t="s">
        <v>3568</v>
      </c>
      <c r="U360" s="8"/>
      <c r="V360" s="8" t="n">
        <f aca="false">COUNTA(M360:R360)</f>
        <v>6</v>
      </c>
      <c r="W360" s="8" t="s">
        <v>218</v>
      </c>
      <c r="X360" s="8" t="s">
        <v>259</v>
      </c>
      <c r="Y360" s="8" t="s">
        <v>218</v>
      </c>
      <c r="Z360" s="8"/>
      <c r="AA360" s="8" t="s">
        <v>3569</v>
      </c>
      <c r="AB360" s="20" t="s">
        <v>3570</v>
      </c>
      <c r="AC360" s="20" t="s">
        <v>384</v>
      </c>
      <c r="AD360" s="20" t="s">
        <v>3571</v>
      </c>
      <c r="AE360" s="8" t="s">
        <v>223</v>
      </c>
      <c r="AF360" s="8" t="s">
        <v>224</v>
      </c>
    </row>
    <row r="361" customFormat="false" ht="15" hidden="false" customHeight="false" outlineLevel="0" collapsed="false">
      <c r="A361" s="8" t="s">
        <v>3572</v>
      </c>
      <c r="B361" s="8" t="s">
        <v>3573</v>
      </c>
      <c r="C361" s="8"/>
      <c r="D361" s="8" t="s">
        <v>3547</v>
      </c>
      <c r="E361" s="8"/>
      <c r="F361" s="8" t="s">
        <v>70</v>
      </c>
      <c r="G361" s="8" t="s">
        <v>2789</v>
      </c>
      <c r="H361" s="8" t="s">
        <v>78</v>
      </c>
      <c r="I361" s="8" t="s">
        <v>1030</v>
      </c>
      <c r="J361" s="8" t="n">
        <v>2</v>
      </c>
      <c r="K361" s="8" t="n">
        <v>3</v>
      </c>
      <c r="L361" s="18" t="n">
        <f aca="false">INDEX('All Items'!$Q:$Q,MATCH($A361,'All Items'!$A:$A,0))</f>
        <v>7.4</v>
      </c>
      <c r="M361" s="8" t="s">
        <v>1313</v>
      </c>
      <c r="N361" s="8" t="s">
        <v>1371</v>
      </c>
      <c r="O361" s="8" t="s">
        <v>1295</v>
      </c>
      <c r="P361" s="8" t="s">
        <v>3548</v>
      </c>
      <c r="Q361" s="8" t="s">
        <v>3574</v>
      </c>
      <c r="R361" s="8" t="s">
        <v>3558</v>
      </c>
      <c r="S361" s="19" t="s">
        <v>3575</v>
      </c>
      <c r="T361" s="8" t="s">
        <v>3576</v>
      </c>
      <c r="U361" s="8"/>
      <c r="V361" s="8" t="n">
        <f aca="false">COUNTA(M361:R361)</f>
        <v>6</v>
      </c>
      <c r="W361" s="8" t="s">
        <v>218</v>
      </c>
      <c r="X361" s="8" t="s">
        <v>259</v>
      </c>
      <c r="Y361" s="8" t="s">
        <v>218</v>
      </c>
      <c r="Z361" s="8"/>
      <c r="AA361" s="8" t="s">
        <v>3577</v>
      </c>
      <c r="AB361" s="20" t="s">
        <v>3578</v>
      </c>
      <c r="AC361" s="20" t="s">
        <v>1174</v>
      </c>
      <c r="AD361" s="20" t="s">
        <v>3579</v>
      </c>
      <c r="AE361" s="8" t="s">
        <v>223</v>
      </c>
      <c r="AF361" s="8" t="s">
        <v>224</v>
      </c>
    </row>
    <row r="362" customFormat="false" ht="15" hidden="false" customHeight="false" outlineLevel="0" collapsed="false">
      <c r="A362" s="8" t="s">
        <v>3580</v>
      </c>
      <c r="B362" s="8" t="s">
        <v>3581</v>
      </c>
      <c r="C362" s="8"/>
      <c r="D362" s="8" t="s">
        <v>3547</v>
      </c>
      <c r="E362" s="8"/>
      <c r="F362" s="8" t="s">
        <v>70</v>
      </c>
      <c r="G362" s="8" t="s">
        <v>2789</v>
      </c>
      <c r="H362" s="8" t="s">
        <v>89</v>
      </c>
      <c r="I362" s="8" t="s">
        <v>227</v>
      </c>
      <c r="J362" s="8" t="n">
        <v>1</v>
      </c>
      <c r="K362" s="8" t="n">
        <v>4</v>
      </c>
      <c r="L362" s="18" t="n">
        <f aca="false">INDEX('All Items'!$Q:$Q,MATCH($A362,'All Items'!$A:$A,0))</f>
        <v>8.7</v>
      </c>
      <c r="M362" s="8" t="s">
        <v>2009</v>
      </c>
      <c r="N362" s="8" t="s">
        <v>2979</v>
      </c>
      <c r="O362" s="8" t="s">
        <v>3582</v>
      </c>
      <c r="P362" s="8" t="s">
        <v>3583</v>
      </c>
      <c r="Q362" s="8" t="s">
        <v>3464</v>
      </c>
      <c r="R362" s="8" t="s">
        <v>3558</v>
      </c>
      <c r="S362" s="19" t="s">
        <v>3584</v>
      </c>
      <c r="T362" s="8" t="s">
        <v>3585</v>
      </c>
      <c r="U362" s="8"/>
      <c r="V362" s="8" t="n">
        <f aca="false">COUNTA(M362:R362)</f>
        <v>6</v>
      </c>
      <c r="W362" s="8" t="s">
        <v>218</v>
      </c>
      <c r="X362" s="8" t="s">
        <v>259</v>
      </c>
      <c r="Y362" s="8" t="s">
        <v>218</v>
      </c>
      <c r="Z362" s="8"/>
      <c r="AA362" s="8" t="s">
        <v>3586</v>
      </c>
      <c r="AB362" s="20"/>
      <c r="AC362" s="20"/>
      <c r="AD362" s="20"/>
      <c r="AE362" s="8" t="s">
        <v>237</v>
      </c>
      <c r="AF362" s="8" t="s">
        <v>224</v>
      </c>
    </row>
    <row r="363" customFormat="false" ht="15" hidden="false" customHeight="false" outlineLevel="0" collapsed="false">
      <c r="A363" s="8" t="s">
        <v>3587</v>
      </c>
      <c r="B363" s="8" t="s">
        <v>3588</v>
      </c>
      <c r="C363" s="8"/>
      <c r="D363" s="8" t="s">
        <v>3547</v>
      </c>
      <c r="E363" s="8"/>
      <c r="F363" s="8" t="s">
        <v>70</v>
      </c>
      <c r="G363" s="8" t="s">
        <v>2789</v>
      </c>
      <c r="H363" s="8" t="s">
        <v>83</v>
      </c>
      <c r="I363" s="8" t="s">
        <v>208</v>
      </c>
      <c r="J363" s="8" t="n">
        <v>2</v>
      </c>
      <c r="K363" s="8" t="n">
        <v>3</v>
      </c>
      <c r="L363" s="18" t="n">
        <f aca="false">INDEX('All Items'!$Q:$Q,MATCH($A363,'All Items'!$A:$A,0))</f>
        <v>7.4</v>
      </c>
      <c r="M363" s="8" t="s">
        <v>2009</v>
      </c>
      <c r="N363" s="8" t="s">
        <v>3185</v>
      </c>
      <c r="O363" s="8" t="s">
        <v>3589</v>
      </c>
      <c r="P363" s="8" t="s">
        <v>213</v>
      </c>
      <c r="Q363" s="8" t="s">
        <v>3590</v>
      </c>
      <c r="R363" s="8" t="s">
        <v>3558</v>
      </c>
      <c r="S363" s="19" t="s">
        <v>3591</v>
      </c>
      <c r="T363" s="8" t="s">
        <v>3592</v>
      </c>
      <c r="U363" s="8"/>
      <c r="V363" s="8" t="n">
        <f aca="false">COUNTA(M363:R363)</f>
        <v>6</v>
      </c>
      <c r="W363" s="8" t="s">
        <v>218</v>
      </c>
      <c r="X363" s="8" t="s">
        <v>259</v>
      </c>
      <c r="Y363" s="8" t="s">
        <v>218</v>
      </c>
      <c r="Z363" s="8"/>
      <c r="AA363" s="8" t="s">
        <v>3593</v>
      </c>
      <c r="AB363" s="20"/>
      <c r="AC363" s="20"/>
      <c r="AD363" s="20"/>
      <c r="AE363" s="8" t="s">
        <v>237</v>
      </c>
      <c r="AF363" s="8" t="s">
        <v>224</v>
      </c>
    </row>
    <row r="364" customFormat="false" ht="15" hidden="false" customHeight="false" outlineLevel="0" collapsed="false">
      <c r="A364" s="8" t="s">
        <v>3594</v>
      </c>
      <c r="B364" s="8" t="s">
        <v>3595</v>
      </c>
      <c r="C364" s="8"/>
      <c r="D364" s="8" t="s">
        <v>3547</v>
      </c>
      <c r="E364" s="8"/>
      <c r="F364" s="8" t="s">
        <v>70</v>
      </c>
      <c r="G364" s="8" t="s">
        <v>2789</v>
      </c>
      <c r="H364" s="8" t="s">
        <v>81</v>
      </c>
      <c r="I364" s="8" t="s">
        <v>1030</v>
      </c>
      <c r="J364" s="8" t="n">
        <v>2</v>
      </c>
      <c r="K364" s="8" t="n">
        <v>3</v>
      </c>
      <c r="L364" s="18" t="n">
        <f aca="false">INDEX('All Items'!$Q:$Q,MATCH($A364,'All Items'!$A:$A,0))</f>
        <v>7.15</v>
      </c>
      <c r="M364" s="8" t="s">
        <v>1781</v>
      </c>
      <c r="N364" s="8" t="s">
        <v>1313</v>
      </c>
      <c r="O364" s="8" t="s">
        <v>2522</v>
      </c>
      <c r="P364" s="8" t="s">
        <v>3596</v>
      </c>
      <c r="Q364" s="8" t="s">
        <v>3597</v>
      </c>
      <c r="R364" s="8"/>
      <c r="S364" s="19" t="s">
        <v>3598</v>
      </c>
      <c r="T364" s="8" t="s">
        <v>3599</v>
      </c>
      <c r="U364" s="8"/>
      <c r="V364" s="8" t="n">
        <f aca="false">COUNTA(M364:R364)</f>
        <v>5</v>
      </c>
      <c r="W364" s="8" t="s">
        <v>218</v>
      </c>
      <c r="X364" s="8" t="s">
        <v>259</v>
      </c>
      <c r="Y364" s="8" t="s">
        <v>218</v>
      </c>
      <c r="Z364" s="8"/>
      <c r="AA364" s="8" t="s">
        <v>3600</v>
      </c>
      <c r="AB364" s="20" t="s">
        <v>3601</v>
      </c>
      <c r="AC364" s="20" t="s">
        <v>221</v>
      </c>
      <c r="AD364" s="20" t="s">
        <v>3602</v>
      </c>
      <c r="AE364" s="8" t="s">
        <v>223</v>
      </c>
      <c r="AF364" s="8" t="s">
        <v>224</v>
      </c>
    </row>
    <row r="365" customFormat="false" ht="15" hidden="false" customHeight="false" outlineLevel="0" collapsed="false">
      <c r="A365" s="8" t="s">
        <v>3603</v>
      </c>
      <c r="B365" s="8" t="s">
        <v>3604</v>
      </c>
      <c r="C365" s="8"/>
      <c r="D365" s="8" t="s">
        <v>3547</v>
      </c>
      <c r="E365" s="8"/>
      <c r="F365" s="8" t="s">
        <v>70</v>
      </c>
      <c r="G365" s="8" t="s">
        <v>2789</v>
      </c>
      <c r="H365" s="8" t="s">
        <v>83</v>
      </c>
      <c r="I365" s="8" t="s">
        <v>208</v>
      </c>
      <c r="J365" s="8" t="n">
        <v>2</v>
      </c>
      <c r="K365" s="8" t="n">
        <v>3</v>
      </c>
      <c r="L365" s="18" t="n">
        <f aca="false">INDEX('All Items'!$Q:$Q,MATCH($A365,'All Items'!$A:$A,0))</f>
        <v>7.4</v>
      </c>
      <c r="M365" s="8" t="s">
        <v>1792</v>
      </c>
      <c r="N365" s="8" t="s">
        <v>2979</v>
      </c>
      <c r="O365" s="8" t="s">
        <v>2883</v>
      </c>
      <c r="P365" s="8" t="s">
        <v>3605</v>
      </c>
      <c r="Q365" s="8" t="s">
        <v>3606</v>
      </c>
      <c r="R365" s="8" t="s">
        <v>3558</v>
      </c>
      <c r="S365" s="19" t="s">
        <v>3607</v>
      </c>
      <c r="T365" s="8" t="s">
        <v>3608</v>
      </c>
      <c r="U365" s="8"/>
      <c r="V365" s="8" t="n">
        <f aca="false">COUNTA(M365:R365)</f>
        <v>6</v>
      </c>
      <c r="W365" s="8" t="s">
        <v>218</v>
      </c>
      <c r="X365" s="8" t="s">
        <v>259</v>
      </c>
      <c r="Y365" s="8" t="s">
        <v>218</v>
      </c>
      <c r="Z365" s="8"/>
      <c r="AA365" s="8" t="s">
        <v>3609</v>
      </c>
      <c r="AB365" s="20"/>
      <c r="AC365" s="20"/>
      <c r="AD365" s="20"/>
      <c r="AE365" s="8" t="s">
        <v>237</v>
      </c>
      <c r="AF365" s="8" t="s">
        <v>224</v>
      </c>
    </row>
    <row r="366" customFormat="false" ht="15" hidden="false" customHeight="false" outlineLevel="0" collapsed="false">
      <c r="A366" s="8" t="s">
        <v>3610</v>
      </c>
      <c r="B366" s="8" t="s">
        <v>3611</v>
      </c>
      <c r="C366" s="8"/>
      <c r="D366" s="8" t="s">
        <v>2788</v>
      </c>
      <c r="E366" s="8"/>
      <c r="F366" s="8" t="s">
        <v>70</v>
      </c>
      <c r="G366" s="8" t="s">
        <v>2789</v>
      </c>
      <c r="H366" s="8" t="s">
        <v>78</v>
      </c>
      <c r="I366" s="8" t="s">
        <v>208</v>
      </c>
      <c r="J366" s="8" t="n">
        <v>1</v>
      </c>
      <c r="K366" s="8" t="n">
        <v>3</v>
      </c>
      <c r="L366" s="18" t="n">
        <f aca="false">INDEX('All Items'!$Q:$Q,MATCH($A366,'All Items'!$A:$A,0))</f>
        <v>7.4</v>
      </c>
      <c r="M366" s="8" t="s">
        <v>2612</v>
      </c>
      <c r="N366" s="8" t="s">
        <v>3612</v>
      </c>
      <c r="O366" s="8" t="s">
        <v>3613</v>
      </c>
      <c r="P366" s="8" t="s">
        <v>2788</v>
      </c>
      <c r="Q366" s="8" t="s">
        <v>3614</v>
      </c>
      <c r="R366" s="8" t="s">
        <v>3615</v>
      </c>
      <c r="S366" s="19" t="s">
        <v>3616</v>
      </c>
      <c r="T366" s="8" t="s">
        <v>3617</v>
      </c>
      <c r="U366" s="8" t="s">
        <v>3618</v>
      </c>
      <c r="V366" s="8" t="n">
        <f aca="false">COUNTA(M366:R366)</f>
        <v>6</v>
      </c>
      <c r="W366" s="8" t="s">
        <v>218</v>
      </c>
      <c r="X366" s="8" t="s">
        <v>259</v>
      </c>
      <c r="Y366" s="8" t="s">
        <v>218</v>
      </c>
      <c r="Z366" s="8"/>
      <c r="AA366" s="8" t="s">
        <v>3619</v>
      </c>
      <c r="AB366" s="20"/>
      <c r="AC366" s="20"/>
      <c r="AD366" s="20"/>
      <c r="AE366" s="8" t="s">
        <v>237</v>
      </c>
      <c r="AF366" s="8" t="s">
        <v>224</v>
      </c>
    </row>
    <row r="367" customFormat="false" ht="15" hidden="false" customHeight="false" outlineLevel="0" collapsed="false">
      <c r="A367" s="8" t="s">
        <v>3620</v>
      </c>
      <c r="B367" s="8" t="s">
        <v>3621</v>
      </c>
      <c r="C367" s="8"/>
      <c r="D367" s="8" t="s">
        <v>2788</v>
      </c>
      <c r="E367" s="8"/>
      <c r="F367" s="8" t="s">
        <v>70</v>
      </c>
      <c r="G367" s="8" t="s">
        <v>2789</v>
      </c>
      <c r="H367" s="8" t="s">
        <v>82</v>
      </c>
      <c r="I367" s="8" t="s">
        <v>1030</v>
      </c>
      <c r="J367" s="8" t="n">
        <v>2</v>
      </c>
      <c r="K367" s="8" t="n">
        <v>3</v>
      </c>
      <c r="L367" s="18" t="n">
        <f aca="false">INDEX('All Items'!$Q:$Q,MATCH($A367,'All Items'!$A:$A,0))</f>
        <v>7.4</v>
      </c>
      <c r="M367" s="8" t="s">
        <v>3622</v>
      </c>
      <c r="N367" s="8" t="s">
        <v>3623</v>
      </c>
      <c r="O367" s="8" t="s">
        <v>3624</v>
      </c>
      <c r="P367" s="8" t="s">
        <v>3625</v>
      </c>
      <c r="Q367" s="8" t="s">
        <v>2788</v>
      </c>
      <c r="R367" s="8" t="s">
        <v>3626</v>
      </c>
      <c r="S367" s="19" t="s">
        <v>3627</v>
      </c>
      <c r="T367" s="8" t="s">
        <v>3628</v>
      </c>
      <c r="U367" s="8" t="s">
        <v>3629</v>
      </c>
      <c r="V367" s="8" t="n">
        <f aca="false">COUNTA(M367:R367)</f>
        <v>6</v>
      </c>
      <c r="W367" s="8" t="s">
        <v>218</v>
      </c>
      <c r="X367" s="8" t="s">
        <v>259</v>
      </c>
      <c r="Y367" s="8" t="s">
        <v>259</v>
      </c>
      <c r="Z367" s="8" t="s">
        <v>3630</v>
      </c>
      <c r="AA367" s="8" t="s">
        <v>3631</v>
      </c>
      <c r="AB367" s="20"/>
      <c r="AC367" s="20"/>
      <c r="AD367" s="20"/>
      <c r="AE367" s="8" t="s">
        <v>237</v>
      </c>
      <c r="AF367" s="8" t="s">
        <v>224</v>
      </c>
    </row>
    <row r="368" customFormat="false" ht="15" hidden="false" customHeight="false" outlineLevel="0" collapsed="false">
      <c r="A368" s="8" t="s">
        <v>3632</v>
      </c>
      <c r="B368" s="8" t="s">
        <v>3633</v>
      </c>
      <c r="C368" s="8"/>
      <c r="D368" s="8" t="s">
        <v>3508</v>
      </c>
      <c r="E368" s="8"/>
      <c r="F368" s="8" t="s">
        <v>70</v>
      </c>
      <c r="G368" s="8" t="s">
        <v>2789</v>
      </c>
      <c r="H368" s="8" t="s">
        <v>83</v>
      </c>
      <c r="I368" s="8" t="s">
        <v>208</v>
      </c>
      <c r="J368" s="8" t="n">
        <v>2</v>
      </c>
      <c r="K368" s="8" t="n">
        <v>3</v>
      </c>
      <c r="L368" s="18" t="n">
        <f aca="false">INDEX('All Items'!$Q:$Q,MATCH($A368,'All Items'!$A:$A,0))</f>
        <v>6.9</v>
      </c>
      <c r="M368" s="8" t="s">
        <v>1014</v>
      </c>
      <c r="N368" s="8" t="s">
        <v>3634</v>
      </c>
      <c r="O368" s="8" t="s">
        <v>3635</v>
      </c>
      <c r="P368" s="8" t="s">
        <v>3636</v>
      </c>
      <c r="Q368" s="8" t="s">
        <v>3532</v>
      </c>
      <c r="R368" s="8"/>
      <c r="S368" s="19" t="s">
        <v>3637</v>
      </c>
      <c r="T368" s="8" t="s">
        <v>3638</v>
      </c>
      <c r="U368" s="8"/>
      <c r="V368" s="8" t="n">
        <f aca="false">COUNTA(M368:R368)</f>
        <v>5</v>
      </c>
      <c r="W368" s="8" t="s">
        <v>218</v>
      </c>
      <c r="X368" s="8" t="s">
        <v>259</v>
      </c>
      <c r="Y368" s="8" t="s">
        <v>259</v>
      </c>
      <c r="Z368" s="8" t="s">
        <v>3639</v>
      </c>
      <c r="AA368" s="8" t="s">
        <v>3640</v>
      </c>
      <c r="AB368" s="20" t="s">
        <v>3641</v>
      </c>
      <c r="AC368" s="20" t="s">
        <v>1837</v>
      </c>
      <c r="AD368" s="20" t="s">
        <v>3412</v>
      </c>
      <c r="AE368" s="8" t="s">
        <v>223</v>
      </c>
      <c r="AF368" s="8" t="s">
        <v>224</v>
      </c>
    </row>
    <row r="369" customFormat="false" ht="15" hidden="false" customHeight="false" outlineLevel="0" collapsed="false">
      <c r="A369" s="8" t="s">
        <v>3642</v>
      </c>
      <c r="B369" s="8" t="s">
        <v>3643</v>
      </c>
      <c r="C369" s="8"/>
      <c r="D369" s="8" t="s">
        <v>2788</v>
      </c>
      <c r="E369" s="8"/>
      <c r="F369" s="8" t="s">
        <v>70</v>
      </c>
      <c r="G369" s="8" t="s">
        <v>2789</v>
      </c>
      <c r="H369" s="8" t="s">
        <v>78</v>
      </c>
      <c r="I369" s="8" t="s">
        <v>208</v>
      </c>
      <c r="J369" s="8" t="n">
        <v>2</v>
      </c>
      <c r="K369" s="8" t="n">
        <v>3</v>
      </c>
      <c r="L369" s="18" t="n">
        <f aca="false">INDEX('All Items'!$Q:$Q,MATCH($A369,'All Items'!$A:$A,0))</f>
        <v>7.4</v>
      </c>
      <c r="M369" s="8" t="s">
        <v>3644</v>
      </c>
      <c r="N369" s="8" t="s">
        <v>3510</v>
      </c>
      <c r="O369" s="8" t="s">
        <v>1618</v>
      </c>
      <c r="P369" s="8" t="s">
        <v>3645</v>
      </c>
      <c r="Q369" s="8" t="s">
        <v>3646</v>
      </c>
      <c r="R369" s="8" t="s">
        <v>2788</v>
      </c>
      <c r="S369" s="19" t="s">
        <v>3647</v>
      </c>
      <c r="T369" s="8" t="s">
        <v>3648</v>
      </c>
      <c r="U369" s="8"/>
      <c r="V369" s="8" t="n">
        <f aca="false">COUNTA(M369:R369)</f>
        <v>6</v>
      </c>
      <c r="W369" s="8" t="s">
        <v>218</v>
      </c>
      <c r="X369" s="8" t="s">
        <v>259</v>
      </c>
      <c r="Y369" s="8" t="s">
        <v>218</v>
      </c>
      <c r="Z369" s="8"/>
      <c r="AA369" s="8" t="s">
        <v>3649</v>
      </c>
      <c r="AB369" s="20" t="s">
        <v>3650</v>
      </c>
      <c r="AC369" s="20" t="s">
        <v>221</v>
      </c>
      <c r="AD369" s="20" t="s">
        <v>3421</v>
      </c>
      <c r="AE369" s="8" t="s">
        <v>223</v>
      </c>
      <c r="AF369" s="8" t="s">
        <v>224</v>
      </c>
    </row>
    <row r="370" customFormat="false" ht="15" hidden="false" customHeight="false" outlineLevel="0" collapsed="false">
      <c r="A370" s="8" t="s">
        <v>3651</v>
      </c>
      <c r="B370" s="8" t="s">
        <v>3652</v>
      </c>
      <c r="C370" s="8"/>
      <c r="D370" s="8" t="s">
        <v>3653</v>
      </c>
      <c r="E370" s="8"/>
      <c r="F370" s="8" t="s">
        <v>70</v>
      </c>
      <c r="G370" s="8" t="s">
        <v>2789</v>
      </c>
      <c r="H370" s="8" t="s">
        <v>78</v>
      </c>
      <c r="I370" s="8" t="s">
        <v>208</v>
      </c>
      <c r="J370" s="8" t="n">
        <v>1</v>
      </c>
      <c r="K370" s="8" t="n">
        <v>3</v>
      </c>
      <c r="L370" s="18" t="n">
        <f aca="false">INDEX('All Items'!$Q:$Q,MATCH($A370,'All Items'!$A:$A,0))</f>
        <v>7.15</v>
      </c>
      <c r="M370" s="8" t="s">
        <v>1922</v>
      </c>
      <c r="N370" s="8" t="s">
        <v>2317</v>
      </c>
      <c r="O370" s="8" t="s">
        <v>1004</v>
      </c>
      <c r="P370" s="8" t="s">
        <v>213</v>
      </c>
      <c r="Q370" s="8" t="s">
        <v>3654</v>
      </c>
      <c r="R370" s="8" t="s">
        <v>3655</v>
      </c>
      <c r="S370" s="19" t="s">
        <v>3656</v>
      </c>
      <c r="T370" s="8" t="s">
        <v>3657</v>
      </c>
      <c r="U370" s="8"/>
      <c r="V370" s="8" t="n">
        <f aca="false">COUNTA(M370:R370)</f>
        <v>6</v>
      </c>
      <c r="W370" s="8" t="s">
        <v>218</v>
      </c>
      <c r="X370" s="8" t="s">
        <v>259</v>
      </c>
      <c r="Y370" s="8" t="s">
        <v>218</v>
      </c>
      <c r="Z370" s="8"/>
      <c r="AA370" s="8" t="s">
        <v>3658</v>
      </c>
      <c r="AB370" s="20" t="s">
        <v>3659</v>
      </c>
      <c r="AC370" s="20" t="s">
        <v>595</v>
      </c>
      <c r="AD370" s="20" t="s">
        <v>3660</v>
      </c>
      <c r="AE370" s="8" t="s">
        <v>223</v>
      </c>
      <c r="AF370" s="8" t="s">
        <v>224</v>
      </c>
    </row>
    <row r="371" customFormat="false" ht="15" hidden="false" customHeight="false" outlineLevel="0" collapsed="false">
      <c r="A371" s="8" t="s">
        <v>3661</v>
      </c>
      <c r="B371" s="8" t="s">
        <v>3662</v>
      </c>
      <c r="C371" s="8"/>
      <c r="D371" s="8" t="s">
        <v>3653</v>
      </c>
      <c r="E371" s="8"/>
      <c r="F371" s="8" t="s">
        <v>70</v>
      </c>
      <c r="G371" s="8" t="s">
        <v>2789</v>
      </c>
      <c r="H371" s="8" t="s">
        <v>83</v>
      </c>
      <c r="I371" s="8" t="s">
        <v>208</v>
      </c>
      <c r="J371" s="8" t="n">
        <v>1</v>
      </c>
      <c r="K371" s="8" t="n">
        <v>4</v>
      </c>
      <c r="L371" s="18" t="n">
        <f aca="false">INDEX('All Items'!$Q:$Q,MATCH($A371,'All Items'!$A:$A,0))</f>
        <v>8.7</v>
      </c>
      <c r="M371" s="8" t="s">
        <v>3663</v>
      </c>
      <c r="N371" s="8" t="s">
        <v>2672</v>
      </c>
      <c r="O371" s="8" t="s">
        <v>3664</v>
      </c>
      <c r="P371" s="8" t="s">
        <v>1008</v>
      </c>
      <c r="Q371" s="8" t="s">
        <v>3665</v>
      </c>
      <c r="R371" s="8" t="s">
        <v>3655</v>
      </c>
      <c r="S371" s="19" t="s">
        <v>3666</v>
      </c>
      <c r="T371" s="8" t="s">
        <v>3667</v>
      </c>
      <c r="U371" s="8"/>
      <c r="V371" s="8" t="n">
        <f aca="false">COUNTA(M371:R371)</f>
        <v>6</v>
      </c>
      <c r="W371" s="8" t="s">
        <v>218</v>
      </c>
      <c r="X371" s="8" t="s">
        <v>259</v>
      </c>
      <c r="Y371" s="8" t="s">
        <v>218</v>
      </c>
      <c r="Z371" s="8"/>
      <c r="AA371" s="8" t="s">
        <v>3668</v>
      </c>
      <c r="AB371" s="20" t="s">
        <v>3669</v>
      </c>
      <c r="AC371" s="20" t="s">
        <v>221</v>
      </c>
      <c r="AD371" s="20" t="s">
        <v>3670</v>
      </c>
      <c r="AE371" s="8" t="s">
        <v>223</v>
      </c>
      <c r="AF371" s="8" t="s">
        <v>224</v>
      </c>
    </row>
    <row r="372" customFormat="false" ht="15" hidden="false" customHeight="false" outlineLevel="0" collapsed="false">
      <c r="A372" s="8" t="s">
        <v>3671</v>
      </c>
      <c r="B372" s="8" t="s">
        <v>3672</v>
      </c>
      <c r="C372" s="8"/>
      <c r="D372" s="8" t="s">
        <v>3653</v>
      </c>
      <c r="E372" s="8"/>
      <c r="F372" s="8" t="s">
        <v>70</v>
      </c>
      <c r="G372" s="8" t="s">
        <v>2789</v>
      </c>
      <c r="H372" s="8" t="s">
        <v>78</v>
      </c>
      <c r="I372" s="8" t="s">
        <v>208</v>
      </c>
      <c r="J372" s="8" t="n">
        <v>1</v>
      </c>
      <c r="K372" s="8" t="n">
        <v>4</v>
      </c>
      <c r="L372" s="18" t="n">
        <f aca="false">INDEX('All Items'!$Q:$Q,MATCH($A372,'All Items'!$A:$A,0))</f>
        <v>8.45</v>
      </c>
      <c r="M372" s="8" t="s">
        <v>3320</v>
      </c>
      <c r="N372" s="8" t="s">
        <v>3673</v>
      </c>
      <c r="O372" s="8" t="s">
        <v>3674</v>
      </c>
      <c r="P372" s="8" t="s">
        <v>3675</v>
      </c>
      <c r="Q372" s="8" t="s">
        <v>3676</v>
      </c>
      <c r="R372" s="8" t="s">
        <v>3655</v>
      </c>
      <c r="S372" s="19" t="s">
        <v>3677</v>
      </c>
      <c r="T372" s="8" t="s">
        <v>3678</v>
      </c>
      <c r="U372" s="8"/>
      <c r="V372" s="8" t="n">
        <f aca="false">COUNTA(M372:R372)</f>
        <v>6</v>
      </c>
      <c r="W372" s="8" t="s">
        <v>218</v>
      </c>
      <c r="X372" s="8" t="s">
        <v>259</v>
      </c>
      <c r="Y372" s="8" t="s">
        <v>218</v>
      </c>
      <c r="Z372" s="8"/>
      <c r="AA372" s="8" t="s">
        <v>3679</v>
      </c>
      <c r="AB372" s="20" t="s">
        <v>3680</v>
      </c>
      <c r="AC372" s="20" t="s">
        <v>595</v>
      </c>
      <c r="AD372" s="20" t="s">
        <v>3660</v>
      </c>
      <c r="AE372" s="8" t="s">
        <v>223</v>
      </c>
      <c r="AF372" s="8" t="s">
        <v>224</v>
      </c>
    </row>
    <row r="373" customFormat="false" ht="15" hidden="false" customHeight="false" outlineLevel="0" collapsed="false">
      <c r="A373" s="8" t="s">
        <v>3681</v>
      </c>
      <c r="B373" s="8" t="s">
        <v>3682</v>
      </c>
      <c r="C373" s="8"/>
      <c r="D373" s="8" t="s">
        <v>3653</v>
      </c>
      <c r="E373" s="8"/>
      <c r="F373" s="8" t="s">
        <v>70</v>
      </c>
      <c r="G373" s="8" t="s">
        <v>2789</v>
      </c>
      <c r="H373" s="8" t="s">
        <v>78</v>
      </c>
      <c r="I373" s="8" t="s">
        <v>208</v>
      </c>
      <c r="J373" s="8" t="n">
        <v>2</v>
      </c>
      <c r="K373" s="8" t="n">
        <v>3</v>
      </c>
      <c r="L373" s="18" t="n">
        <f aca="false">INDEX('All Items'!$Q:$Q,MATCH($A373,'All Items'!$A:$A,0))</f>
        <v>7.4</v>
      </c>
      <c r="M373" s="8" t="s">
        <v>574</v>
      </c>
      <c r="N373" s="8" t="s">
        <v>3683</v>
      </c>
      <c r="O373" s="8" t="s">
        <v>3464</v>
      </c>
      <c r="P373" s="8" t="s">
        <v>3684</v>
      </c>
      <c r="Q373" s="8" t="s">
        <v>3685</v>
      </c>
      <c r="R373" s="8" t="s">
        <v>3655</v>
      </c>
      <c r="S373" s="19" t="s">
        <v>3686</v>
      </c>
      <c r="T373" s="8" t="s">
        <v>3687</v>
      </c>
      <c r="U373" s="8"/>
      <c r="V373" s="8" t="n">
        <f aca="false">COUNTA(M373:R373)</f>
        <v>6</v>
      </c>
      <c r="W373" s="8" t="s">
        <v>218</v>
      </c>
      <c r="X373" s="8" t="s">
        <v>259</v>
      </c>
      <c r="Y373" s="8" t="s">
        <v>218</v>
      </c>
      <c r="Z373" s="8"/>
      <c r="AA373" s="8" t="s">
        <v>3688</v>
      </c>
      <c r="AB373" s="20"/>
      <c r="AC373" s="20"/>
      <c r="AD373" s="20"/>
      <c r="AE373" s="8" t="s">
        <v>237</v>
      </c>
      <c r="AF373" s="8" t="s">
        <v>224</v>
      </c>
    </row>
    <row r="374" customFormat="false" ht="15" hidden="false" customHeight="false" outlineLevel="0" collapsed="false">
      <c r="A374" s="8" t="s">
        <v>3689</v>
      </c>
      <c r="B374" s="8" t="s">
        <v>3690</v>
      </c>
      <c r="C374" s="8"/>
      <c r="D374" s="8" t="s">
        <v>3653</v>
      </c>
      <c r="E374" s="8"/>
      <c r="F374" s="8" t="s">
        <v>70</v>
      </c>
      <c r="G374" s="8" t="s">
        <v>2789</v>
      </c>
      <c r="H374" s="8" t="s">
        <v>78</v>
      </c>
      <c r="I374" s="8" t="s">
        <v>208</v>
      </c>
      <c r="J374" s="8" t="n">
        <v>2</v>
      </c>
      <c r="K374" s="8" t="n">
        <v>3</v>
      </c>
      <c r="L374" s="18" t="n">
        <f aca="false">INDEX('All Items'!$Q:$Q,MATCH($A374,'All Items'!$A:$A,0))</f>
        <v>7.15</v>
      </c>
      <c r="M374" s="8" t="s">
        <v>1313</v>
      </c>
      <c r="N374" s="8" t="s">
        <v>3691</v>
      </c>
      <c r="O374" s="8" t="s">
        <v>3692</v>
      </c>
      <c r="P374" s="8" t="s">
        <v>3693</v>
      </c>
      <c r="Q374" s="8" t="s">
        <v>3694</v>
      </c>
      <c r="R374" s="8" t="s">
        <v>3655</v>
      </c>
      <c r="S374" s="19" t="s">
        <v>3695</v>
      </c>
      <c r="T374" s="8" t="s">
        <v>3696</v>
      </c>
      <c r="U374" s="8"/>
      <c r="V374" s="8" t="n">
        <f aca="false">COUNTA(M374:R374)</f>
        <v>6</v>
      </c>
      <c r="W374" s="8" t="s">
        <v>218</v>
      </c>
      <c r="X374" s="8" t="s">
        <v>259</v>
      </c>
      <c r="Y374" s="8" t="s">
        <v>218</v>
      </c>
      <c r="Z374" s="8"/>
      <c r="AA374" s="8" t="s">
        <v>3697</v>
      </c>
      <c r="AB374" s="20" t="s">
        <v>3698</v>
      </c>
      <c r="AC374" s="20" t="s">
        <v>221</v>
      </c>
      <c r="AD374" s="20" t="s">
        <v>3699</v>
      </c>
      <c r="AE374" s="8" t="s">
        <v>223</v>
      </c>
      <c r="AF374" s="8" t="s">
        <v>224</v>
      </c>
    </row>
    <row r="375" customFormat="false" ht="15" hidden="false" customHeight="false" outlineLevel="0" collapsed="false">
      <c r="A375" s="8" t="s">
        <v>3700</v>
      </c>
      <c r="B375" s="8" t="s">
        <v>3701</v>
      </c>
      <c r="C375" s="8"/>
      <c r="D375" s="8" t="s">
        <v>3653</v>
      </c>
      <c r="E375" s="8"/>
      <c r="F375" s="8" t="s">
        <v>70</v>
      </c>
      <c r="G375" s="8" t="s">
        <v>2789</v>
      </c>
      <c r="H375" s="8" t="s">
        <v>79</v>
      </c>
      <c r="I375" s="8" t="s">
        <v>208</v>
      </c>
      <c r="J375" s="8" t="n">
        <v>2</v>
      </c>
      <c r="K375" s="8" t="n">
        <v>3</v>
      </c>
      <c r="L375" s="18" t="n">
        <f aca="false">INDEX('All Items'!$Q:$Q,MATCH($A375,'All Items'!$A:$A,0))</f>
        <v>7.15</v>
      </c>
      <c r="M375" s="8" t="s">
        <v>1933</v>
      </c>
      <c r="N375" s="8" t="s">
        <v>3702</v>
      </c>
      <c r="O375" s="8" t="s">
        <v>3703</v>
      </c>
      <c r="P375" s="8" t="s">
        <v>1008</v>
      </c>
      <c r="Q375" s="8" t="s">
        <v>3704</v>
      </c>
      <c r="R375" s="8" t="s">
        <v>3655</v>
      </c>
      <c r="S375" s="19" t="s">
        <v>3705</v>
      </c>
      <c r="T375" s="8" t="s">
        <v>3706</v>
      </c>
      <c r="U375" s="8"/>
      <c r="V375" s="8" t="n">
        <f aca="false">COUNTA(M375:R375)</f>
        <v>6</v>
      </c>
      <c r="W375" s="8" t="s">
        <v>218</v>
      </c>
      <c r="X375" s="8" t="s">
        <v>259</v>
      </c>
      <c r="Y375" s="8" t="s">
        <v>259</v>
      </c>
      <c r="Z375" s="8" t="s">
        <v>3707</v>
      </c>
      <c r="AA375" s="8" t="s">
        <v>3708</v>
      </c>
      <c r="AB375" s="20" t="s">
        <v>3709</v>
      </c>
      <c r="AC375" s="20" t="s">
        <v>1174</v>
      </c>
      <c r="AD375" s="20" t="s">
        <v>3564</v>
      </c>
      <c r="AE375" s="8" t="s">
        <v>223</v>
      </c>
      <c r="AF375" s="8" t="s">
        <v>224</v>
      </c>
    </row>
    <row r="376" customFormat="false" ht="15" hidden="false" customHeight="false" outlineLevel="0" collapsed="false">
      <c r="A376" s="8" t="s">
        <v>3710</v>
      </c>
      <c r="B376" s="8" t="s">
        <v>3711</v>
      </c>
      <c r="C376" s="8"/>
      <c r="D376" s="8" t="s">
        <v>3653</v>
      </c>
      <c r="E376" s="8"/>
      <c r="F376" s="8" t="s">
        <v>70</v>
      </c>
      <c r="G376" s="8" t="s">
        <v>2789</v>
      </c>
      <c r="H376" s="8" t="s">
        <v>78</v>
      </c>
      <c r="I376" s="8" t="s">
        <v>208</v>
      </c>
      <c r="J376" s="8" t="n">
        <v>2</v>
      </c>
      <c r="K376" s="8" t="n">
        <v>3</v>
      </c>
      <c r="L376" s="18" t="n">
        <f aca="false">INDEX('All Items'!$Q:$Q,MATCH($A376,'All Items'!$A:$A,0))</f>
        <v>7.4</v>
      </c>
      <c r="M376" s="8" t="s">
        <v>2317</v>
      </c>
      <c r="N376" s="8" t="s">
        <v>1371</v>
      </c>
      <c r="O376" s="8" t="s">
        <v>3691</v>
      </c>
      <c r="P376" s="8" t="s">
        <v>2734</v>
      </c>
      <c r="Q376" s="8" t="s">
        <v>2624</v>
      </c>
      <c r="R376" s="8" t="s">
        <v>3655</v>
      </c>
      <c r="S376" s="19" t="s">
        <v>3712</v>
      </c>
      <c r="T376" s="8" t="s">
        <v>3713</v>
      </c>
      <c r="U376" s="8"/>
      <c r="V376" s="8" t="n">
        <f aca="false">COUNTA(M376:R376)</f>
        <v>6</v>
      </c>
      <c r="W376" s="8" t="s">
        <v>218</v>
      </c>
      <c r="X376" s="8" t="s">
        <v>259</v>
      </c>
      <c r="Y376" s="8" t="s">
        <v>218</v>
      </c>
      <c r="Z376" s="8"/>
      <c r="AA376" s="8" t="s">
        <v>3714</v>
      </c>
      <c r="AB376" s="20" t="s">
        <v>3715</v>
      </c>
      <c r="AC376" s="20" t="s">
        <v>384</v>
      </c>
      <c r="AD376" s="20" t="s">
        <v>3716</v>
      </c>
      <c r="AE376" s="8" t="s">
        <v>223</v>
      </c>
      <c r="AF376" s="8" t="s">
        <v>224</v>
      </c>
    </row>
    <row r="377" customFormat="false" ht="15" hidden="false" customHeight="false" outlineLevel="0" collapsed="false">
      <c r="A377" s="8" t="s">
        <v>3717</v>
      </c>
      <c r="B377" s="8" t="s">
        <v>3718</v>
      </c>
      <c r="C377" s="8"/>
      <c r="D377" s="8" t="s">
        <v>3719</v>
      </c>
      <c r="E377" s="8"/>
      <c r="F377" s="8" t="s">
        <v>70</v>
      </c>
      <c r="G377" s="8" t="s">
        <v>2789</v>
      </c>
      <c r="H377" s="8" t="s">
        <v>78</v>
      </c>
      <c r="I377" s="8" t="s">
        <v>208</v>
      </c>
      <c r="J377" s="8" t="n">
        <v>2</v>
      </c>
      <c r="K377" s="8" t="n">
        <v>3</v>
      </c>
      <c r="L377" s="18" t="n">
        <f aca="false">INDEX('All Items'!$Q:$Q,MATCH($A377,'All Items'!$A:$A,0))</f>
        <v>7.4</v>
      </c>
      <c r="M377" s="8" t="s">
        <v>3720</v>
      </c>
      <c r="N377" s="8" t="s">
        <v>1297</v>
      </c>
      <c r="O377" s="8" t="s">
        <v>3721</v>
      </c>
      <c r="P377" s="8" t="s">
        <v>3722</v>
      </c>
      <c r="Q377" s="8" t="s">
        <v>3719</v>
      </c>
      <c r="R377" s="8" t="s">
        <v>311</v>
      </c>
      <c r="S377" s="19" t="s">
        <v>3723</v>
      </c>
      <c r="T377" s="8" t="s">
        <v>3724</v>
      </c>
      <c r="U377" s="8" t="s">
        <v>3725</v>
      </c>
      <c r="V377" s="8" t="n">
        <f aca="false">COUNTA(M377:R377)</f>
        <v>6</v>
      </c>
      <c r="W377" s="8" t="s">
        <v>218</v>
      </c>
      <c r="X377" s="8" t="s">
        <v>259</v>
      </c>
      <c r="Y377" s="8" t="s">
        <v>218</v>
      </c>
      <c r="Z377" s="8"/>
      <c r="AA377" s="8" t="s">
        <v>3726</v>
      </c>
      <c r="AB377" s="20"/>
      <c r="AC377" s="20"/>
      <c r="AD377" s="20"/>
      <c r="AE377" s="8" t="s">
        <v>237</v>
      </c>
      <c r="AF377" s="8" t="s">
        <v>224</v>
      </c>
    </row>
    <row r="378" customFormat="false" ht="15" hidden="false" customHeight="false" outlineLevel="0" collapsed="false">
      <c r="A378" s="8" t="s">
        <v>3727</v>
      </c>
      <c r="B378" s="8" t="s">
        <v>3728</v>
      </c>
      <c r="C378" s="8"/>
      <c r="D378" s="8" t="s">
        <v>3729</v>
      </c>
      <c r="E378" s="8"/>
      <c r="F378" s="8" t="s">
        <v>70</v>
      </c>
      <c r="G378" s="8" t="s">
        <v>2789</v>
      </c>
      <c r="H378" s="8" t="s">
        <v>83</v>
      </c>
      <c r="I378" s="8" t="s">
        <v>208</v>
      </c>
      <c r="J378" s="8" t="n">
        <v>2</v>
      </c>
      <c r="K378" s="8" t="n">
        <v>3</v>
      </c>
      <c r="L378" s="18" t="n">
        <f aca="false">INDEX('All Items'!$Q:$Q,MATCH($A378,'All Items'!$A:$A,0))</f>
        <v>7.4</v>
      </c>
      <c r="M378" s="8" t="s">
        <v>3320</v>
      </c>
      <c r="N378" s="8" t="s">
        <v>3730</v>
      </c>
      <c r="O378" s="8" t="s">
        <v>3731</v>
      </c>
      <c r="P378" s="8" t="s">
        <v>3310</v>
      </c>
      <c r="Q378" s="8" t="s">
        <v>3732</v>
      </c>
      <c r="R378" s="8" t="s">
        <v>3733</v>
      </c>
      <c r="S378" s="19" t="s">
        <v>3734</v>
      </c>
      <c r="T378" s="8" t="s">
        <v>3735</v>
      </c>
      <c r="U378" s="8"/>
      <c r="V378" s="8" t="n">
        <f aca="false">COUNTA(M378:R378)</f>
        <v>6</v>
      </c>
      <c r="W378" s="8" t="s">
        <v>218</v>
      </c>
      <c r="X378" s="8" t="s">
        <v>259</v>
      </c>
      <c r="Y378" s="8" t="s">
        <v>218</v>
      </c>
      <c r="Z378" s="8"/>
      <c r="AA378" s="8" t="s">
        <v>3736</v>
      </c>
      <c r="AB378" s="20"/>
      <c r="AC378" s="20"/>
      <c r="AD378" s="20"/>
      <c r="AE378" s="8" t="s">
        <v>237</v>
      </c>
      <c r="AF378" s="8" t="s">
        <v>224</v>
      </c>
    </row>
    <row r="379" customFormat="false" ht="15" hidden="false" customHeight="false" outlineLevel="0" collapsed="false">
      <c r="A379" s="8" t="s">
        <v>3737</v>
      </c>
      <c r="B379" s="8" t="s">
        <v>3738</v>
      </c>
      <c r="C379" s="8"/>
      <c r="D379" s="8" t="s">
        <v>3739</v>
      </c>
      <c r="E379" s="8"/>
      <c r="F379" s="8" t="s">
        <v>70</v>
      </c>
      <c r="G379" s="8" t="s">
        <v>207</v>
      </c>
      <c r="H379" s="8" t="s">
        <v>81</v>
      </c>
      <c r="I379" s="8" t="s">
        <v>1030</v>
      </c>
      <c r="J379" s="8" t="n">
        <v>2</v>
      </c>
      <c r="K379" s="8" t="n">
        <v>3</v>
      </c>
      <c r="L379" s="18" t="n">
        <f aca="false">INDEX('All Items'!$Q:$Q,MATCH($A379,'All Items'!$A:$A,0))</f>
        <v>7.4</v>
      </c>
      <c r="M379" s="8" t="s">
        <v>1313</v>
      </c>
      <c r="N379" s="8" t="s">
        <v>1371</v>
      </c>
      <c r="O379" s="8" t="s">
        <v>3540</v>
      </c>
      <c r="P379" s="8" t="s">
        <v>3740</v>
      </c>
      <c r="Q379" s="8" t="s">
        <v>3741</v>
      </c>
      <c r="R379" s="8" t="s">
        <v>3742</v>
      </c>
      <c r="S379" s="19" t="s">
        <v>3743</v>
      </c>
      <c r="T379" s="8" t="s">
        <v>3744</v>
      </c>
      <c r="U379" s="8" t="s">
        <v>3742</v>
      </c>
      <c r="V379" s="8" t="n">
        <f aca="false">COUNTA(M379:R379)</f>
        <v>6</v>
      </c>
      <c r="W379" s="8" t="s">
        <v>218</v>
      </c>
      <c r="X379" s="8" t="s">
        <v>259</v>
      </c>
      <c r="Y379" s="8" t="s">
        <v>218</v>
      </c>
      <c r="Z379" s="8"/>
      <c r="AA379" s="8" t="s">
        <v>3745</v>
      </c>
      <c r="AB379" s="20"/>
      <c r="AC379" s="20"/>
      <c r="AD379" s="20"/>
      <c r="AE379" s="8" t="s">
        <v>237</v>
      </c>
      <c r="AF379" s="8" t="s">
        <v>224</v>
      </c>
    </row>
    <row r="380" customFormat="false" ht="15" hidden="false" customHeight="false" outlineLevel="0" collapsed="false">
      <c r="A380" s="8" t="s">
        <v>3746</v>
      </c>
      <c r="B380" s="8" t="s">
        <v>3747</v>
      </c>
      <c r="C380" s="8" t="s">
        <v>3748</v>
      </c>
      <c r="D380" s="8" t="s">
        <v>3739</v>
      </c>
      <c r="E380" s="8"/>
      <c r="F380" s="8" t="s">
        <v>70</v>
      </c>
      <c r="G380" s="8" t="s">
        <v>207</v>
      </c>
      <c r="H380" s="8" t="s">
        <v>82</v>
      </c>
      <c r="I380" s="8" t="s">
        <v>1030</v>
      </c>
      <c r="J380" s="8" t="n">
        <v>2</v>
      </c>
      <c r="K380" s="8" t="n">
        <v>4</v>
      </c>
      <c r="L380" s="18" t="n">
        <f aca="false">INDEX('All Items'!$Q:$Q,MATCH($A380,'All Items'!$A:$A,0))</f>
        <v>8.45</v>
      </c>
      <c r="M380" s="8" t="s">
        <v>1313</v>
      </c>
      <c r="N380" s="8" t="s">
        <v>995</v>
      </c>
      <c r="O380" s="8" t="s">
        <v>3749</v>
      </c>
      <c r="P380" s="8" t="s">
        <v>1189</v>
      </c>
      <c r="Q380" s="8" t="s">
        <v>3750</v>
      </c>
      <c r="R380" s="8"/>
      <c r="S380" s="19" t="s">
        <v>3751</v>
      </c>
      <c r="T380" s="8" t="s">
        <v>3752</v>
      </c>
      <c r="U380" s="8"/>
      <c r="V380" s="8" t="n">
        <f aca="false">COUNTA(M380:R380)</f>
        <v>5</v>
      </c>
      <c r="W380" s="8" t="s">
        <v>218</v>
      </c>
      <c r="X380" s="8" t="s">
        <v>259</v>
      </c>
      <c r="Y380" s="8" t="s">
        <v>218</v>
      </c>
      <c r="Z380" s="8"/>
      <c r="AA380" s="8" t="s">
        <v>3753</v>
      </c>
      <c r="AB380" s="20"/>
      <c r="AC380" s="20"/>
      <c r="AD380" s="20"/>
      <c r="AE380" s="8" t="s">
        <v>237</v>
      </c>
      <c r="AF380" s="8" t="s">
        <v>224</v>
      </c>
    </row>
    <row r="381" customFormat="false" ht="15" hidden="false" customHeight="false" outlineLevel="0" collapsed="false">
      <c r="A381" s="8" t="s">
        <v>3754</v>
      </c>
      <c r="B381" s="8" t="s">
        <v>3755</v>
      </c>
      <c r="C381" s="8"/>
      <c r="D381" s="8" t="s">
        <v>3756</v>
      </c>
      <c r="E381" s="8"/>
      <c r="F381" s="8" t="s">
        <v>70</v>
      </c>
      <c r="G381" s="8" t="s">
        <v>207</v>
      </c>
      <c r="H381" s="8" t="s">
        <v>85</v>
      </c>
      <c r="I381" s="8" t="s">
        <v>208</v>
      </c>
      <c r="J381" s="8" t="n">
        <v>2</v>
      </c>
      <c r="K381" s="8" t="n">
        <v>3</v>
      </c>
      <c r="L381" s="18" t="n">
        <f aca="false">INDEX('All Items'!$Q:$Q,MATCH($A381,'All Items'!$A:$A,0))</f>
        <v>7.4</v>
      </c>
      <c r="M381" s="8" t="s">
        <v>251</v>
      </c>
      <c r="N381" s="8" t="s">
        <v>324</v>
      </c>
      <c r="O381" s="8" t="s">
        <v>509</v>
      </c>
      <c r="P381" s="8" t="s">
        <v>347</v>
      </c>
      <c r="Q381" s="8" t="s">
        <v>488</v>
      </c>
      <c r="R381" s="8" t="s">
        <v>3757</v>
      </c>
      <c r="S381" s="19" t="s">
        <v>3758</v>
      </c>
      <c r="T381" s="8" t="s">
        <v>3759</v>
      </c>
      <c r="U381" s="8"/>
      <c r="V381" s="8" t="n">
        <f aca="false">COUNTA(M381:R381)</f>
        <v>6</v>
      </c>
      <c r="W381" s="8" t="s">
        <v>218</v>
      </c>
      <c r="X381" s="8" t="s">
        <v>259</v>
      </c>
      <c r="Y381" s="8" t="s">
        <v>218</v>
      </c>
      <c r="Z381" s="8"/>
      <c r="AA381" s="8" t="s">
        <v>3760</v>
      </c>
      <c r="AB381" s="20"/>
      <c r="AC381" s="20"/>
      <c r="AD381" s="20"/>
      <c r="AE381" s="8" t="s">
        <v>237</v>
      </c>
      <c r="AF381" s="8" t="s">
        <v>224</v>
      </c>
    </row>
    <row r="382" customFormat="false" ht="15" hidden="false" customHeight="false" outlineLevel="0" collapsed="false">
      <c r="A382" s="8" t="s">
        <v>3761</v>
      </c>
      <c r="B382" s="8" t="s">
        <v>3762</v>
      </c>
      <c r="C382" s="8"/>
      <c r="D382" s="8" t="s">
        <v>3763</v>
      </c>
      <c r="E382" s="8"/>
      <c r="F382" s="8" t="s">
        <v>70</v>
      </c>
      <c r="G382" s="8" t="s">
        <v>207</v>
      </c>
      <c r="H382" s="8" t="s">
        <v>78</v>
      </c>
      <c r="I382" s="8" t="s">
        <v>273</v>
      </c>
      <c r="J382" s="8" t="n">
        <v>1</v>
      </c>
      <c r="K382" s="8" t="n">
        <v>4</v>
      </c>
      <c r="L382" s="18" t="n">
        <f aca="false">INDEX('All Items'!$Q:$Q,MATCH($A382,'All Items'!$A:$A,0))</f>
        <v>8.45</v>
      </c>
      <c r="M382" s="8" t="s">
        <v>275</v>
      </c>
      <c r="N382" s="8" t="s">
        <v>3764</v>
      </c>
      <c r="O382" s="8" t="s">
        <v>3765</v>
      </c>
      <c r="P382" s="8" t="s">
        <v>3766</v>
      </c>
      <c r="Q382" s="8" t="s">
        <v>3767</v>
      </c>
      <c r="R382" s="8" t="s">
        <v>3763</v>
      </c>
      <c r="S382" s="19" t="s">
        <v>3768</v>
      </c>
      <c r="T382" s="8" t="s">
        <v>3769</v>
      </c>
      <c r="U382" s="8"/>
      <c r="V382" s="8" t="n">
        <f aca="false">COUNTA(M382:R382)</f>
        <v>6</v>
      </c>
      <c r="W382" s="8" t="s">
        <v>218</v>
      </c>
      <c r="X382" s="8" t="s">
        <v>259</v>
      </c>
      <c r="Y382" s="8" t="s">
        <v>259</v>
      </c>
      <c r="Z382" s="8" t="s">
        <v>3770</v>
      </c>
      <c r="AA382" s="8" t="s">
        <v>3771</v>
      </c>
      <c r="AB382" s="20"/>
      <c r="AC382" s="20"/>
      <c r="AD382" s="20"/>
      <c r="AE382" s="8" t="s">
        <v>237</v>
      </c>
      <c r="AF382" s="8" t="s">
        <v>224</v>
      </c>
    </row>
    <row r="383" customFormat="false" ht="15" hidden="false" customHeight="false" outlineLevel="0" collapsed="false">
      <c r="A383" s="8" t="s">
        <v>3772</v>
      </c>
      <c r="B383" s="8" t="s">
        <v>3773</v>
      </c>
      <c r="C383" s="8"/>
      <c r="D383" s="8" t="s">
        <v>3774</v>
      </c>
      <c r="E383" s="8"/>
      <c r="F383" s="8" t="s">
        <v>70</v>
      </c>
      <c r="G383" s="8" t="s">
        <v>207</v>
      </c>
      <c r="H383" s="8" t="s">
        <v>78</v>
      </c>
      <c r="I383" s="8" t="s">
        <v>227</v>
      </c>
      <c r="J383" s="8" t="n">
        <v>2</v>
      </c>
      <c r="K383" s="8" t="n">
        <v>3</v>
      </c>
      <c r="L383" s="18" t="n">
        <f aca="false">INDEX('All Items'!$Q:$Q,MATCH($A383,'All Items'!$A:$A,0))</f>
        <v>6.9</v>
      </c>
      <c r="M383" s="8" t="s">
        <v>274</v>
      </c>
      <c r="N383" s="8" t="s">
        <v>3775</v>
      </c>
      <c r="O383" s="8" t="s">
        <v>3275</v>
      </c>
      <c r="P383" s="8" t="s">
        <v>3776</v>
      </c>
      <c r="Q383" s="8" t="s">
        <v>3774</v>
      </c>
      <c r="R383" s="8"/>
      <c r="S383" s="19" t="s">
        <v>3777</v>
      </c>
      <c r="T383" s="8" t="s">
        <v>3778</v>
      </c>
      <c r="U383" s="8"/>
      <c r="V383" s="8" t="n">
        <f aca="false">COUNTA(M383:R383)</f>
        <v>5</v>
      </c>
      <c r="W383" s="8" t="s">
        <v>218</v>
      </c>
      <c r="X383" s="8" t="s">
        <v>259</v>
      </c>
      <c r="Y383" s="8" t="s">
        <v>218</v>
      </c>
      <c r="Z383" s="8"/>
      <c r="AA383" s="8" t="s">
        <v>3779</v>
      </c>
      <c r="AB383" s="20"/>
      <c r="AC383" s="20"/>
      <c r="AD383" s="20"/>
      <c r="AE383" s="8" t="s">
        <v>237</v>
      </c>
      <c r="AF383" s="8" t="s">
        <v>224</v>
      </c>
    </row>
    <row r="384" customFormat="false" ht="15" hidden="false" customHeight="false" outlineLevel="0" collapsed="false">
      <c r="A384" s="8" t="s">
        <v>3780</v>
      </c>
      <c r="B384" s="8" t="s">
        <v>3781</v>
      </c>
      <c r="C384" s="8"/>
      <c r="D384" s="8" t="s">
        <v>3782</v>
      </c>
      <c r="E384" s="8"/>
      <c r="F384" s="8" t="s">
        <v>70</v>
      </c>
      <c r="G384" s="8" t="s">
        <v>207</v>
      </c>
      <c r="H384" s="8" t="s">
        <v>78</v>
      </c>
      <c r="I384" s="8" t="s">
        <v>208</v>
      </c>
      <c r="J384" s="8" t="n">
        <v>2</v>
      </c>
      <c r="K384" s="8" t="n">
        <v>4</v>
      </c>
      <c r="L384" s="18" t="n">
        <f aca="false">INDEX('All Items'!$Q:$Q,MATCH($A384,'All Items'!$A:$A,0))</f>
        <v>8.2</v>
      </c>
      <c r="M384" s="8" t="s">
        <v>274</v>
      </c>
      <c r="N384" s="8" t="s">
        <v>3783</v>
      </c>
      <c r="O384" s="8" t="s">
        <v>488</v>
      </c>
      <c r="P384" s="8" t="s">
        <v>3784</v>
      </c>
      <c r="Q384" s="8" t="s">
        <v>3785</v>
      </c>
      <c r="R384" s="8"/>
      <c r="S384" s="19" t="s">
        <v>3786</v>
      </c>
      <c r="T384" s="8" t="s">
        <v>3787</v>
      </c>
      <c r="U384" s="8"/>
      <c r="V384" s="8" t="n">
        <f aca="false">COUNTA(M384:R384)</f>
        <v>5</v>
      </c>
      <c r="W384" s="8" t="s">
        <v>218</v>
      </c>
      <c r="X384" s="8" t="s">
        <v>259</v>
      </c>
      <c r="Y384" s="8" t="s">
        <v>218</v>
      </c>
      <c r="Z384" s="8"/>
      <c r="AA384" s="8" t="s">
        <v>3788</v>
      </c>
      <c r="AB384" s="20"/>
      <c r="AC384" s="20"/>
      <c r="AD384" s="20"/>
      <c r="AE384" s="8" t="s">
        <v>237</v>
      </c>
      <c r="AF384" s="8" t="s">
        <v>224</v>
      </c>
    </row>
    <row r="385" customFormat="false" ht="15" hidden="false" customHeight="false" outlineLevel="0" collapsed="false">
      <c r="A385" s="8" t="s">
        <v>3789</v>
      </c>
      <c r="B385" s="8" t="s">
        <v>3790</v>
      </c>
      <c r="C385" s="8"/>
      <c r="D385" s="8" t="s">
        <v>3782</v>
      </c>
      <c r="E385" s="8"/>
      <c r="F385" s="8" t="s">
        <v>70</v>
      </c>
      <c r="G385" s="8" t="s">
        <v>207</v>
      </c>
      <c r="H385" s="8" t="s">
        <v>79</v>
      </c>
      <c r="I385" s="8" t="s">
        <v>208</v>
      </c>
      <c r="J385" s="8" t="n">
        <v>2</v>
      </c>
      <c r="K385" s="8" t="n">
        <v>4</v>
      </c>
      <c r="L385" s="18" t="n">
        <f aca="false">INDEX('All Items'!$Q:$Q,MATCH($A385,'All Items'!$A:$A,0))</f>
        <v>8.7</v>
      </c>
      <c r="M385" s="8" t="s">
        <v>274</v>
      </c>
      <c r="N385" s="8" t="s">
        <v>355</v>
      </c>
      <c r="O385" s="8" t="s">
        <v>3791</v>
      </c>
      <c r="P385" s="8" t="s">
        <v>3792</v>
      </c>
      <c r="Q385" s="8" t="s">
        <v>3793</v>
      </c>
      <c r="R385" s="8" t="s">
        <v>3794</v>
      </c>
      <c r="S385" s="19" t="s">
        <v>3795</v>
      </c>
      <c r="T385" s="8" t="s">
        <v>3796</v>
      </c>
      <c r="U385" s="8"/>
      <c r="V385" s="8" t="n">
        <f aca="false">COUNTA(M385:R385)</f>
        <v>6</v>
      </c>
      <c r="W385" s="8" t="s">
        <v>218</v>
      </c>
      <c r="X385" s="8" t="s">
        <v>259</v>
      </c>
      <c r="Y385" s="8" t="s">
        <v>218</v>
      </c>
      <c r="Z385" s="8"/>
      <c r="AA385" s="8" t="s">
        <v>3797</v>
      </c>
      <c r="AB385" s="20" t="s">
        <v>3798</v>
      </c>
      <c r="AC385" s="20" t="s">
        <v>1174</v>
      </c>
      <c r="AD385" s="20" t="s">
        <v>3799</v>
      </c>
      <c r="AE385" s="8" t="s">
        <v>223</v>
      </c>
      <c r="AF385" s="8" t="s">
        <v>224</v>
      </c>
    </row>
    <row r="386" customFormat="false" ht="15" hidden="false" customHeight="false" outlineLevel="0" collapsed="false">
      <c r="A386" s="8" t="s">
        <v>3800</v>
      </c>
      <c r="B386" s="8" t="s">
        <v>3801</v>
      </c>
      <c r="C386" s="8"/>
      <c r="D386" s="8" t="s">
        <v>3802</v>
      </c>
      <c r="E386" s="8"/>
      <c r="F386" s="8" t="s">
        <v>70</v>
      </c>
      <c r="G386" s="8" t="s">
        <v>207</v>
      </c>
      <c r="H386" s="8" t="s">
        <v>85</v>
      </c>
      <c r="I386" s="8" t="s">
        <v>208</v>
      </c>
      <c r="J386" s="8" t="n">
        <v>2</v>
      </c>
      <c r="K386" s="8" t="n">
        <v>3</v>
      </c>
      <c r="L386" s="18" t="n">
        <f aca="false">INDEX('All Items'!$Q:$Q,MATCH($A386,'All Items'!$A:$A,0))</f>
        <v>7.4</v>
      </c>
      <c r="M386" s="8" t="s">
        <v>1521</v>
      </c>
      <c r="N386" s="8" t="s">
        <v>366</v>
      </c>
      <c r="O386" s="8" t="s">
        <v>3803</v>
      </c>
      <c r="P386" s="8" t="s">
        <v>3804</v>
      </c>
      <c r="Q386" s="8" t="s">
        <v>3805</v>
      </c>
      <c r="R386" s="8" t="s">
        <v>3806</v>
      </c>
      <c r="S386" s="19" t="s">
        <v>3807</v>
      </c>
      <c r="T386" s="8" t="s">
        <v>3808</v>
      </c>
      <c r="U386" s="8"/>
      <c r="V386" s="8" t="n">
        <f aca="false">COUNTA(M386:R386)</f>
        <v>6</v>
      </c>
      <c r="W386" s="8" t="s">
        <v>218</v>
      </c>
      <c r="X386" s="8" t="s">
        <v>259</v>
      </c>
      <c r="Y386" s="8" t="s">
        <v>218</v>
      </c>
      <c r="Z386" s="8"/>
      <c r="AA386" s="8" t="s">
        <v>3809</v>
      </c>
      <c r="AB386" s="20"/>
      <c r="AC386" s="20"/>
      <c r="AD386" s="20"/>
      <c r="AE386" s="8" t="s">
        <v>237</v>
      </c>
      <c r="AF386" s="8" t="s">
        <v>224</v>
      </c>
    </row>
    <row r="387" customFormat="false" ht="15" hidden="false" customHeight="false" outlineLevel="0" collapsed="false">
      <c r="A387" s="8" t="s">
        <v>3810</v>
      </c>
      <c r="B387" s="8" t="s">
        <v>3811</v>
      </c>
      <c r="C387" s="8"/>
      <c r="D387" s="8" t="s">
        <v>3812</v>
      </c>
      <c r="E387" s="8"/>
      <c r="F387" s="8" t="s">
        <v>70</v>
      </c>
      <c r="G387" s="8" t="s">
        <v>3813</v>
      </c>
      <c r="H387" s="8" t="s">
        <v>85</v>
      </c>
      <c r="I387" s="8" t="s">
        <v>208</v>
      </c>
      <c r="J387" s="8" t="n">
        <v>1</v>
      </c>
      <c r="K387" s="8" t="n">
        <v>3</v>
      </c>
      <c r="L387" s="18" t="n">
        <f aca="false">INDEX('All Items'!$Q:$Q,MATCH($A387,'All Items'!$A:$A,0))</f>
        <v>7.4</v>
      </c>
      <c r="M387" s="8" t="s">
        <v>229</v>
      </c>
      <c r="N387" s="8" t="s">
        <v>3814</v>
      </c>
      <c r="O387" s="8" t="s">
        <v>3804</v>
      </c>
      <c r="P387" s="8" t="s">
        <v>3815</v>
      </c>
      <c r="Q387" s="8" t="s">
        <v>3816</v>
      </c>
      <c r="R387" s="8" t="s">
        <v>3813</v>
      </c>
      <c r="S387" s="19" t="s">
        <v>3817</v>
      </c>
      <c r="T387" s="8" t="s">
        <v>3818</v>
      </c>
      <c r="U387" s="8"/>
      <c r="V387" s="8" t="n">
        <f aca="false">COUNTA(M387:R387)</f>
        <v>6</v>
      </c>
      <c r="W387" s="8" t="s">
        <v>218</v>
      </c>
      <c r="X387" s="8" t="s">
        <v>259</v>
      </c>
      <c r="Y387" s="8" t="s">
        <v>259</v>
      </c>
      <c r="Z387" s="8" t="s">
        <v>3819</v>
      </c>
      <c r="AA387" s="8" t="s">
        <v>3820</v>
      </c>
      <c r="AB387" s="20"/>
      <c r="AC387" s="20"/>
      <c r="AD387" s="20"/>
      <c r="AE387" s="8" t="s">
        <v>237</v>
      </c>
      <c r="AF387" s="8" t="s">
        <v>224</v>
      </c>
    </row>
    <row r="388" customFormat="false" ht="15" hidden="false" customHeight="false" outlineLevel="0" collapsed="false">
      <c r="A388" s="8" t="s">
        <v>3821</v>
      </c>
      <c r="B388" s="8" t="s">
        <v>3822</v>
      </c>
      <c r="C388" s="8"/>
      <c r="D388" s="8" t="s">
        <v>3812</v>
      </c>
      <c r="E388" s="8"/>
      <c r="F388" s="8" t="s">
        <v>70</v>
      </c>
      <c r="G388" s="8" t="s">
        <v>3813</v>
      </c>
      <c r="H388" s="8" t="s">
        <v>83</v>
      </c>
      <c r="I388" s="8" t="s">
        <v>208</v>
      </c>
      <c r="J388" s="8" t="n">
        <v>2</v>
      </c>
      <c r="K388" s="8" t="n">
        <v>3</v>
      </c>
      <c r="L388" s="18" t="n">
        <f aca="false">INDEX('All Items'!$Q:$Q,MATCH($A388,'All Items'!$A:$A,0))</f>
        <v>7.15</v>
      </c>
      <c r="M388" s="8" t="s">
        <v>274</v>
      </c>
      <c r="N388" s="8" t="s">
        <v>356</v>
      </c>
      <c r="O388" s="8" t="s">
        <v>3804</v>
      </c>
      <c r="P388" s="8" t="s">
        <v>2675</v>
      </c>
      <c r="Q388" s="8" t="s">
        <v>1793</v>
      </c>
      <c r="R388" s="8" t="s">
        <v>3813</v>
      </c>
      <c r="S388" s="19" t="s">
        <v>3823</v>
      </c>
      <c r="T388" s="8" t="s">
        <v>3824</v>
      </c>
      <c r="U388" s="8"/>
      <c r="V388" s="8" t="n">
        <f aca="false">COUNTA(M388:R388)</f>
        <v>6</v>
      </c>
      <c r="W388" s="8" t="s">
        <v>218</v>
      </c>
      <c r="X388" s="8" t="s">
        <v>259</v>
      </c>
      <c r="Y388" s="8" t="s">
        <v>218</v>
      </c>
      <c r="Z388" s="8"/>
      <c r="AA388" s="8" t="s">
        <v>3825</v>
      </c>
      <c r="AB388" s="20"/>
      <c r="AC388" s="20"/>
      <c r="AD388" s="20"/>
      <c r="AE388" s="8" t="s">
        <v>237</v>
      </c>
      <c r="AF388" s="8" t="s">
        <v>224</v>
      </c>
    </row>
    <row r="389" customFormat="false" ht="15" hidden="false" customHeight="false" outlineLevel="0" collapsed="false">
      <c r="A389" s="8" t="s">
        <v>3826</v>
      </c>
      <c r="B389" s="8" t="s">
        <v>3827</v>
      </c>
      <c r="C389" s="8"/>
      <c r="D389" s="8" t="s">
        <v>3828</v>
      </c>
      <c r="E389" s="8"/>
      <c r="F389" s="8" t="s">
        <v>71</v>
      </c>
      <c r="G389" s="8" t="s">
        <v>3829</v>
      </c>
      <c r="H389" s="8" t="s">
        <v>78</v>
      </c>
      <c r="I389" s="8" t="s">
        <v>227</v>
      </c>
      <c r="J389" s="8" t="n">
        <v>1</v>
      </c>
      <c r="K389" s="8" t="n">
        <v>5</v>
      </c>
      <c r="L389" s="18" t="n">
        <f aca="false">INDEX('All Items'!$Q:$Q,MATCH($A389,'All Items'!$A:$A,0))</f>
        <v>10</v>
      </c>
      <c r="M389" s="8" t="s">
        <v>2715</v>
      </c>
      <c r="N389" s="8" t="s">
        <v>3830</v>
      </c>
      <c r="O389" s="8" t="s">
        <v>3831</v>
      </c>
      <c r="P389" s="8" t="s">
        <v>3832</v>
      </c>
      <c r="Q389" s="8" t="s">
        <v>3833</v>
      </c>
      <c r="R389" s="8" t="s">
        <v>3834</v>
      </c>
      <c r="S389" s="19" t="s">
        <v>3835</v>
      </c>
      <c r="T389" s="8" t="s">
        <v>3836</v>
      </c>
      <c r="U389" s="8"/>
      <c r="V389" s="8" t="n">
        <f aca="false">COUNTA(M389:R389)</f>
        <v>6</v>
      </c>
      <c r="W389" s="8" t="s">
        <v>218</v>
      </c>
      <c r="X389" s="8" t="s">
        <v>259</v>
      </c>
      <c r="Y389" s="8" t="s">
        <v>218</v>
      </c>
      <c r="Z389" s="8"/>
      <c r="AA389" s="8" t="s">
        <v>3837</v>
      </c>
      <c r="AB389" s="20"/>
      <c r="AC389" s="20"/>
      <c r="AD389" s="20"/>
      <c r="AE389" s="8" t="s">
        <v>237</v>
      </c>
      <c r="AF389" s="8" t="s">
        <v>224</v>
      </c>
    </row>
    <row r="390" customFormat="false" ht="15" hidden="false" customHeight="false" outlineLevel="0" collapsed="false">
      <c r="A390" s="8" t="s">
        <v>3838</v>
      </c>
      <c r="B390" s="8" t="s">
        <v>3839</v>
      </c>
      <c r="C390" s="8"/>
      <c r="D390" s="8" t="s">
        <v>3828</v>
      </c>
      <c r="E390" s="8"/>
      <c r="F390" s="8" t="s">
        <v>71</v>
      </c>
      <c r="G390" s="8" t="s">
        <v>3829</v>
      </c>
      <c r="H390" s="8" t="s">
        <v>78</v>
      </c>
      <c r="I390" s="8" t="s">
        <v>208</v>
      </c>
      <c r="J390" s="8" t="n">
        <v>1</v>
      </c>
      <c r="K390" s="8" t="n">
        <v>5</v>
      </c>
      <c r="L390" s="18" t="n">
        <f aca="false">INDEX('All Items'!$Q:$Q,MATCH($A390,'All Items'!$A:$A,0))</f>
        <v>9.75</v>
      </c>
      <c r="M390" s="8" t="s">
        <v>1031</v>
      </c>
      <c r="N390" s="8" t="s">
        <v>3840</v>
      </c>
      <c r="O390" s="8" t="s">
        <v>3841</v>
      </c>
      <c r="P390" s="8" t="s">
        <v>3842</v>
      </c>
      <c r="Q390" s="8" t="s">
        <v>3843</v>
      </c>
      <c r="R390" s="8"/>
      <c r="S390" s="19" t="s">
        <v>3844</v>
      </c>
      <c r="T390" s="8" t="s">
        <v>3845</v>
      </c>
      <c r="U390" s="8" t="s">
        <v>3843</v>
      </c>
      <c r="V390" s="8" t="n">
        <f aca="false">COUNTA(M390:R390)</f>
        <v>5</v>
      </c>
      <c r="W390" s="8" t="s">
        <v>218</v>
      </c>
      <c r="X390" s="8" t="s">
        <v>259</v>
      </c>
      <c r="Y390" s="8" t="s">
        <v>218</v>
      </c>
      <c r="Z390" s="8"/>
      <c r="AA390" s="8" t="s">
        <v>3846</v>
      </c>
      <c r="AB390" s="20"/>
      <c r="AC390" s="20"/>
      <c r="AD390" s="20"/>
      <c r="AE390" s="8" t="s">
        <v>237</v>
      </c>
      <c r="AF390" s="8" t="s">
        <v>224</v>
      </c>
    </row>
    <row r="391" customFormat="false" ht="15" hidden="false" customHeight="false" outlineLevel="0" collapsed="false">
      <c r="A391" s="8" t="s">
        <v>3847</v>
      </c>
      <c r="B391" s="8" t="s">
        <v>3848</v>
      </c>
      <c r="C391" s="8"/>
      <c r="D391" s="8" t="s">
        <v>3828</v>
      </c>
      <c r="E391" s="8"/>
      <c r="F391" s="8" t="s">
        <v>71</v>
      </c>
      <c r="G391" s="8" t="s">
        <v>3829</v>
      </c>
      <c r="H391" s="8" t="s">
        <v>78</v>
      </c>
      <c r="I391" s="8" t="s">
        <v>208</v>
      </c>
      <c r="J391" s="8" t="n">
        <v>1</v>
      </c>
      <c r="K391" s="8" t="n">
        <v>5</v>
      </c>
      <c r="L391" s="18" t="n">
        <f aca="false">INDEX('All Items'!$Q:$Q,MATCH($A391,'All Items'!$A:$A,0))</f>
        <v>10</v>
      </c>
      <c r="M391" s="8" t="s">
        <v>3849</v>
      </c>
      <c r="N391" s="8" t="s">
        <v>3850</v>
      </c>
      <c r="O391" s="8" t="s">
        <v>3851</v>
      </c>
      <c r="P391" s="8" t="s">
        <v>3852</v>
      </c>
      <c r="Q391" s="8" t="s">
        <v>3853</v>
      </c>
      <c r="R391" s="8" t="s">
        <v>3854</v>
      </c>
      <c r="S391" s="19" t="s">
        <v>3855</v>
      </c>
      <c r="T391" s="8" t="s">
        <v>3856</v>
      </c>
      <c r="U391" s="8"/>
      <c r="V391" s="8" t="n">
        <f aca="false">COUNTA(M391:R391)</f>
        <v>6</v>
      </c>
      <c r="W391" s="8" t="s">
        <v>218</v>
      </c>
      <c r="X391" s="8" t="s">
        <v>259</v>
      </c>
      <c r="Y391" s="8" t="s">
        <v>218</v>
      </c>
      <c r="Z391" s="8"/>
      <c r="AA391" s="8" t="s">
        <v>3857</v>
      </c>
      <c r="AB391" s="20"/>
      <c r="AC391" s="20"/>
      <c r="AD391" s="20"/>
      <c r="AE391" s="8" t="s">
        <v>237</v>
      </c>
      <c r="AF391" s="8" t="s">
        <v>224</v>
      </c>
    </row>
    <row r="392" customFormat="false" ht="15" hidden="false" customHeight="false" outlineLevel="0" collapsed="false">
      <c r="A392" s="8" t="s">
        <v>3858</v>
      </c>
      <c r="B392" s="8" t="s">
        <v>3859</v>
      </c>
      <c r="C392" s="8"/>
      <c r="D392" s="8" t="s">
        <v>3828</v>
      </c>
      <c r="E392" s="8"/>
      <c r="F392" s="8" t="s">
        <v>71</v>
      </c>
      <c r="G392" s="8" t="s">
        <v>3829</v>
      </c>
      <c r="H392" s="8" t="s">
        <v>85</v>
      </c>
      <c r="I392" s="8" t="s">
        <v>227</v>
      </c>
      <c r="J392" s="8" t="n">
        <v>2</v>
      </c>
      <c r="K392" s="8" t="n">
        <v>4</v>
      </c>
      <c r="L392" s="18" t="n">
        <f aca="false">INDEX('All Items'!$Q:$Q,MATCH($A392,'All Items'!$A:$A,0))</f>
        <v>8.7</v>
      </c>
      <c r="M392" s="8" t="s">
        <v>3860</v>
      </c>
      <c r="N392" s="8" t="s">
        <v>3850</v>
      </c>
      <c r="O392" s="8" t="s">
        <v>347</v>
      </c>
      <c r="P392" s="8" t="s">
        <v>3861</v>
      </c>
      <c r="Q392" s="8" t="s">
        <v>3862</v>
      </c>
      <c r="R392" s="8" t="s">
        <v>3863</v>
      </c>
      <c r="S392" s="19" t="s">
        <v>3864</v>
      </c>
      <c r="T392" s="8" t="s">
        <v>3865</v>
      </c>
      <c r="U392" s="8"/>
      <c r="V392" s="8" t="n">
        <f aca="false">COUNTA(M392:R392)</f>
        <v>6</v>
      </c>
      <c r="W392" s="8" t="s">
        <v>218</v>
      </c>
      <c r="X392" s="8" t="s">
        <v>259</v>
      </c>
      <c r="Y392" s="8" t="s">
        <v>218</v>
      </c>
      <c r="Z392" s="8"/>
      <c r="AA392" s="8" t="s">
        <v>3866</v>
      </c>
      <c r="AB392" s="20"/>
      <c r="AC392" s="20"/>
      <c r="AD392" s="20"/>
      <c r="AE392" s="8" t="s">
        <v>237</v>
      </c>
      <c r="AF392" s="8" t="s">
        <v>224</v>
      </c>
    </row>
    <row r="393" customFormat="false" ht="15" hidden="false" customHeight="false" outlineLevel="0" collapsed="false">
      <c r="A393" s="8" t="s">
        <v>3867</v>
      </c>
      <c r="B393" s="8" t="s">
        <v>3868</v>
      </c>
      <c r="C393" s="8" t="s">
        <v>3869</v>
      </c>
      <c r="D393" s="8" t="s">
        <v>3828</v>
      </c>
      <c r="E393" s="8"/>
      <c r="F393" s="8" t="s">
        <v>71</v>
      </c>
      <c r="G393" s="8" t="s">
        <v>3829</v>
      </c>
      <c r="H393" s="8" t="s">
        <v>78</v>
      </c>
      <c r="I393" s="8" t="s">
        <v>208</v>
      </c>
      <c r="J393" s="8" t="n">
        <v>1</v>
      </c>
      <c r="K393" s="8" t="n">
        <v>5</v>
      </c>
      <c r="L393" s="18" t="n">
        <f aca="false">INDEX('All Items'!$Q:$Q,MATCH($A393,'All Items'!$A:$A,0))</f>
        <v>10</v>
      </c>
      <c r="M393" s="8" t="s">
        <v>3870</v>
      </c>
      <c r="N393" s="8" t="s">
        <v>3871</v>
      </c>
      <c r="O393" s="8" t="s">
        <v>3793</v>
      </c>
      <c r="P393" s="8" t="s">
        <v>3872</v>
      </c>
      <c r="Q393" s="8" t="s">
        <v>3873</v>
      </c>
      <c r="R393" s="8" t="s">
        <v>3854</v>
      </c>
      <c r="S393" s="19" t="s">
        <v>3874</v>
      </c>
      <c r="T393" s="8" t="s">
        <v>3875</v>
      </c>
      <c r="U393" s="8"/>
      <c r="V393" s="8" t="n">
        <f aca="false">COUNTA(M393:R393)</f>
        <v>6</v>
      </c>
      <c r="W393" s="8" t="s">
        <v>218</v>
      </c>
      <c r="X393" s="8" t="s">
        <v>259</v>
      </c>
      <c r="Y393" s="8" t="s">
        <v>218</v>
      </c>
      <c r="Z393" s="8"/>
      <c r="AA393" s="8" t="s">
        <v>3876</v>
      </c>
      <c r="AB393" s="20"/>
      <c r="AC393" s="20"/>
      <c r="AD393" s="20"/>
      <c r="AE393" s="8" t="s">
        <v>237</v>
      </c>
      <c r="AF393" s="8" t="s">
        <v>224</v>
      </c>
    </row>
    <row r="394" customFormat="false" ht="15" hidden="false" customHeight="false" outlineLevel="0" collapsed="false">
      <c r="A394" s="8" t="s">
        <v>3877</v>
      </c>
      <c r="B394" s="8" t="s">
        <v>3878</v>
      </c>
      <c r="C394" s="8"/>
      <c r="D394" s="8" t="s">
        <v>3828</v>
      </c>
      <c r="E394" s="8"/>
      <c r="F394" s="8" t="s">
        <v>71</v>
      </c>
      <c r="G394" s="8" t="s">
        <v>3829</v>
      </c>
      <c r="H394" s="8" t="s">
        <v>88</v>
      </c>
      <c r="I394" s="8" t="s">
        <v>227</v>
      </c>
      <c r="J394" s="8" t="n">
        <v>1</v>
      </c>
      <c r="K394" s="8" t="n">
        <v>4</v>
      </c>
      <c r="L394" s="18" t="n">
        <f aca="false">INDEX('All Items'!$Q:$Q,MATCH($A394,'All Items'!$A:$A,0))</f>
        <v>8.45</v>
      </c>
      <c r="M394" s="8" t="s">
        <v>3840</v>
      </c>
      <c r="N394" s="8" t="s">
        <v>3850</v>
      </c>
      <c r="O394" s="8" t="s">
        <v>3879</v>
      </c>
      <c r="P394" s="8" t="s">
        <v>3830</v>
      </c>
      <c r="Q394" s="8" t="s">
        <v>3880</v>
      </c>
      <c r="R394" s="8" t="s">
        <v>3881</v>
      </c>
      <c r="S394" s="19" t="s">
        <v>3882</v>
      </c>
      <c r="T394" s="8" t="s">
        <v>3883</v>
      </c>
      <c r="U394" s="8"/>
      <c r="V394" s="8" t="n">
        <f aca="false">COUNTA(M394:R394)</f>
        <v>6</v>
      </c>
      <c r="W394" s="8" t="s">
        <v>218</v>
      </c>
      <c r="X394" s="8" t="s">
        <v>259</v>
      </c>
      <c r="Y394" s="8" t="s">
        <v>218</v>
      </c>
      <c r="Z394" s="8"/>
      <c r="AA394" s="8" t="s">
        <v>3884</v>
      </c>
      <c r="AB394" s="20" t="s">
        <v>3885</v>
      </c>
      <c r="AC394" s="20" t="s">
        <v>1174</v>
      </c>
      <c r="AD394" s="20" t="s">
        <v>3886</v>
      </c>
      <c r="AE394" s="8" t="s">
        <v>223</v>
      </c>
      <c r="AF394" s="8" t="s">
        <v>224</v>
      </c>
    </row>
    <row r="395" customFormat="false" ht="15" hidden="false" customHeight="false" outlineLevel="0" collapsed="false">
      <c r="A395" s="8" t="s">
        <v>3887</v>
      </c>
      <c r="B395" s="8" t="s">
        <v>3888</v>
      </c>
      <c r="C395" s="8"/>
      <c r="D395" s="8" t="s">
        <v>3828</v>
      </c>
      <c r="E395" s="8"/>
      <c r="F395" s="8" t="s">
        <v>71</v>
      </c>
      <c r="G395" s="8" t="s">
        <v>3829</v>
      </c>
      <c r="H395" s="8" t="s">
        <v>78</v>
      </c>
      <c r="I395" s="8" t="s">
        <v>227</v>
      </c>
      <c r="J395" s="8" t="n">
        <v>2</v>
      </c>
      <c r="K395" s="8" t="n">
        <v>3</v>
      </c>
      <c r="L395" s="18" t="n">
        <f aca="false">INDEX('All Items'!$Q:$Q,MATCH($A395,'All Items'!$A:$A,0))</f>
        <v>7.15</v>
      </c>
      <c r="M395" s="8" t="s">
        <v>214</v>
      </c>
      <c r="N395" s="8" t="s">
        <v>3889</v>
      </c>
      <c r="O395" s="8" t="s">
        <v>3890</v>
      </c>
      <c r="P395" s="8" t="s">
        <v>3840</v>
      </c>
      <c r="Q395" s="8" t="s">
        <v>3891</v>
      </c>
      <c r="R395" s="8"/>
      <c r="S395" s="19" t="s">
        <v>3892</v>
      </c>
      <c r="T395" s="8" t="s">
        <v>3893</v>
      </c>
      <c r="U395" s="8"/>
      <c r="V395" s="8" t="n">
        <f aca="false">COUNTA(M395:R395)</f>
        <v>5</v>
      </c>
      <c r="W395" s="8" t="s">
        <v>218</v>
      </c>
      <c r="X395" s="8" t="s">
        <v>259</v>
      </c>
      <c r="Y395" s="8" t="s">
        <v>218</v>
      </c>
      <c r="Z395" s="8"/>
      <c r="AA395" s="8" t="s">
        <v>3894</v>
      </c>
      <c r="AB395" s="20"/>
      <c r="AC395" s="20"/>
      <c r="AD395" s="20"/>
      <c r="AE395" s="8" t="s">
        <v>237</v>
      </c>
      <c r="AF395" s="8" t="s">
        <v>224</v>
      </c>
    </row>
    <row r="396" customFormat="false" ht="15" hidden="false" customHeight="false" outlineLevel="0" collapsed="false">
      <c r="A396" s="8" t="s">
        <v>3895</v>
      </c>
      <c r="B396" s="8" t="s">
        <v>3896</v>
      </c>
      <c r="C396" s="8"/>
      <c r="D396" s="8" t="s">
        <v>3828</v>
      </c>
      <c r="E396" s="8"/>
      <c r="F396" s="8" t="s">
        <v>71</v>
      </c>
      <c r="G396" s="8" t="s">
        <v>3829</v>
      </c>
      <c r="H396" s="8" t="s">
        <v>78</v>
      </c>
      <c r="I396" s="8" t="s">
        <v>208</v>
      </c>
      <c r="J396" s="8" t="n">
        <v>2</v>
      </c>
      <c r="K396" s="8" t="n">
        <v>3</v>
      </c>
      <c r="L396" s="18" t="n">
        <f aca="false">INDEX('All Items'!$Q:$Q,MATCH($A396,'All Items'!$A:$A,0))</f>
        <v>7.4</v>
      </c>
      <c r="M396" s="8" t="s">
        <v>3860</v>
      </c>
      <c r="N396" s="8" t="s">
        <v>3840</v>
      </c>
      <c r="O396" s="8" t="s">
        <v>3841</v>
      </c>
      <c r="P396" s="8" t="s">
        <v>3897</v>
      </c>
      <c r="Q396" s="8" t="s">
        <v>3898</v>
      </c>
      <c r="R396" s="8" t="s">
        <v>3899</v>
      </c>
      <c r="S396" s="19" t="s">
        <v>3900</v>
      </c>
      <c r="T396" s="8" t="s">
        <v>3901</v>
      </c>
      <c r="U396" s="8"/>
      <c r="V396" s="8" t="n">
        <f aca="false">COUNTA(M396:R396)</f>
        <v>6</v>
      </c>
      <c r="W396" s="8" t="s">
        <v>218</v>
      </c>
      <c r="X396" s="8" t="s">
        <v>259</v>
      </c>
      <c r="Y396" s="8" t="s">
        <v>218</v>
      </c>
      <c r="Z396" s="8"/>
      <c r="AA396" s="8" t="s">
        <v>3902</v>
      </c>
      <c r="AB396" s="20" t="s">
        <v>3903</v>
      </c>
      <c r="AC396" s="20" t="s">
        <v>527</v>
      </c>
      <c r="AD396" s="20" t="s">
        <v>2722</v>
      </c>
      <c r="AE396" s="8" t="s">
        <v>223</v>
      </c>
      <c r="AF396" s="8" t="s">
        <v>224</v>
      </c>
    </row>
    <row r="397" customFormat="false" ht="15" hidden="false" customHeight="false" outlineLevel="0" collapsed="false">
      <c r="A397" s="8" t="s">
        <v>3904</v>
      </c>
      <c r="B397" s="8" t="s">
        <v>3905</v>
      </c>
      <c r="C397" s="8"/>
      <c r="D397" s="8" t="s">
        <v>3828</v>
      </c>
      <c r="E397" s="8"/>
      <c r="F397" s="8" t="s">
        <v>71</v>
      </c>
      <c r="G397" s="8" t="s">
        <v>3829</v>
      </c>
      <c r="H397" s="8" t="s">
        <v>78</v>
      </c>
      <c r="I397" s="8" t="s">
        <v>273</v>
      </c>
      <c r="J397" s="8" t="n">
        <v>2</v>
      </c>
      <c r="K397" s="8" t="n">
        <v>4</v>
      </c>
      <c r="L397" s="18" t="n">
        <f aca="false">INDEX('All Items'!$Q:$Q,MATCH($A397,'All Items'!$A:$A,0))</f>
        <v>8.2</v>
      </c>
      <c r="M397" s="8" t="s">
        <v>3906</v>
      </c>
      <c r="N397" s="8" t="s">
        <v>3907</v>
      </c>
      <c r="O397" s="8" t="s">
        <v>3843</v>
      </c>
      <c r="P397" s="8" t="s">
        <v>3908</v>
      </c>
      <c r="Q397" s="8" t="s">
        <v>3854</v>
      </c>
      <c r="R397" s="8"/>
      <c r="S397" s="19" t="s">
        <v>3909</v>
      </c>
      <c r="T397" s="8" t="s">
        <v>3910</v>
      </c>
      <c r="U397" s="8"/>
      <c r="V397" s="8" t="n">
        <f aca="false">COUNTA(M397:R397)</f>
        <v>5</v>
      </c>
      <c r="W397" s="8" t="s">
        <v>218</v>
      </c>
      <c r="X397" s="8" t="s">
        <v>259</v>
      </c>
      <c r="Y397" s="8" t="s">
        <v>218</v>
      </c>
      <c r="Z397" s="8"/>
      <c r="AA397" s="8" t="s">
        <v>3911</v>
      </c>
      <c r="AB397" s="20"/>
      <c r="AC397" s="20"/>
      <c r="AD397" s="20"/>
      <c r="AE397" s="8" t="s">
        <v>237</v>
      </c>
      <c r="AF397" s="8" t="s">
        <v>224</v>
      </c>
    </row>
    <row r="398" customFormat="false" ht="15" hidden="false" customHeight="false" outlineLevel="0" collapsed="false">
      <c r="A398" s="8" t="s">
        <v>3912</v>
      </c>
      <c r="B398" s="8" t="s">
        <v>3913</v>
      </c>
      <c r="C398" s="8"/>
      <c r="D398" s="8" t="s">
        <v>3828</v>
      </c>
      <c r="E398" s="8"/>
      <c r="F398" s="8" t="s">
        <v>71</v>
      </c>
      <c r="G398" s="8" t="s">
        <v>3829</v>
      </c>
      <c r="H398" s="8" t="s">
        <v>78</v>
      </c>
      <c r="I398" s="8" t="s">
        <v>227</v>
      </c>
      <c r="J398" s="8" t="n">
        <v>1</v>
      </c>
      <c r="K398" s="8" t="n">
        <v>5</v>
      </c>
      <c r="L398" s="18" t="n">
        <f aca="false">INDEX('All Items'!$Q:$Q,MATCH($A398,'All Items'!$A:$A,0))</f>
        <v>9.75</v>
      </c>
      <c r="M398" s="8" t="s">
        <v>345</v>
      </c>
      <c r="N398" s="8" t="s">
        <v>214</v>
      </c>
      <c r="O398" s="8" t="s">
        <v>3850</v>
      </c>
      <c r="P398" s="8" t="s">
        <v>3914</v>
      </c>
      <c r="Q398" s="8" t="s">
        <v>3915</v>
      </c>
      <c r="R398" s="8"/>
      <c r="S398" s="19" t="s">
        <v>3916</v>
      </c>
      <c r="T398" s="8" t="s">
        <v>3917</v>
      </c>
      <c r="U398" s="8" t="s">
        <v>3915</v>
      </c>
      <c r="V398" s="8" t="n">
        <f aca="false">COUNTA(M398:R398)</f>
        <v>5</v>
      </c>
      <c r="W398" s="8" t="s">
        <v>218</v>
      </c>
      <c r="X398" s="8" t="s">
        <v>259</v>
      </c>
      <c r="Y398" s="8" t="s">
        <v>218</v>
      </c>
      <c r="Z398" s="8"/>
      <c r="AA398" s="8" t="s">
        <v>3918</v>
      </c>
      <c r="AB398" s="20" t="s">
        <v>3919</v>
      </c>
      <c r="AC398" s="20" t="s">
        <v>1837</v>
      </c>
      <c r="AD398" s="20" t="s">
        <v>3920</v>
      </c>
      <c r="AE398" s="8" t="s">
        <v>223</v>
      </c>
      <c r="AF398" s="8" t="s">
        <v>224</v>
      </c>
    </row>
    <row r="399" customFormat="false" ht="15" hidden="false" customHeight="false" outlineLevel="0" collapsed="false">
      <c r="A399" s="8" t="s">
        <v>3921</v>
      </c>
      <c r="B399" s="8" t="s">
        <v>3922</v>
      </c>
      <c r="C399" s="8"/>
      <c r="D399" s="8" t="s">
        <v>3828</v>
      </c>
      <c r="E399" s="8"/>
      <c r="F399" s="8" t="s">
        <v>71</v>
      </c>
      <c r="G399" s="8" t="s">
        <v>3829</v>
      </c>
      <c r="H399" s="8" t="s">
        <v>78</v>
      </c>
      <c r="I399" s="8" t="s">
        <v>208</v>
      </c>
      <c r="J399" s="8" t="n">
        <v>2</v>
      </c>
      <c r="K399" s="8" t="n">
        <v>3</v>
      </c>
      <c r="L399" s="18" t="n">
        <f aca="false">INDEX('All Items'!$Q:$Q,MATCH($A399,'All Items'!$A:$A,0))</f>
        <v>7.4</v>
      </c>
      <c r="M399" s="8" t="s">
        <v>1933</v>
      </c>
      <c r="N399" s="8" t="s">
        <v>274</v>
      </c>
      <c r="O399" s="8" t="s">
        <v>3860</v>
      </c>
      <c r="P399" s="8" t="s">
        <v>3923</v>
      </c>
      <c r="Q399" s="8" t="s">
        <v>3924</v>
      </c>
      <c r="R399" s="8" t="s">
        <v>3863</v>
      </c>
      <c r="S399" s="19" t="s">
        <v>3925</v>
      </c>
      <c r="T399" s="8" t="s">
        <v>3926</v>
      </c>
      <c r="U399" s="8"/>
      <c r="V399" s="8" t="n">
        <f aca="false">COUNTA(M399:R399)</f>
        <v>6</v>
      </c>
      <c r="W399" s="8" t="s">
        <v>218</v>
      </c>
      <c r="X399" s="8" t="s">
        <v>259</v>
      </c>
      <c r="Y399" s="8" t="s">
        <v>218</v>
      </c>
      <c r="Z399" s="8"/>
      <c r="AA399" s="8" t="s">
        <v>3927</v>
      </c>
      <c r="AB399" s="20"/>
      <c r="AC399" s="20"/>
      <c r="AD399" s="20"/>
      <c r="AE399" s="8" t="s">
        <v>237</v>
      </c>
      <c r="AF399" s="8" t="s">
        <v>224</v>
      </c>
    </row>
    <row r="400" customFormat="false" ht="15" hidden="false" customHeight="false" outlineLevel="0" collapsed="false">
      <c r="A400" s="8" t="s">
        <v>3928</v>
      </c>
      <c r="B400" s="8" t="s">
        <v>3929</v>
      </c>
      <c r="C400" s="8"/>
      <c r="D400" s="8" t="s">
        <v>3828</v>
      </c>
      <c r="E400" s="8"/>
      <c r="F400" s="8" t="s">
        <v>71</v>
      </c>
      <c r="G400" s="8" t="s">
        <v>3829</v>
      </c>
      <c r="H400" s="8" t="s">
        <v>78</v>
      </c>
      <c r="I400" s="8" t="s">
        <v>227</v>
      </c>
      <c r="J400" s="8" t="n">
        <v>2</v>
      </c>
      <c r="K400" s="8" t="n">
        <v>4</v>
      </c>
      <c r="L400" s="18" t="n">
        <f aca="false">INDEX('All Items'!$Q:$Q,MATCH($A400,'All Items'!$A:$A,0))</f>
        <v>8.45</v>
      </c>
      <c r="M400" s="8" t="s">
        <v>1313</v>
      </c>
      <c r="N400" s="8" t="s">
        <v>3930</v>
      </c>
      <c r="O400" s="8" t="s">
        <v>3850</v>
      </c>
      <c r="P400" s="8" t="s">
        <v>3931</v>
      </c>
      <c r="Q400" s="8" t="s">
        <v>3854</v>
      </c>
      <c r="R400" s="8"/>
      <c r="S400" s="19" t="s">
        <v>3932</v>
      </c>
      <c r="T400" s="8" t="s">
        <v>3933</v>
      </c>
      <c r="U400" s="8"/>
      <c r="V400" s="8" t="n">
        <f aca="false">COUNTA(M400:R400)</f>
        <v>5</v>
      </c>
      <c r="W400" s="8" t="s">
        <v>218</v>
      </c>
      <c r="X400" s="8" t="s">
        <v>259</v>
      </c>
      <c r="Y400" s="8" t="s">
        <v>218</v>
      </c>
      <c r="Z400" s="8"/>
      <c r="AA400" s="8" t="s">
        <v>3934</v>
      </c>
      <c r="AB400" s="20"/>
      <c r="AC400" s="20"/>
      <c r="AD400" s="20"/>
      <c r="AE400" s="8" t="s">
        <v>237</v>
      </c>
      <c r="AF400" s="8" t="s">
        <v>224</v>
      </c>
    </row>
    <row r="401" customFormat="false" ht="15" hidden="false" customHeight="false" outlineLevel="0" collapsed="false">
      <c r="A401" s="8" t="s">
        <v>3935</v>
      </c>
      <c r="B401" s="8" t="s">
        <v>3936</v>
      </c>
      <c r="C401" s="8"/>
      <c r="D401" s="8" t="s">
        <v>3828</v>
      </c>
      <c r="E401" s="8"/>
      <c r="F401" s="8" t="s">
        <v>71</v>
      </c>
      <c r="G401" s="8" t="s">
        <v>3829</v>
      </c>
      <c r="H401" s="8" t="s">
        <v>80</v>
      </c>
      <c r="I401" s="8" t="s">
        <v>1030</v>
      </c>
      <c r="J401" s="8" t="n">
        <v>1</v>
      </c>
      <c r="K401" s="8" t="n">
        <v>5</v>
      </c>
      <c r="L401" s="18" t="n">
        <f aca="false">INDEX('All Items'!$Q:$Q,MATCH($A401,'All Items'!$A:$A,0))</f>
        <v>10</v>
      </c>
      <c r="M401" s="8" t="s">
        <v>3937</v>
      </c>
      <c r="N401" s="8" t="s">
        <v>3938</v>
      </c>
      <c r="O401" s="8" t="s">
        <v>3939</v>
      </c>
      <c r="P401" s="8" t="s">
        <v>3940</v>
      </c>
      <c r="Q401" s="8" t="s">
        <v>3941</v>
      </c>
      <c r="R401" s="8" t="s">
        <v>3854</v>
      </c>
      <c r="S401" s="19" t="s">
        <v>3942</v>
      </c>
      <c r="T401" s="8" t="s">
        <v>3943</v>
      </c>
      <c r="U401" s="8"/>
      <c r="V401" s="8" t="n">
        <f aca="false">COUNTA(M401:R401)</f>
        <v>6</v>
      </c>
      <c r="W401" s="8" t="s">
        <v>218</v>
      </c>
      <c r="X401" s="8" t="s">
        <v>259</v>
      </c>
      <c r="Y401" s="8" t="s">
        <v>218</v>
      </c>
      <c r="Z401" s="8"/>
      <c r="AA401" s="8" t="s">
        <v>3944</v>
      </c>
      <c r="AB401" s="20" t="s">
        <v>3945</v>
      </c>
      <c r="AC401" s="20" t="s">
        <v>384</v>
      </c>
      <c r="AD401" s="20" t="s">
        <v>3946</v>
      </c>
      <c r="AE401" s="8" t="s">
        <v>223</v>
      </c>
      <c r="AF401" s="8" t="s">
        <v>224</v>
      </c>
    </row>
    <row r="402" customFormat="false" ht="15" hidden="false" customHeight="false" outlineLevel="0" collapsed="false">
      <c r="A402" s="8" t="s">
        <v>3947</v>
      </c>
      <c r="B402" s="8" t="s">
        <v>3948</v>
      </c>
      <c r="C402" s="8"/>
      <c r="D402" s="8" t="s">
        <v>3828</v>
      </c>
      <c r="E402" s="8"/>
      <c r="F402" s="8" t="s">
        <v>71</v>
      </c>
      <c r="G402" s="8" t="s">
        <v>3829</v>
      </c>
      <c r="H402" s="8" t="s">
        <v>80</v>
      </c>
      <c r="I402" s="8" t="s">
        <v>227</v>
      </c>
      <c r="J402" s="8" t="n">
        <v>2</v>
      </c>
      <c r="K402" s="8" t="n">
        <v>4</v>
      </c>
      <c r="L402" s="18" t="n">
        <f aca="false">INDEX('All Items'!$Q:$Q,MATCH($A402,'All Items'!$A:$A,0))</f>
        <v>8.45</v>
      </c>
      <c r="M402" s="8" t="s">
        <v>3949</v>
      </c>
      <c r="N402" s="8" t="s">
        <v>345</v>
      </c>
      <c r="O402" s="8" t="s">
        <v>3950</v>
      </c>
      <c r="P402" s="8" t="s">
        <v>3951</v>
      </c>
      <c r="Q402" s="8" t="s">
        <v>3952</v>
      </c>
      <c r="R402" s="8" t="s">
        <v>3854</v>
      </c>
      <c r="S402" s="19" t="s">
        <v>3953</v>
      </c>
      <c r="T402" s="8" t="s">
        <v>3954</v>
      </c>
      <c r="U402" s="8"/>
      <c r="V402" s="8" t="n">
        <f aca="false">COUNTA(M402:R402)</f>
        <v>6</v>
      </c>
      <c r="W402" s="8" t="s">
        <v>218</v>
      </c>
      <c r="X402" s="8" t="s">
        <v>259</v>
      </c>
      <c r="Y402" s="8" t="s">
        <v>218</v>
      </c>
      <c r="Z402" s="8"/>
      <c r="AA402" s="8" t="s">
        <v>3955</v>
      </c>
      <c r="AB402" s="20"/>
      <c r="AC402" s="20"/>
      <c r="AD402" s="20"/>
      <c r="AE402" s="8" t="s">
        <v>237</v>
      </c>
      <c r="AF402" s="8" t="s">
        <v>224</v>
      </c>
    </row>
    <row r="403" customFormat="false" ht="15" hidden="false" customHeight="false" outlineLevel="0" collapsed="false">
      <c r="A403" s="8" t="s">
        <v>3956</v>
      </c>
      <c r="B403" s="8" t="s">
        <v>3957</v>
      </c>
      <c r="C403" s="8"/>
      <c r="D403" s="8" t="s">
        <v>3828</v>
      </c>
      <c r="E403" s="8"/>
      <c r="F403" s="8" t="s">
        <v>71</v>
      </c>
      <c r="G403" s="8" t="s">
        <v>3829</v>
      </c>
      <c r="H403" s="8" t="s">
        <v>80</v>
      </c>
      <c r="I403" s="8" t="s">
        <v>227</v>
      </c>
      <c r="J403" s="8" t="n">
        <v>2</v>
      </c>
      <c r="K403" s="8" t="n">
        <v>3</v>
      </c>
      <c r="L403" s="18" t="n">
        <f aca="false">INDEX('All Items'!$Q:$Q,MATCH($A403,'All Items'!$A:$A,0))</f>
        <v>7.4</v>
      </c>
      <c r="M403" s="8" t="s">
        <v>3958</v>
      </c>
      <c r="N403" s="8" t="s">
        <v>3959</v>
      </c>
      <c r="O403" s="8" t="s">
        <v>3960</v>
      </c>
      <c r="P403" s="8" t="s">
        <v>3961</v>
      </c>
      <c r="Q403" s="8" t="s">
        <v>3962</v>
      </c>
      <c r="R403" s="8" t="s">
        <v>3963</v>
      </c>
      <c r="S403" s="19" t="s">
        <v>3964</v>
      </c>
      <c r="T403" s="8" t="s">
        <v>3965</v>
      </c>
      <c r="U403" s="8"/>
      <c r="V403" s="8" t="n">
        <f aca="false">COUNTA(M403:R403)</f>
        <v>6</v>
      </c>
      <c r="W403" s="8" t="s">
        <v>218</v>
      </c>
      <c r="X403" s="8" t="s">
        <v>259</v>
      </c>
      <c r="Y403" s="8" t="s">
        <v>218</v>
      </c>
      <c r="Z403" s="8"/>
      <c r="AA403" s="8" t="s">
        <v>3966</v>
      </c>
      <c r="AB403" s="20" t="s">
        <v>3967</v>
      </c>
      <c r="AC403" s="20" t="s">
        <v>221</v>
      </c>
      <c r="AD403" s="20" t="s">
        <v>3968</v>
      </c>
      <c r="AE403" s="8" t="s">
        <v>223</v>
      </c>
      <c r="AF403" s="8" t="s">
        <v>224</v>
      </c>
    </row>
    <row r="404" customFormat="false" ht="15" hidden="false" customHeight="false" outlineLevel="0" collapsed="false">
      <c r="A404" s="8" t="s">
        <v>3969</v>
      </c>
      <c r="B404" s="8" t="s">
        <v>3970</v>
      </c>
      <c r="C404" s="8"/>
      <c r="D404" s="8" t="s">
        <v>3828</v>
      </c>
      <c r="E404" s="8"/>
      <c r="F404" s="8" t="s">
        <v>71</v>
      </c>
      <c r="G404" s="8" t="s">
        <v>3829</v>
      </c>
      <c r="H404" s="8" t="s">
        <v>80</v>
      </c>
      <c r="I404" s="8" t="s">
        <v>227</v>
      </c>
      <c r="J404" s="8" t="n">
        <v>1</v>
      </c>
      <c r="K404" s="8" t="n">
        <v>5</v>
      </c>
      <c r="L404" s="18" t="n">
        <f aca="false">INDEX('All Items'!$Q:$Q,MATCH($A404,'All Items'!$A:$A,0))</f>
        <v>9.75</v>
      </c>
      <c r="M404" s="8" t="s">
        <v>1363</v>
      </c>
      <c r="N404" s="8" t="s">
        <v>463</v>
      </c>
      <c r="O404" s="8" t="s">
        <v>3971</v>
      </c>
      <c r="P404" s="8" t="s">
        <v>3972</v>
      </c>
      <c r="Q404" s="8" t="s">
        <v>3973</v>
      </c>
      <c r="R404" s="8"/>
      <c r="S404" s="19" t="s">
        <v>3974</v>
      </c>
      <c r="T404" s="8" t="s">
        <v>3975</v>
      </c>
      <c r="U404" s="8"/>
      <c r="V404" s="8" t="n">
        <f aca="false">COUNTA(M404:R404)</f>
        <v>5</v>
      </c>
      <c r="W404" s="8" t="s">
        <v>218</v>
      </c>
      <c r="X404" s="8" t="s">
        <v>259</v>
      </c>
      <c r="Y404" s="8" t="s">
        <v>218</v>
      </c>
      <c r="Z404" s="8"/>
      <c r="AA404" s="8" t="s">
        <v>3976</v>
      </c>
      <c r="AB404" s="20" t="s">
        <v>3977</v>
      </c>
      <c r="AC404" s="20" t="s">
        <v>221</v>
      </c>
      <c r="AD404" s="20" t="s">
        <v>3978</v>
      </c>
      <c r="AE404" s="8" t="s">
        <v>223</v>
      </c>
      <c r="AF404" s="8" t="s">
        <v>224</v>
      </c>
    </row>
    <row r="405" customFormat="false" ht="15" hidden="false" customHeight="false" outlineLevel="0" collapsed="false">
      <c r="A405" s="8" t="s">
        <v>3979</v>
      </c>
      <c r="B405" s="8" t="s">
        <v>3980</v>
      </c>
      <c r="C405" s="8"/>
      <c r="D405" s="8" t="s">
        <v>3828</v>
      </c>
      <c r="E405" s="8"/>
      <c r="F405" s="8" t="s">
        <v>71</v>
      </c>
      <c r="G405" s="8" t="s">
        <v>3829</v>
      </c>
      <c r="H405" s="8" t="s">
        <v>79</v>
      </c>
      <c r="I405" s="8" t="s">
        <v>273</v>
      </c>
      <c r="J405" s="8" t="n">
        <v>1</v>
      </c>
      <c r="K405" s="8" t="n">
        <v>5</v>
      </c>
      <c r="L405" s="18" t="n">
        <f aca="false">INDEX('All Items'!$Q:$Q,MATCH($A405,'All Items'!$A:$A,0))</f>
        <v>9.5</v>
      </c>
      <c r="M405" s="8" t="s">
        <v>3830</v>
      </c>
      <c r="N405" s="8" t="s">
        <v>3981</v>
      </c>
      <c r="O405" s="8" t="s">
        <v>3982</v>
      </c>
      <c r="P405" s="8" t="s">
        <v>3983</v>
      </c>
      <c r="Q405" s="8" t="s">
        <v>3984</v>
      </c>
      <c r="R405" s="8" t="s">
        <v>3985</v>
      </c>
      <c r="S405" s="19" t="s">
        <v>3986</v>
      </c>
      <c r="T405" s="8" t="s">
        <v>3987</v>
      </c>
      <c r="U405" s="8"/>
      <c r="V405" s="8" t="n">
        <f aca="false">COUNTA(M405:R405)</f>
        <v>6</v>
      </c>
      <c r="W405" s="8" t="s">
        <v>218</v>
      </c>
      <c r="X405" s="8" t="s">
        <v>259</v>
      </c>
      <c r="Y405" s="8" t="s">
        <v>218</v>
      </c>
      <c r="Z405" s="8"/>
      <c r="AA405" s="8" t="s">
        <v>3988</v>
      </c>
      <c r="AB405" s="20" t="s">
        <v>3989</v>
      </c>
      <c r="AC405" s="20" t="s">
        <v>221</v>
      </c>
      <c r="AD405" s="20" t="s">
        <v>3315</v>
      </c>
      <c r="AE405" s="8" t="s">
        <v>223</v>
      </c>
      <c r="AF405" s="8" t="s">
        <v>224</v>
      </c>
    </row>
    <row r="406" customFormat="false" ht="15" hidden="false" customHeight="false" outlineLevel="0" collapsed="false">
      <c r="A406" s="8" t="s">
        <v>3990</v>
      </c>
      <c r="B406" s="8" t="s">
        <v>3991</v>
      </c>
      <c r="C406" s="8"/>
      <c r="D406" s="8" t="s">
        <v>3828</v>
      </c>
      <c r="E406" s="8"/>
      <c r="F406" s="8" t="s">
        <v>71</v>
      </c>
      <c r="G406" s="8" t="s">
        <v>3829</v>
      </c>
      <c r="H406" s="8" t="s">
        <v>89</v>
      </c>
      <c r="I406" s="8" t="s">
        <v>227</v>
      </c>
      <c r="J406" s="8" t="n">
        <v>1</v>
      </c>
      <c r="K406" s="8" t="n">
        <v>4</v>
      </c>
      <c r="L406" s="18" t="n">
        <f aca="false">INDEX('All Items'!$Q:$Q,MATCH($A406,'All Items'!$A:$A,0))</f>
        <v>8.45</v>
      </c>
      <c r="M406" s="8" t="s">
        <v>274</v>
      </c>
      <c r="N406" s="8" t="s">
        <v>3992</v>
      </c>
      <c r="O406" s="8" t="s">
        <v>3830</v>
      </c>
      <c r="P406" s="8" t="s">
        <v>3831</v>
      </c>
      <c r="Q406" s="8" t="s">
        <v>3993</v>
      </c>
      <c r="R406" s="8" t="s">
        <v>3994</v>
      </c>
      <c r="S406" s="19" t="s">
        <v>3995</v>
      </c>
      <c r="T406" s="8" t="s">
        <v>3996</v>
      </c>
      <c r="U406" s="8" t="s">
        <v>3993</v>
      </c>
      <c r="V406" s="8" t="n">
        <f aca="false">COUNTA(M406:R406)</f>
        <v>6</v>
      </c>
      <c r="W406" s="8" t="s">
        <v>218</v>
      </c>
      <c r="X406" s="8" t="s">
        <v>259</v>
      </c>
      <c r="Y406" s="8" t="s">
        <v>218</v>
      </c>
      <c r="Z406" s="8"/>
      <c r="AA406" s="8" t="s">
        <v>3997</v>
      </c>
      <c r="AB406" s="20"/>
      <c r="AC406" s="20"/>
      <c r="AD406" s="20"/>
      <c r="AE406" s="8" t="s">
        <v>237</v>
      </c>
      <c r="AF406" s="8" t="s">
        <v>224</v>
      </c>
    </row>
    <row r="407" customFormat="false" ht="15" hidden="false" customHeight="false" outlineLevel="0" collapsed="false">
      <c r="A407" s="8" t="s">
        <v>3998</v>
      </c>
      <c r="B407" s="8" t="s">
        <v>3999</v>
      </c>
      <c r="C407" s="8"/>
      <c r="D407" s="8" t="s">
        <v>3828</v>
      </c>
      <c r="E407" s="8"/>
      <c r="F407" s="8" t="s">
        <v>71</v>
      </c>
      <c r="G407" s="8" t="s">
        <v>3829</v>
      </c>
      <c r="H407" s="8" t="s">
        <v>79</v>
      </c>
      <c r="I407" s="8" t="s">
        <v>227</v>
      </c>
      <c r="J407" s="8" t="n">
        <v>2</v>
      </c>
      <c r="K407" s="8" t="n">
        <v>3</v>
      </c>
      <c r="L407" s="18" t="n">
        <f aca="false">INDEX('All Items'!$Q:$Q,MATCH($A407,'All Items'!$A:$A,0))</f>
        <v>7.4</v>
      </c>
      <c r="M407" s="8" t="s">
        <v>412</v>
      </c>
      <c r="N407" s="8" t="s">
        <v>3831</v>
      </c>
      <c r="O407" s="8" t="s">
        <v>3851</v>
      </c>
      <c r="P407" s="8" t="s">
        <v>4000</v>
      </c>
      <c r="Q407" s="8" t="s">
        <v>4001</v>
      </c>
      <c r="R407" s="8" t="s">
        <v>3963</v>
      </c>
      <c r="S407" s="19" t="s">
        <v>4002</v>
      </c>
      <c r="T407" s="8" t="s">
        <v>4003</v>
      </c>
      <c r="U407" s="8"/>
      <c r="V407" s="8" t="n">
        <f aca="false">COUNTA(M407:R407)</f>
        <v>6</v>
      </c>
      <c r="W407" s="8" t="s">
        <v>218</v>
      </c>
      <c r="X407" s="8" t="s">
        <v>259</v>
      </c>
      <c r="Y407" s="8" t="s">
        <v>218</v>
      </c>
      <c r="Z407" s="8"/>
      <c r="AA407" s="8" t="s">
        <v>4004</v>
      </c>
      <c r="AB407" s="20"/>
      <c r="AC407" s="20"/>
      <c r="AD407" s="20"/>
      <c r="AE407" s="8" t="s">
        <v>237</v>
      </c>
      <c r="AF407" s="8" t="s">
        <v>224</v>
      </c>
    </row>
    <row r="408" customFormat="false" ht="15" hidden="false" customHeight="false" outlineLevel="0" collapsed="false">
      <c r="A408" s="8" t="s">
        <v>4005</v>
      </c>
      <c r="B408" s="8" t="s">
        <v>4006</v>
      </c>
      <c r="C408" s="8"/>
      <c r="D408" s="8" t="s">
        <v>3828</v>
      </c>
      <c r="E408" s="8"/>
      <c r="F408" s="8" t="s">
        <v>71</v>
      </c>
      <c r="G408" s="8" t="s">
        <v>3829</v>
      </c>
      <c r="H408" s="8" t="s">
        <v>87</v>
      </c>
      <c r="I408" s="8" t="s">
        <v>273</v>
      </c>
      <c r="J408" s="8" t="n">
        <v>2</v>
      </c>
      <c r="K408" s="8" t="n">
        <v>4</v>
      </c>
      <c r="L408" s="18" t="n">
        <f aca="false">INDEX('All Items'!$Q:$Q,MATCH($A408,'All Items'!$A:$A,0))</f>
        <v>8.2</v>
      </c>
      <c r="M408" s="8" t="s">
        <v>4007</v>
      </c>
      <c r="N408" s="8" t="s">
        <v>4008</v>
      </c>
      <c r="O408" s="8" t="s">
        <v>4009</v>
      </c>
      <c r="P408" s="8" t="s">
        <v>4010</v>
      </c>
      <c r="Q408" s="8" t="s">
        <v>3984</v>
      </c>
      <c r="R408" s="8" t="s">
        <v>4011</v>
      </c>
      <c r="S408" s="19" t="s">
        <v>4012</v>
      </c>
      <c r="T408" s="8" t="s">
        <v>4013</v>
      </c>
      <c r="U408" s="8"/>
      <c r="V408" s="8" t="n">
        <f aca="false">COUNTA(M408:R408)</f>
        <v>6</v>
      </c>
      <c r="W408" s="8" t="s">
        <v>218</v>
      </c>
      <c r="X408" s="8" t="s">
        <v>259</v>
      </c>
      <c r="Y408" s="8" t="s">
        <v>218</v>
      </c>
      <c r="Z408" s="8"/>
      <c r="AA408" s="8" t="s">
        <v>4014</v>
      </c>
      <c r="AB408" s="20" t="s">
        <v>4015</v>
      </c>
      <c r="AC408" s="20" t="s">
        <v>221</v>
      </c>
      <c r="AD408" s="20" t="s">
        <v>4016</v>
      </c>
      <c r="AE408" s="8" t="s">
        <v>223</v>
      </c>
      <c r="AF408" s="8" t="s">
        <v>224</v>
      </c>
    </row>
    <row r="409" customFormat="false" ht="15" hidden="false" customHeight="false" outlineLevel="0" collapsed="false">
      <c r="A409" s="8" t="s">
        <v>4017</v>
      </c>
      <c r="B409" s="8" t="s">
        <v>4018</v>
      </c>
      <c r="C409" s="8"/>
      <c r="D409" s="8" t="s">
        <v>3828</v>
      </c>
      <c r="E409" s="8"/>
      <c r="F409" s="8" t="s">
        <v>71</v>
      </c>
      <c r="G409" s="8" t="s">
        <v>3829</v>
      </c>
      <c r="H409" s="8" t="s">
        <v>83</v>
      </c>
      <c r="I409" s="8" t="s">
        <v>273</v>
      </c>
      <c r="J409" s="8" t="n">
        <v>2</v>
      </c>
      <c r="K409" s="8" t="n">
        <v>4</v>
      </c>
      <c r="L409" s="18" t="n">
        <f aca="false">INDEX('All Items'!$Q:$Q,MATCH($A409,'All Items'!$A:$A,0))</f>
        <v>8.7</v>
      </c>
      <c r="M409" s="8" t="s">
        <v>3870</v>
      </c>
      <c r="N409" s="8" t="s">
        <v>3266</v>
      </c>
      <c r="O409" s="8" t="s">
        <v>4019</v>
      </c>
      <c r="P409" s="8" t="s">
        <v>4020</v>
      </c>
      <c r="Q409" s="8" t="s">
        <v>4021</v>
      </c>
      <c r="R409" s="8" t="s">
        <v>3854</v>
      </c>
      <c r="S409" s="19" t="s">
        <v>4022</v>
      </c>
      <c r="T409" s="8" t="s">
        <v>4023</v>
      </c>
      <c r="U409" s="8"/>
      <c r="V409" s="8" t="n">
        <f aca="false">COUNTA(M409:R409)</f>
        <v>6</v>
      </c>
      <c r="W409" s="8" t="s">
        <v>218</v>
      </c>
      <c r="X409" s="8" t="s">
        <v>259</v>
      </c>
      <c r="Y409" s="8" t="s">
        <v>218</v>
      </c>
      <c r="Z409" s="8"/>
      <c r="AA409" s="8" t="s">
        <v>4024</v>
      </c>
      <c r="AB409" s="20" t="s">
        <v>4025</v>
      </c>
      <c r="AC409" s="20" t="s">
        <v>516</v>
      </c>
      <c r="AD409" s="20" t="s">
        <v>4026</v>
      </c>
      <c r="AE409" s="8" t="s">
        <v>223</v>
      </c>
      <c r="AF409" s="8" t="s">
        <v>224</v>
      </c>
    </row>
    <row r="410" customFormat="false" ht="15" hidden="false" customHeight="false" outlineLevel="0" collapsed="false">
      <c r="A410" s="8" t="s">
        <v>4027</v>
      </c>
      <c r="B410" s="8" t="s">
        <v>4028</v>
      </c>
      <c r="C410" s="8"/>
      <c r="D410" s="8" t="s">
        <v>3828</v>
      </c>
      <c r="E410" s="8"/>
      <c r="F410" s="8" t="s">
        <v>71</v>
      </c>
      <c r="G410" s="8" t="s">
        <v>3829</v>
      </c>
      <c r="H410" s="8" t="s">
        <v>86</v>
      </c>
      <c r="I410" s="8" t="s">
        <v>227</v>
      </c>
      <c r="J410" s="8" t="n">
        <v>2</v>
      </c>
      <c r="K410" s="8" t="n">
        <v>3</v>
      </c>
      <c r="L410" s="18" t="n">
        <f aca="false">INDEX('All Items'!$Q:$Q,MATCH($A410,'All Items'!$A:$A,0))</f>
        <v>6.9</v>
      </c>
      <c r="M410" s="8" t="s">
        <v>214</v>
      </c>
      <c r="N410" s="8" t="s">
        <v>3850</v>
      </c>
      <c r="O410" s="8" t="s">
        <v>4029</v>
      </c>
      <c r="P410" s="8" t="s">
        <v>4030</v>
      </c>
      <c r="Q410" s="8" t="s">
        <v>4031</v>
      </c>
      <c r="R410" s="8"/>
      <c r="S410" s="19" t="s">
        <v>4032</v>
      </c>
      <c r="T410" s="8" t="s">
        <v>4033</v>
      </c>
      <c r="U410" s="8"/>
      <c r="V410" s="8" t="n">
        <f aca="false">COUNTA(M410:R410)</f>
        <v>5</v>
      </c>
      <c r="W410" s="8" t="s">
        <v>218</v>
      </c>
      <c r="X410" s="8" t="s">
        <v>259</v>
      </c>
      <c r="Y410" s="8" t="s">
        <v>218</v>
      </c>
      <c r="Z410" s="8"/>
      <c r="AA410" s="8" t="s">
        <v>4034</v>
      </c>
      <c r="AB410" s="20"/>
      <c r="AC410" s="20"/>
      <c r="AD410" s="20"/>
      <c r="AE410" s="8" t="s">
        <v>237</v>
      </c>
      <c r="AF410" s="8" t="s">
        <v>224</v>
      </c>
    </row>
    <row r="411" customFormat="false" ht="15" hidden="false" customHeight="false" outlineLevel="0" collapsed="false">
      <c r="A411" s="8" t="s">
        <v>4035</v>
      </c>
      <c r="B411" s="8" t="s">
        <v>4036</v>
      </c>
      <c r="C411" s="8"/>
      <c r="D411" s="8" t="s">
        <v>3828</v>
      </c>
      <c r="E411" s="8"/>
      <c r="F411" s="8" t="s">
        <v>71</v>
      </c>
      <c r="G411" s="8" t="s">
        <v>3829</v>
      </c>
      <c r="H411" s="8" t="s">
        <v>80</v>
      </c>
      <c r="I411" s="8" t="s">
        <v>1030</v>
      </c>
      <c r="J411" s="8" t="n">
        <v>2</v>
      </c>
      <c r="K411" s="8" t="n">
        <v>3</v>
      </c>
      <c r="L411" s="18" t="n">
        <f aca="false">INDEX('All Items'!$Q:$Q,MATCH($A411,'All Items'!$A:$A,0))</f>
        <v>7.4</v>
      </c>
      <c r="M411" s="8" t="s">
        <v>214</v>
      </c>
      <c r="N411" s="8" t="s">
        <v>1313</v>
      </c>
      <c r="O411" s="8" t="s">
        <v>366</v>
      </c>
      <c r="P411" s="8" t="s">
        <v>4037</v>
      </c>
      <c r="Q411" s="8" t="s">
        <v>4038</v>
      </c>
      <c r="R411" s="8" t="s">
        <v>4039</v>
      </c>
      <c r="S411" s="19" t="s">
        <v>4040</v>
      </c>
      <c r="T411" s="8" t="s">
        <v>4041</v>
      </c>
      <c r="U411" s="8"/>
      <c r="V411" s="8" t="n">
        <f aca="false">COUNTA(M411:R411)</f>
        <v>6</v>
      </c>
      <c r="W411" s="8" t="s">
        <v>218</v>
      </c>
      <c r="X411" s="8" t="s">
        <v>259</v>
      </c>
      <c r="Y411" s="8" t="s">
        <v>218</v>
      </c>
      <c r="Z411" s="8"/>
      <c r="AA411" s="8" t="s">
        <v>4042</v>
      </c>
      <c r="AB411" s="20" t="s">
        <v>4043</v>
      </c>
      <c r="AC411" s="20" t="s">
        <v>384</v>
      </c>
      <c r="AD411" s="20" t="s">
        <v>4044</v>
      </c>
      <c r="AE411" s="8" t="s">
        <v>223</v>
      </c>
      <c r="AF411" s="8" t="s">
        <v>224</v>
      </c>
    </row>
    <row r="412" customFormat="false" ht="15" hidden="false" customHeight="false" outlineLevel="0" collapsed="false">
      <c r="A412" s="8" t="s">
        <v>4045</v>
      </c>
      <c r="B412" s="8" t="s">
        <v>4046</v>
      </c>
      <c r="C412" s="8"/>
      <c r="D412" s="8" t="s">
        <v>3828</v>
      </c>
      <c r="E412" s="8"/>
      <c r="F412" s="8" t="s">
        <v>71</v>
      </c>
      <c r="G412" s="8" t="s">
        <v>3829</v>
      </c>
      <c r="H412" s="8" t="s">
        <v>80</v>
      </c>
      <c r="I412" s="8" t="s">
        <v>227</v>
      </c>
      <c r="J412" s="8" t="n">
        <v>2</v>
      </c>
      <c r="K412" s="8" t="n">
        <v>3</v>
      </c>
      <c r="L412" s="18" t="n">
        <f aca="false">INDEX('All Items'!$Q:$Q,MATCH($A412,'All Items'!$A:$A,0))</f>
        <v>6.9</v>
      </c>
      <c r="M412" s="8" t="s">
        <v>3949</v>
      </c>
      <c r="N412" s="8" t="s">
        <v>4047</v>
      </c>
      <c r="O412" s="8" t="s">
        <v>4048</v>
      </c>
      <c r="P412" s="8" t="s">
        <v>4049</v>
      </c>
      <c r="Q412" s="8" t="s">
        <v>4050</v>
      </c>
      <c r="R412" s="8" t="s">
        <v>4051</v>
      </c>
      <c r="S412" s="19" t="s">
        <v>4052</v>
      </c>
      <c r="T412" s="8" t="s">
        <v>4053</v>
      </c>
      <c r="U412" s="8"/>
      <c r="V412" s="8" t="n">
        <f aca="false">COUNTA(M412:R412)</f>
        <v>6</v>
      </c>
      <c r="W412" s="8" t="s">
        <v>218</v>
      </c>
      <c r="X412" s="8" t="s">
        <v>259</v>
      </c>
      <c r="Y412" s="8" t="s">
        <v>218</v>
      </c>
      <c r="Z412" s="8"/>
      <c r="AA412" s="8" t="s">
        <v>4054</v>
      </c>
      <c r="AB412" s="20" t="s">
        <v>4055</v>
      </c>
      <c r="AC412" s="20" t="s">
        <v>516</v>
      </c>
      <c r="AD412" s="20" t="s">
        <v>4056</v>
      </c>
      <c r="AE412" s="8" t="s">
        <v>223</v>
      </c>
      <c r="AF412" s="8" t="s">
        <v>224</v>
      </c>
    </row>
    <row r="413" customFormat="false" ht="15" hidden="false" customHeight="false" outlineLevel="0" collapsed="false">
      <c r="A413" s="8" t="s">
        <v>4057</v>
      </c>
      <c r="B413" s="8" t="s">
        <v>4058</v>
      </c>
      <c r="C413" s="8"/>
      <c r="D413" s="8" t="s">
        <v>3828</v>
      </c>
      <c r="E413" s="8"/>
      <c r="F413" s="8" t="s">
        <v>71</v>
      </c>
      <c r="G413" s="8" t="s">
        <v>3829</v>
      </c>
      <c r="H413" s="8" t="s">
        <v>78</v>
      </c>
      <c r="I413" s="8" t="s">
        <v>227</v>
      </c>
      <c r="J413" s="8" t="n">
        <v>2</v>
      </c>
      <c r="K413" s="8" t="n">
        <v>5</v>
      </c>
      <c r="L413" s="18" t="n">
        <f aca="false">INDEX('All Items'!$Q:$Q,MATCH($A413,'All Items'!$A:$A,0))</f>
        <v>10</v>
      </c>
      <c r="M413" s="8" t="s">
        <v>4059</v>
      </c>
      <c r="N413" s="8" t="s">
        <v>4060</v>
      </c>
      <c r="O413" s="8" t="s">
        <v>4061</v>
      </c>
      <c r="P413" s="8" t="s">
        <v>1969</v>
      </c>
      <c r="Q413" s="8" t="s">
        <v>649</v>
      </c>
      <c r="R413" s="8" t="s">
        <v>4062</v>
      </c>
      <c r="S413" s="19" t="s">
        <v>4063</v>
      </c>
      <c r="T413" s="8" t="s">
        <v>4064</v>
      </c>
      <c r="U413" s="8"/>
      <c r="V413" s="8" t="n">
        <f aca="false">COUNTA(M413:R413)</f>
        <v>6</v>
      </c>
      <c r="W413" s="8" t="s">
        <v>218</v>
      </c>
      <c r="X413" s="8" t="s">
        <v>259</v>
      </c>
      <c r="Y413" s="8" t="s">
        <v>218</v>
      </c>
      <c r="Z413" s="8"/>
      <c r="AA413" s="8" t="s">
        <v>4065</v>
      </c>
      <c r="AB413" s="20" t="s">
        <v>4066</v>
      </c>
      <c r="AC413" s="20" t="s">
        <v>516</v>
      </c>
      <c r="AD413" s="20" t="s">
        <v>4067</v>
      </c>
      <c r="AE413" s="8" t="s">
        <v>223</v>
      </c>
      <c r="AF413" s="8" t="s">
        <v>224</v>
      </c>
    </row>
    <row r="414" customFormat="false" ht="15" hidden="false" customHeight="false" outlineLevel="0" collapsed="false">
      <c r="A414" s="8" t="s">
        <v>4068</v>
      </c>
      <c r="B414" s="8" t="s">
        <v>4069</v>
      </c>
      <c r="C414" s="8"/>
      <c r="D414" s="8" t="s">
        <v>3828</v>
      </c>
      <c r="E414" s="8"/>
      <c r="F414" s="8" t="s">
        <v>71</v>
      </c>
      <c r="G414" s="8" t="s">
        <v>3829</v>
      </c>
      <c r="H414" s="8" t="s">
        <v>78</v>
      </c>
      <c r="I414" s="8" t="s">
        <v>273</v>
      </c>
      <c r="J414" s="8" t="n">
        <v>2</v>
      </c>
      <c r="K414" s="8" t="n">
        <v>5</v>
      </c>
      <c r="L414" s="18" t="n">
        <f aca="false">INDEX('All Items'!$Q:$Q,MATCH($A414,'All Items'!$A:$A,0))</f>
        <v>9.25</v>
      </c>
      <c r="M414" s="8" t="s">
        <v>274</v>
      </c>
      <c r="N414" s="8" t="s">
        <v>4070</v>
      </c>
      <c r="O414" s="8" t="s">
        <v>4071</v>
      </c>
      <c r="P414" s="8" t="s">
        <v>3907</v>
      </c>
      <c r="Q414" s="8" t="s">
        <v>4072</v>
      </c>
      <c r="R414" s="8" t="s">
        <v>4073</v>
      </c>
      <c r="S414" s="19" t="s">
        <v>4074</v>
      </c>
      <c r="T414" s="8" t="s">
        <v>4075</v>
      </c>
      <c r="U414" s="8" t="s">
        <v>4073</v>
      </c>
      <c r="V414" s="8" t="n">
        <f aca="false">COUNTA(M414:R414)</f>
        <v>6</v>
      </c>
      <c r="W414" s="8" t="s">
        <v>218</v>
      </c>
      <c r="X414" s="8" t="s">
        <v>259</v>
      </c>
      <c r="Y414" s="8" t="s">
        <v>218</v>
      </c>
      <c r="Z414" s="8"/>
      <c r="AA414" s="8" t="s">
        <v>4076</v>
      </c>
      <c r="AB414" s="20" t="s">
        <v>4077</v>
      </c>
      <c r="AC414" s="20" t="s">
        <v>221</v>
      </c>
      <c r="AD414" s="20" t="s">
        <v>4078</v>
      </c>
      <c r="AE414" s="8" t="s">
        <v>223</v>
      </c>
      <c r="AF414" s="8" t="s">
        <v>224</v>
      </c>
    </row>
    <row r="415" customFormat="false" ht="15" hidden="false" customHeight="false" outlineLevel="0" collapsed="false">
      <c r="A415" s="8" t="s">
        <v>4079</v>
      </c>
      <c r="B415" s="8" t="s">
        <v>4080</v>
      </c>
      <c r="C415" s="8"/>
      <c r="D415" s="8" t="s">
        <v>4081</v>
      </c>
      <c r="E415" s="8"/>
      <c r="F415" s="8" t="s">
        <v>71</v>
      </c>
      <c r="G415" s="8" t="s">
        <v>4082</v>
      </c>
      <c r="H415" s="8" t="s">
        <v>82</v>
      </c>
      <c r="I415" s="8" t="s">
        <v>227</v>
      </c>
      <c r="J415" s="8" t="n">
        <v>1</v>
      </c>
      <c r="K415" s="8" t="n">
        <v>5</v>
      </c>
      <c r="L415" s="18" t="n">
        <f aca="false">INDEX('All Items'!$Q:$Q,MATCH($A415,'All Items'!$A:$A,0))</f>
        <v>9.5</v>
      </c>
      <c r="M415" s="8" t="s">
        <v>1363</v>
      </c>
      <c r="N415" s="8" t="s">
        <v>4083</v>
      </c>
      <c r="O415" s="8" t="s">
        <v>4084</v>
      </c>
      <c r="P415" s="8" t="s">
        <v>4085</v>
      </c>
      <c r="Q415" s="8" t="s">
        <v>1314</v>
      </c>
      <c r="R415" s="8" t="s">
        <v>4086</v>
      </c>
      <c r="S415" s="19" t="s">
        <v>4087</v>
      </c>
      <c r="T415" s="8" t="s">
        <v>4088</v>
      </c>
      <c r="U415" s="8"/>
      <c r="V415" s="8" t="n">
        <f aca="false">COUNTA(M415:R415)</f>
        <v>6</v>
      </c>
      <c r="W415" s="8" t="s">
        <v>218</v>
      </c>
      <c r="X415" s="8" t="s">
        <v>259</v>
      </c>
      <c r="Y415" s="8" t="s">
        <v>259</v>
      </c>
      <c r="Z415" s="8" t="s">
        <v>4089</v>
      </c>
      <c r="AA415" s="8" t="s">
        <v>4090</v>
      </c>
      <c r="AB415" s="20"/>
      <c r="AC415" s="20"/>
      <c r="AD415" s="20"/>
      <c r="AE415" s="8" t="s">
        <v>237</v>
      </c>
      <c r="AF415" s="8" t="s">
        <v>224</v>
      </c>
    </row>
    <row r="416" customFormat="false" ht="15" hidden="false" customHeight="false" outlineLevel="0" collapsed="false">
      <c r="A416" s="8" t="s">
        <v>4091</v>
      </c>
      <c r="B416" s="8" t="s">
        <v>4092</v>
      </c>
      <c r="C416" s="8"/>
      <c r="D416" s="8" t="s">
        <v>4081</v>
      </c>
      <c r="E416" s="8"/>
      <c r="F416" s="8" t="s">
        <v>71</v>
      </c>
      <c r="G416" s="8" t="s">
        <v>4082</v>
      </c>
      <c r="H416" s="8" t="s">
        <v>78</v>
      </c>
      <c r="I416" s="8" t="s">
        <v>208</v>
      </c>
      <c r="J416" s="8" t="n">
        <v>1</v>
      </c>
      <c r="K416" s="8" t="n">
        <v>3</v>
      </c>
      <c r="L416" s="18" t="n">
        <f aca="false">INDEX('All Items'!$Q:$Q,MATCH($A416,'All Items'!$A:$A,0))</f>
        <v>7.4</v>
      </c>
      <c r="M416" s="8" t="s">
        <v>4093</v>
      </c>
      <c r="N416" s="8" t="s">
        <v>4094</v>
      </c>
      <c r="O416" s="8" t="s">
        <v>3871</v>
      </c>
      <c r="P416" s="8" t="s">
        <v>213</v>
      </c>
      <c r="Q416" s="8" t="s">
        <v>4095</v>
      </c>
      <c r="R416" s="8" t="s">
        <v>4096</v>
      </c>
      <c r="S416" s="19" t="s">
        <v>4097</v>
      </c>
      <c r="T416" s="8" t="s">
        <v>4098</v>
      </c>
      <c r="U416" s="8"/>
      <c r="V416" s="8" t="n">
        <f aca="false">COUNTA(M416:R416)</f>
        <v>6</v>
      </c>
      <c r="W416" s="8" t="s">
        <v>218</v>
      </c>
      <c r="X416" s="8" t="s">
        <v>259</v>
      </c>
      <c r="Y416" s="8" t="s">
        <v>218</v>
      </c>
      <c r="Z416" s="8"/>
      <c r="AA416" s="8" t="s">
        <v>4099</v>
      </c>
      <c r="AB416" s="20" t="s">
        <v>4100</v>
      </c>
      <c r="AC416" s="20" t="s">
        <v>384</v>
      </c>
      <c r="AD416" s="20" t="s">
        <v>4101</v>
      </c>
      <c r="AE416" s="8" t="s">
        <v>223</v>
      </c>
      <c r="AF416" s="8" t="s">
        <v>224</v>
      </c>
    </row>
    <row r="417" customFormat="false" ht="15" hidden="false" customHeight="false" outlineLevel="0" collapsed="false">
      <c r="A417" s="8" t="s">
        <v>4102</v>
      </c>
      <c r="B417" s="8" t="s">
        <v>4103</v>
      </c>
      <c r="C417" s="8"/>
      <c r="D417" s="8" t="s">
        <v>4081</v>
      </c>
      <c r="E417" s="8"/>
      <c r="F417" s="8" t="s">
        <v>71</v>
      </c>
      <c r="G417" s="8" t="s">
        <v>4082</v>
      </c>
      <c r="H417" s="8" t="s">
        <v>78</v>
      </c>
      <c r="I417" s="8" t="s">
        <v>208</v>
      </c>
      <c r="J417" s="8" t="n">
        <v>1</v>
      </c>
      <c r="K417" s="8" t="n">
        <v>3</v>
      </c>
      <c r="L417" s="18" t="n">
        <f aca="false">INDEX('All Items'!$Q:$Q,MATCH($A417,'All Items'!$A:$A,0))</f>
        <v>7.4</v>
      </c>
      <c r="M417" s="8" t="s">
        <v>4104</v>
      </c>
      <c r="N417" s="8" t="s">
        <v>2593</v>
      </c>
      <c r="O417" s="8" t="s">
        <v>4093</v>
      </c>
      <c r="P417" s="8" t="s">
        <v>3871</v>
      </c>
      <c r="Q417" s="8" t="s">
        <v>1307</v>
      </c>
      <c r="R417" s="8" t="s">
        <v>4096</v>
      </c>
      <c r="S417" s="19" t="s">
        <v>4105</v>
      </c>
      <c r="T417" s="8" t="s">
        <v>4106</v>
      </c>
      <c r="U417" s="8"/>
      <c r="V417" s="8" t="n">
        <f aca="false">COUNTA(M417:R417)</f>
        <v>6</v>
      </c>
      <c r="W417" s="8" t="s">
        <v>218</v>
      </c>
      <c r="X417" s="8" t="s">
        <v>259</v>
      </c>
      <c r="Y417" s="8" t="s">
        <v>218</v>
      </c>
      <c r="Z417" s="8"/>
      <c r="AA417" s="8" t="s">
        <v>4107</v>
      </c>
      <c r="AB417" s="20" t="s">
        <v>4108</v>
      </c>
      <c r="AC417" s="20" t="s">
        <v>221</v>
      </c>
      <c r="AD417" s="20" t="s">
        <v>4109</v>
      </c>
      <c r="AE417" s="8" t="s">
        <v>223</v>
      </c>
      <c r="AF417" s="8" t="s">
        <v>224</v>
      </c>
    </row>
    <row r="418" customFormat="false" ht="15" hidden="false" customHeight="false" outlineLevel="0" collapsed="false">
      <c r="A418" s="8" t="s">
        <v>4110</v>
      </c>
      <c r="B418" s="8" t="s">
        <v>4111</v>
      </c>
      <c r="C418" s="8"/>
      <c r="D418" s="8" t="s">
        <v>4081</v>
      </c>
      <c r="E418" s="8"/>
      <c r="F418" s="8" t="s">
        <v>71</v>
      </c>
      <c r="G418" s="8" t="s">
        <v>4082</v>
      </c>
      <c r="H418" s="8" t="s">
        <v>78</v>
      </c>
      <c r="I418" s="8" t="s">
        <v>273</v>
      </c>
      <c r="J418" s="8" t="n">
        <v>1</v>
      </c>
      <c r="K418" s="8" t="n">
        <v>4</v>
      </c>
      <c r="L418" s="18" t="n">
        <f aca="false">INDEX('All Items'!$Q:$Q,MATCH($A418,'All Items'!$A:$A,0))</f>
        <v>8.45</v>
      </c>
      <c r="M418" s="8" t="s">
        <v>4112</v>
      </c>
      <c r="N418" s="8" t="s">
        <v>356</v>
      </c>
      <c r="O418" s="8" t="s">
        <v>3266</v>
      </c>
      <c r="P418" s="8" t="s">
        <v>574</v>
      </c>
      <c r="Q418" s="8" t="s">
        <v>4113</v>
      </c>
      <c r="R418" s="8" t="s">
        <v>4114</v>
      </c>
      <c r="S418" s="19" t="s">
        <v>4115</v>
      </c>
      <c r="T418" s="8" t="s">
        <v>4116</v>
      </c>
      <c r="U418" s="8"/>
      <c r="V418" s="8" t="n">
        <f aca="false">COUNTA(M418:R418)</f>
        <v>6</v>
      </c>
      <c r="W418" s="8" t="s">
        <v>218</v>
      </c>
      <c r="X418" s="8" t="s">
        <v>259</v>
      </c>
      <c r="Y418" s="8" t="s">
        <v>218</v>
      </c>
      <c r="Z418" s="8"/>
      <c r="AA418" s="8" t="s">
        <v>4117</v>
      </c>
      <c r="AB418" s="20"/>
      <c r="AC418" s="20"/>
      <c r="AD418" s="20"/>
      <c r="AE418" s="8" t="s">
        <v>237</v>
      </c>
      <c r="AF418" s="8" t="s">
        <v>224</v>
      </c>
    </row>
    <row r="419" customFormat="false" ht="15" hidden="false" customHeight="false" outlineLevel="0" collapsed="false">
      <c r="A419" s="8" t="s">
        <v>4118</v>
      </c>
      <c r="B419" s="8" t="s">
        <v>4119</v>
      </c>
      <c r="C419" s="8"/>
      <c r="D419" s="8" t="s">
        <v>4081</v>
      </c>
      <c r="E419" s="8"/>
      <c r="F419" s="8" t="s">
        <v>71</v>
      </c>
      <c r="G419" s="8" t="s">
        <v>4082</v>
      </c>
      <c r="H419" s="8" t="s">
        <v>83</v>
      </c>
      <c r="I419" s="8" t="s">
        <v>227</v>
      </c>
      <c r="J419" s="8" t="n">
        <v>1</v>
      </c>
      <c r="K419" s="8" t="n">
        <v>4</v>
      </c>
      <c r="L419" s="18" t="n">
        <f aca="false">INDEX('All Items'!$Q:$Q,MATCH($A419,'All Items'!$A:$A,0))</f>
        <v>8.7</v>
      </c>
      <c r="M419" s="8" t="s">
        <v>4104</v>
      </c>
      <c r="N419" s="8" t="s">
        <v>4120</v>
      </c>
      <c r="O419" s="8" t="s">
        <v>4121</v>
      </c>
      <c r="P419" s="8" t="s">
        <v>4122</v>
      </c>
      <c r="Q419" s="8" t="s">
        <v>4123</v>
      </c>
      <c r="R419" s="8" t="s">
        <v>4124</v>
      </c>
      <c r="S419" s="19" t="s">
        <v>4125</v>
      </c>
      <c r="T419" s="8" t="s">
        <v>4126</v>
      </c>
      <c r="U419" s="8" t="s">
        <v>4127</v>
      </c>
      <c r="V419" s="8" t="n">
        <f aca="false">COUNTA(M419:R419)</f>
        <v>6</v>
      </c>
      <c r="W419" s="8" t="s">
        <v>218</v>
      </c>
      <c r="X419" s="8" t="s">
        <v>259</v>
      </c>
      <c r="Y419" s="8" t="s">
        <v>218</v>
      </c>
      <c r="Z419" s="8"/>
      <c r="AA419" s="8" t="s">
        <v>4128</v>
      </c>
      <c r="AB419" s="20" t="s">
        <v>4129</v>
      </c>
      <c r="AC419" s="20" t="s">
        <v>1174</v>
      </c>
      <c r="AD419" s="20" t="s">
        <v>4130</v>
      </c>
      <c r="AE419" s="8" t="s">
        <v>223</v>
      </c>
      <c r="AF419" s="8" t="s">
        <v>224</v>
      </c>
    </row>
    <row r="420" customFormat="false" ht="15" hidden="false" customHeight="false" outlineLevel="0" collapsed="false">
      <c r="A420" s="8" t="s">
        <v>4131</v>
      </c>
      <c r="B420" s="8" t="s">
        <v>4132</v>
      </c>
      <c r="C420" s="8"/>
      <c r="D420" s="8" t="s">
        <v>4081</v>
      </c>
      <c r="E420" s="8"/>
      <c r="F420" s="8" t="s">
        <v>71</v>
      </c>
      <c r="G420" s="8" t="s">
        <v>4082</v>
      </c>
      <c r="H420" s="8" t="s">
        <v>80</v>
      </c>
      <c r="I420" s="8" t="s">
        <v>1030</v>
      </c>
      <c r="J420" s="8" t="n">
        <v>1</v>
      </c>
      <c r="K420" s="8" t="n">
        <v>5</v>
      </c>
      <c r="L420" s="18" t="n">
        <f aca="false">INDEX('All Items'!$Q:$Q,MATCH($A420,'All Items'!$A:$A,0))</f>
        <v>10</v>
      </c>
      <c r="M420" s="8" t="s">
        <v>345</v>
      </c>
      <c r="N420" s="8" t="s">
        <v>1031</v>
      </c>
      <c r="O420" s="8" t="s">
        <v>4133</v>
      </c>
      <c r="P420" s="8" t="s">
        <v>4134</v>
      </c>
      <c r="Q420" s="8" t="s">
        <v>4135</v>
      </c>
      <c r="R420" s="8" t="s">
        <v>4136</v>
      </c>
      <c r="S420" s="19" t="s">
        <v>4137</v>
      </c>
      <c r="T420" s="8" t="s">
        <v>4138</v>
      </c>
      <c r="U420" s="8"/>
      <c r="V420" s="8" t="n">
        <f aca="false">COUNTA(M420:R420)</f>
        <v>6</v>
      </c>
      <c r="W420" s="8" t="s">
        <v>218</v>
      </c>
      <c r="X420" s="8" t="s">
        <v>259</v>
      </c>
      <c r="Y420" s="8" t="s">
        <v>218</v>
      </c>
      <c r="Z420" s="8"/>
      <c r="AA420" s="8" t="s">
        <v>4139</v>
      </c>
      <c r="AB420" s="20"/>
      <c r="AC420" s="20"/>
      <c r="AD420" s="20"/>
      <c r="AE420" s="8" t="s">
        <v>237</v>
      </c>
      <c r="AF420" s="8" t="s">
        <v>224</v>
      </c>
    </row>
    <row r="421" customFormat="false" ht="15" hidden="false" customHeight="false" outlineLevel="0" collapsed="false">
      <c r="A421" s="8" t="s">
        <v>4140</v>
      </c>
      <c r="B421" s="8" t="s">
        <v>4141</v>
      </c>
      <c r="C421" s="8"/>
      <c r="D421" s="8" t="s">
        <v>4081</v>
      </c>
      <c r="E421" s="8"/>
      <c r="F421" s="8" t="s">
        <v>71</v>
      </c>
      <c r="G421" s="8" t="s">
        <v>4082</v>
      </c>
      <c r="H421" s="8" t="s">
        <v>83</v>
      </c>
      <c r="I421" s="8" t="s">
        <v>208</v>
      </c>
      <c r="J421" s="8" t="n">
        <v>2</v>
      </c>
      <c r="K421" s="8" t="n">
        <v>3</v>
      </c>
      <c r="L421" s="18" t="n">
        <f aca="false">INDEX('All Items'!$Q:$Q,MATCH($A421,'All Items'!$A:$A,0))</f>
        <v>7.4</v>
      </c>
      <c r="M421" s="8" t="s">
        <v>541</v>
      </c>
      <c r="N421" s="8" t="s">
        <v>4142</v>
      </c>
      <c r="O421" s="8" t="s">
        <v>4143</v>
      </c>
      <c r="P421" s="8" t="s">
        <v>4144</v>
      </c>
      <c r="Q421" s="8" t="s">
        <v>4145</v>
      </c>
      <c r="R421" s="8" t="s">
        <v>4146</v>
      </c>
      <c r="S421" s="19" t="s">
        <v>4147</v>
      </c>
      <c r="T421" s="8" t="s">
        <v>4148</v>
      </c>
      <c r="U421" s="8"/>
      <c r="V421" s="8" t="n">
        <f aca="false">COUNTA(M421:R421)</f>
        <v>6</v>
      </c>
      <c r="W421" s="8" t="s">
        <v>218</v>
      </c>
      <c r="X421" s="8" t="s">
        <v>259</v>
      </c>
      <c r="Y421" s="8" t="s">
        <v>218</v>
      </c>
      <c r="Z421" s="8"/>
      <c r="AA421" s="8" t="s">
        <v>4149</v>
      </c>
      <c r="AB421" s="20"/>
      <c r="AC421" s="20"/>
      <c r="AD421" s="20"/>
      <c r="AE421" s="8" t="s">
        <v>237</v>
      </c>
      <c r="AF421" s="8" t="s">
        <v>224</v>
      </c>
    </row>
    <row r="422" customFormat="false" ht="15" hidden="false" customHeight="false" outlineLevel="0" collapsed="false">
      <c r="A422" s="8" t="s">
        <v>4150</v>
      </c>
      <c r="B422" s="8" t="s">
        <v>4151</v>
      </c>
      <c r="C422" s="8"/>
      <c r="D422" s="8" t="s">
        <v>4081</v>
      </c>
      <c r="E422" s="8"/>
      <c r="F422" s="8" t="s">
        <v>71</v>
      </c>
      <c r="G422" s="8" t="s">
        <v>4082</v>
      </c>
      <c r="H422" s="8" t="s">
        <v>78</v>
      </c>
      <c r="I422" s="8" t="s">
        <v>208</v>
      </c>
      <c r="J422" s="8" t="n">
        <v>2</v>
      </c>
      <c r="K422" s="8" t="n">
        <v>4</v>
      </c>
      <c r="L422" s="18" t="n">
        <f aca="false">INDEX('All Items'!$Q:$Q,MATCH($A422,'All Items'!$A:$A,0))</f>
        <v>8.7</v>
      </c>
      <c r="M422" s="8" t="s">
        <v>345</v>
      </c>
      <c r="N422" s="8" t="s">
        <v>1313</v>
      </c>
      <c r="O422" s="8" t="s">
        <v>852</v>
      </c>
      <c r="P422" s="8" t="s">
        <v>2743</v>
      </c>
      <c r="Q422" s="8" t="s">
        <v>4152</v>
      </c>
      <c r="R422" s="8" t="s">
        <v>4153</v>
      </c>
      <c r="S422" s="19" t="s">
        <v>4154</v>
      </c>
      <c r="T422" s="8" t="s">
        <v>4155</v>
      </c>
      <c r="U422" s="8"/>
      <c r="V422" s="8" t="n">
        <f aca="false">COUNTA(M422:R422)</f>
        <v>6</v>
      </c>
      <c r="W422" s="8" t="s">
        <v>218</v>
      </c>
      <c r="X422" s="8" t="s">
        <v>259</v>
      </c>
      <c r="Y422" s="8" t="s">
        <v>218</v>
      </c>
      <c r="Z422" s="8"/>
      <c r="AA422" s="8" t="s">
        <v>4156</v>
      </c>
      <c r="AB422" s="20"/>
      <c r="AC422" s="20"/>
      <c r="AD422" s="20"/>
      <c r="AE422" s="8" t="s">
        <v>237</v>
      </c>
      <c r="AF422" s="8" t="s">
        <v>224</v>
      </c>
    </row>
    <row r="423" customFormat="false" ht="15" hidden="false" customHeight="false" outlineLevel="0" collapsed="false">
      <c r="A423" s="8" t="s">
        <v>4157</v>
      </c>
      <c r="B423" s="8" t="s">
        <v>4158</v>
      </c>
      <c r="C423" s="8"/>
      <c r="D423" s="8" t="s">
        <v>4081</v>
      </c>
      <c r="E423" s="8"/>
      <c r="F423" s="8" t="s">
        <v>71</v>
      </c>
      <c r="G423" s="8" t="s">
        <v>4082</v>
      </c>
      <c r="H423" s="8" t="s">
        <v>80</v>
      </c>
      <c r="I423" s="8" t="s">
        <v>1030</v>
      </c>
      <c r="J423" s="8" t="n">
        <v>1</v>
      </c>
      <c r="K423" s="8" t="n">
        <v>5</v>
      </c>
      <c r="L423" s="18" t="n">
        <f aca="false">INDEX('All Items'!$Q:$Q,MATCH($A423,'All Items'!$A:$A,0))</f>
        <v>9.75</v>
      </c>
      <c r="M423" s="8" t="s">
        <v>1363</v>
      </c>
      <c r="N423" s="8" t="s">
        <v>214</v>
      </c>
      <c r="O423" s="8" t="s">
        <v>1313</v>
      </c>
      <c r="P423" s="8" t="s">
        <v>2535</v>
      </c>
      <c r="Q423" s="8" t="s">
        <v>4159</v>
      </c>
      <c r="R423" s="8"/>
      <c r="S423" s="19" t="s">
        <v>4160</v>
      </c>
      <c r="T423" s="8" t="s">
        <v>4161</v>
      </c>
      <c r="U423" s="8"/>
      <c r="V423" s="8" t="n">
        <f aca="false">COUNTA(M423:R423)</f>
        <v>5</v>
      </c>
      <c r="W423" s="8" t="s">
        <v>218</v>
      </c>
      <c r="X423" s="8" t="s">
        <v>259</v>
      </c>
      <c r="Y423" s="8" t="s">
        <v>218</v>
      </c>
      <c r="Z423" s="8"/>
      <c r="AA423" s="8" t="s">
        <v>4162</v>
      </c>
      <c r="AB423" s="20"/>
      <c r="AC423" s="20"/>
      <c r="AD423" s="20"/>
      <c r="AE423" s="8" t="s">
        <v>237</v>
      </c>
      <c r="AF423" s="8" t="s">
        <v>224</v>
      </c>
    </row>
    <row r="424" customFormat="false" ht="15" hidden="false" customHeight="false" outlineLevel="0" collapsed="false">
      <c r="A424" s="8" t="s">
        <v>4163</v>
      </c>
      <c r="B424" s="8" t="s">
        <v>4164</v>
      </c>
      <c r="C424" s="8"/>
      <c r="D424" s="8" t="s">
        <v>4081</v>
      </c>
      <c r="E424" s="8"/>
      <c r="F424" s="8" t="s">
        <v>71</v>
      </c>
      <c r="G424" s="8" t="s">
        <v>4082</v>
      </c>
      <c r="H424" s="8" t="s">
        <v>79</v>
      </c>
      <c r="I424" s="8" t="s">
        <v>208</v>
      </c>
      <c r="J424" s="8" t="n">
        <v>2</v>
      </c>
      <c r="K424" s="8" t="n">
        <v>3</v>
      </c>
      <c r="L424" s="18" t="n">
        <f aca="false">INDEX('All Items'!$Q:$Q,MATCH($A424,'All Items'!$A:$A,0))</f>
        <v>7.4</v>
      </c>
      <c r="M424" s="8" t="s">
        <v>3849</v>
      </c>
      <c r="N424" s="8" t="s">
        <v>4121</v>
      </c>
      <c r="O424" s="8" t="s">
        <v>4165</v>
      </c>
      <c r="P424" s="8" t="s">
        <v>4166</v>
      </c>
      <c r="Q424" s="8" t="s">
        <v>4167</v>
      </c>
      <c r="R424" s="8" t="s">
        <v>4168</v>
      </c>
      <c r="S424" s="19" t="s">
        <v>4169</v>
      </c>
      <c r="T424" s="8" t="s">
        <v>4170</v>
      </c>
      <c r="U424" s="8"/>
      <c r="V424" s="8" t="n">
        <f aca="false">COUNTA(M424:R424)</f>
        <v>6</v>
      </c>
      <c r="W424" s="8" t="s">
        <v>218</v>
      </c>
      <c r="X424" s="8" t="s">
        <v>259</v>
      </c>
      <c r="Y424" s="8" t="s">
        <v>218</v>
      </c>
      <c r="Z424" s="8"/>
      <c r="AA424" s="8" t="s">
        <v>4171</v>
      </c>
      <c r="AB424" s="20" t="s">
        <v>4172</v>
      </c>
      <c r="AC424" s="20" t="s">
        <v>4173</v>
      </c>
      <c r="AD424" s="20" t="s">
        <v>4174</v>
      </c>
      <c r="AE424" s="8" t="s">
        <v>223</v>
      </c>
      <c r="AF424" s="8" t="s">
        <v>224</v>
      </c>
    </row>
    <row r="425" customFormat="false" ht="15" hidden="false" customHeight="false" outlineLevel="0" collapsed="false">
      <c r="A425" s="8" t="s">
        <v>4175</v>
      </c>
      <c r="B425" s="8" t="s">
        <v>4176</v>
      </c>
      <c r="C425" s="8"/>
      <c r="D425" s="8" t="s">
        <v>4081</v>
      </c>
      <c r="E425" s="8"/>
      <c r="F425" s="8" t="s">
        <v>71</v>
      </c>
      <c r="G425" s="8" t="s">
        <v>4082</v>
      </c>
      <c r="H425" s="8" t="s">
        <v>79</v>
      </c>
      <c r="I425" s="8" t="s">
        <v>208</v>
      </c>
      <c r="J425" s="8" t="n">
        <v>2</v>
      </c>
      <c r="K425" s="8" t="n">
        <v>4</v>
      </c>
      <c r="L425" s="18" t="n">
        <f aca="false">INDEX('All Items'!$Q:$Q,MATCH($A425,'All Items'!$A:$A,0))</f>
        <v>8.45</v>
      </c>
      <c r="M425" s="8" t="s">
        <v>214</v>
      </c>
      <c r="N425" s="8" t="s">
        <v>3906</v>
      </c>
      <c r="O425" s="8" t="s">
        <v>1295</v>
      </c>
      <c r="P425" s="8" t="s">
        <v>4177</v>
      </c>
      <c r="Q425" s="8" t="s">
        <v>4178</v>
      </c>
      <c r="R425" s="8" t="s">
        <v>4179</v>
      </c>
      <c r="S425" s="19" t="s">
        <v>4180</v>
      </c>
      <c r="T425" s="8" t="s">
        <v>4181</v>
      </c>
      <c r="U425" s="8"/>
      <c r="V425" s="8" t="n">
        <f aca="false">COUNTA(M425:R425)</f>
        <v>6</v>
      </c>
      <c r="W425" s="8" t="s">
        <v>218</v>
      </c>
      <c r="X425" s="8" t="s">
        <v>259</v>
      </c>
      <c r="Y425" s="8" t="s">
        <v>218</v>
      </c>
      <c r="Z425" s="8"/>
      <c r="AA425" s="8" t="s">
        <v>4182</v>
      </c>
      <c r="AB425" s="20"/>
      <c r="AC425" s="20"/>
      <c r="AD425" s="20"/>
      <c r="AE425" s="8" t="s">
        <v>237</v>
      </c>
      <c r="AF425" s="8" t="s">
        <v>224</v>
      </c>
    </row>
    <row r="426" customFormat="false" ht="15" hidden="false" customHeight="false" outlineLevel="0" collapsed="false">
      <c r="A426" s="8" t="s">
        <v>4183</v>
      </c>
      <c r="B426" s="8" t="s">
        <v>4184</v>
      </c>
      <c r="C426" s="8"/>
      <c r="D426" s="8" t="s">
        <v>4081</v>
      </c>
      <c r="E426" s="8"/>
      <c r="F426" s="8" t="s">
        <v>71</v>
      </c>
      <c r="G426" s="8" t="s">
        <v>4082</v>
      </c>
      <c r="H426" s="8" t="s">
        <v>78</v>
      </c>
      <c r="I426" s="8" t="s">
        <v>208</v>
      </c>
      <c r="J426" s="8" t="n">
        <v>2</v>
      </c>
      <c r="K426" s="8" t="n">
        <v>3</v>
      </c>
      <c r="L426" s="18" t="n">
        <f aca="false">INDEX('All Items'!$Q:$Q,MATCH($A426,'All Items'!$A:$A,0))</f>
        <v>6.9</v>
      </c>
      <c r="M426" s="8" t="s">
        <v>4104</v>
      </c>
      <c r="N426" s="8" t="s">
        <v>4185</v>
      </c>
      <c r="O426" s="8" t="s">
        <v>4186</v>
      </c>
      <c r="P426" s="8" t="s">
        <v>4187</v>
      </c>
      <c r="Q426" s="8" t="s">
        <v>4188</v>
      </c>
      <c r="R426" s="8" t="s">
        <v>4189</v>
      </c>
      <c r="S426" s="19" t="s">
        <v>4190</v>
      </c>
      <c r="T426" s="8" t="s">
        <v>4191</v>
      </c>
      <c r="U426" s="8"/>
      <c r="V426" s="8" t="n">
        <f aca="false">COUNTA(M426:R426)</f>
        <v>6</v>
      </c>
      <c r="W426" s="8" t="s">
        <v>218</v>
      </c>
      <c r="X426" s="8" t="s">
        <v>259</v>
      </c>
      <c r="Y426" s="8" t="s">
        <v>218</v>
      </c>
      <c r="Z426" s="8"/>
      <c r="AA426" s="8" t="s">
        <v>4192</v>
      </c>
      <c r="AB426" s="20"/>
      <c r="AC426" s="20"/>
      <c r="AD426" s="20"/>
      <c r="AE426" s="8" t="s">
        <v>237</v>
      </c>
      <c r="AF426" s="8" t="s">
        <v>224</v>
      </c>
    </row>
    <row r="427" customFormat="false" ht="15" hidden="false" customHeight="false" outlineLevel="0" collapsed="false">
      <c r="A427" s="8" t="s">
        <v>4193</v>
      </c>
      <c r="B427" s="8" t="s">
        <v>4194</v>
      </c>
      <c r="C427" s="8"/>
      <c r="D427" s="8" t="s">
        <v>4081</v>
      </c>
      <c r="E427" s="8"/>
      <c r="F427" s="8" t="s">
        <v>71</v>
      </c>
      <c r="G427" s="8" t="s">
        <v>4082</v>
      </c>
      <c r="H427" s="8" t="s">
        <v>78</v>
      </c>
      <c r="I427" s="8" t="s">
        <v>208</v>
      </c>
      <c r="J427" s="8" t="n">
        <v>2</v>
      </c>
      <c r="K427" s="8" t="n">
        <v>3</v>
      </c>
      <c r="L427" s="18" t="n">
        <f aca="false">INDEX('All Items'!$Q:$Q,MATCH($A427,'All Items'!$A:$A,0))</f>
        <v>7.15</v>
      </c>
      <c r="M427" s="8" t="s">
        <v>3277</v>
      </c>
      <c r="N427" s="8" t="s">
        <v>1008</v>
      </c>
      <c r="O427" s="8" t="s">
        <v>4195</v>
      </c>
      <c r="P427" s="8" t="s">
        <v>4196</v>
      </c>
      <c r="Q427" s="8" t="s">
        <v>4197</v>
      </c>
      <c r="R427" s="8" t="s">
        <v>4198</v>
      </c>
      <c r="S427" s="19" t="s">
        <v>4199</v>
      </c>
      <c r="T427" s="8" t="s">
        <v>4200</v>
      </c>
      <c r="U427" s="8"/>
      <c r="V427" s="8" t="n">
        <f aca="false">COUNTA(M427:R427)</f>
        <v>6</v>
      </c>
      <c r="W427" s="8" t="s">
        <v>218</v>
      </c>
      <c r="X427" s="8" t="s">
        <v>259</v>
      </c>
      <c r="Y427" s="8" t="s">
        <v>218</v>
      </c>
      <c r="Z427" s="8"/>
      <c r="AA427" s="8" t="s">
        <v>4201</v>
      </c>
      <c r="AB427" s="20"/>
      <c r="AC427" s="20"/>
      <c r="AD427" s="20"/>
      <c r="AE427" s="8" t="s">
        <v>237</v>
      </c>
      <c r="AF427" s="8" t="s">
        <v>224</v>
      </c>
    </row>
    <row r="428" customFormat="false" ht="15" hidden="false" customHeight="false" outlineLevel="0" collapsed="false">
      <c r="A428" s="8" t="s">
        <v>4202</v>
      </c>
      <c r="B428" s="8" t="s">
        <v>4203</v>
      </c>
      <c r="C428" s="8"/>
      <c r="D428" s="8" t="s">
        <v>4081</v>
      </c>
      <c r="E428" s="8"/>
      <c r="F428" s="8" t="s">
        <v>71</v>
      </c>
      <c r="G428" s="8" t="s">
        <v>4082</v>
      </c>
      <c r="H428" s="8" t="s">
        <v>89</v>
      </c>
      <c r="I428" s="8" t="s">
        <v>208</v>
      </c>
      <c r="J428" s="8" t="n">
        <v>2</v>
      </c>
      <c r="K428" s="8" t="n">
        <v>3</v>
      </c>
      <c r="L428" s="18" t="n">
        <f aca="false">INDEX('All Items'!$Q:$Q,MATCH($A428,'All Items'!$A:$A,0))</f>
        <v>7.4</v>
      </c>
      <c r="M428" s="8" t="s">
        <v>3509</v>
      </c>
      <c r="N428" s="8" t="s">
        <v>4204</v>
      </c>
      <c r="O428" s="8" t="s">
        <v>2009</v>
      </c>
      <c r="P428" s="8" t="s">
        <v>4205</v>
      </c>
      <c r="Q428" s="8" t="s">
        <v>4206</v>
      </c>
      <c r="R428" s="8" t="s">
        <v>4207</v>
      </c>
      <c r="S428" s="19" t="s">
        <v>4208</v>
      </c>
      <c r="T428" s="8" t="s">
        <v>4209</v>
      </c>
      <c r="U428" s="8"/>
      <c r="V428" s="8" t="n">
        <f aca="false">COUNTA(M428:R428)</f>
        <v>6</v>
      </c>
      <c r="W428" s="8" t="s">
        <v>218</v>
      </c>
      <c r="X428" s="8" t="s">
        <v>259</v>
      </c>
      <c r="Y428" s="8" t="s">
        <v>218</v>
      </c>
      <c r="Z428" s="8"/>
      <c r="AA428" s="8" t="s">
        <v>4210</v>
      </c>
      <c r="AB428" s="20"/>
      <c r="AC428" s="20"/>
      <c r="AD428" s="20"/>
      <c r="AE428" s="8" t="s">
        <v>237</v>
      </c>
      <c r="AF428" s="8" t="s">
        <v>224</v>
      </c>
    </row>
    <row r="429" customFormat="false" ht="15" hidden="false" customHeight="false" outlineLevel="0" collapsed="false">
      <c r="A429" s="8" t="s">
        <v>4211</v>
      </c>
      <c r="B429" s="8" t="s">
        <v>4212</v>
      </c>
      <c r="C429" s="8"/>
      <c r="D429" s="8" t="s">
        <v>4081</v>
      </c>
      <c r="E429" s="8"/>
      <c r="F429" s="8" t="s">
        <v>71</v>
      </c>
      <c r="G429" s="8" t="s">
        <v>4082</v>
      </c>
      <c r="H429" s="8" t="s">
        <v>78</v>
      </c>
      <c r="I429" s="8" t="s">
        <v>208</v>
      </c>
      <c r="J429" s="8" t="n">
        <v>2</v>
      </c>
      <c r="K429" s="8" t="n">
        <v>3</v>
      </c>
      <c r="L429" s="18" t="n">
        <f aca="false">INDEX('All Items'!$Q:$Q,MATCH($A429,'All Items'!$A:$A,0))</f>
        <v>7.15</v>
      </c>
      <c r="M429" s="8" t="s">
        <v>214</v>
      </c>
      <c r="N429" s="8" t="s">
        <v>4213</v>
      </c>
      <c r="O429" s="8" t="s">
        <v>4214</v>
      </c>
      <c r="P429" s="8" t="s">
        <v>4215</v>
      </c>
      <c r="Q429" s="8" t="s">
        <v>4216</v>
      </c>
      <c r="R429" s="8"/>
      <c r="S429" s="19" t="s">
        <v>4217</v>
      </c>
      <c r="T429" s="8" t="s">
        <v>4218</v>
      </c>
      <c r="U429" s="8" t="s">
        <v>4216</v>
      </c>
      <c r="V429" s="8" t="n">
        <f aca="false">COUNTA(M429:R429)</f>
        <v>5</v>
      </c>
      <c r="W429" s="8" t="s">
        <v>218</v>
      </c>
      <c r="X429" s="8" t="s">
        <v>259</v>
      </c>
      <c r="Y429" s="8" t="s">
        <v>218</v>
      </c>
      <c r="Z429" s="8"/>
      <c r="AA429" s="8" t="s">
        <v>4219</v>
      </c>
      <c r="AB429" s="20"/>
      <c r="AC429" s="20"/>
      <c r="AD429" s="20"/>
      <c r="AE429" s="8" t="s">
        <v>237</v>
      </c>
      <c r="AF429" s="8" t="s">
        <v>224</v>
      </c>
    </row>
    <row r="430" customFormat="false" ht="15" hidden="false" customHeight="false" outlineLevel="0" collapsed="false">
      <c r="A430" s="8" t="s">
        <v>4220</v>
      </c>
      <c r="B430" s="8" t="s">
        <v>4221</v>
      </c>
      <c r="C430" s="8"/>
      <c r="D430" s="8" t="s">
        <v>4081</v>
      </c>
      <c r="E430" s="8"/>
      <c r="F430" s="8" t="s">
        <v>71</v>
      </c>
      <c r="G430" s="8" t="s">
        <v>4082</v>
      </c>
      <c r="H430" s="8" t="s">
        <v>80</v>
      </c>
      <c r="I430" s="8" t="s">
        <v>227</v>
      </c>
      <c r="J430" s="8" t="n">
        <v>2</v>
      </c>
      <c r="K430" s="8" t="n">
        <v>3</v>
      </c>
      <c r="L430" s="18" t="n">
        <f aca="false">INDEX('All Items'!$Q:$Q,MATCH($A430,'All Items'!$A:$A,0))</f>
        <v>7.4</v>
      </c>
      <c r="M430" s="8" t="s">
        <v>214</v>
      </c>
      <c r="N430" s="8" t="s">
        <v>4222</v>
      </c>
      <c r="O430" s="8" t="s">
        <v>2743</v>
      </c>
      <c r="P430" s="8" t="s">
        <v>4223</v>
      </c>
      <c r="Q430" s="8" t="s">
        <v>4224</v>
      </c>
      <c r="R430" s="8" t="s">
        <v>4225</v>
      </c>
      <c r="S430" s="19" t="s">
        <v>4226</v>
      </c>
      <c r="T430" s="8" t="s">
        <v>4227</v>
      </c>
      <c r="U430" s="8"/>
      <c r="V430" s="8" t="n">
        <f aca="false">COUNTA(M430:R430)</f>
        <v>6</v>
      </c>
      <c r="W430" s="8" t="s">
        <v>218</v>
      </c>
      <c r="X430" s="8" t="s">
        <v>259</v>
      </c>
      <c r="Y430" s="8" t="s">
        <v>218</v>
      </c>
      <c r="Z430" s="8"/>
      <c r="AA430" s="8" t="s">
        <v>4228</v>
      </c>
      <c r="AB430" s="20" t="s">
        <v>4229</v>
      </c>
      <c r="AC430" s="20" t="s">
        <v>1174</v>
      </c>
      <c r="AD430" s="20" t="s">
        <v>4230</v>
      </c>
      <c r="AE430" s="8" t="s">
        <v>223</v>
      </c>
      <c r="AF430" s="8" t="s">
        <v>224</v>
      </c>
    </row>
    <row r="431" customFormat="false" ht="15" hidden="false" customHeight="false" outlineLevel="0" collapsed="false">
      <c r="A431" s="8" t="s">
        <v>4231</v>
      </c>
      <c r="B431" s="8" t="s">
        <v>4232</v>
      </c>
      <c r="C431" s="8"/>
      <c r="D431" s="8" t="s">
        <v>4081</v>
      </c>
      <c r="E431" s="8"/>
      <c r="F431" s="8" t="s">
        <v>71</v>
      </c>
      <c r="G431" s="8" t="s">
        <v>4082</v>
      </c>
      <c r="H431" s="8" t="s">
        <v>80</v>
      </c>
      <c r="I431" s="8" t="s">
        <v>1030</v>
      </c>
      <c r="J431" s="8" t="n">
        <v>1</v>
      </c>
      <c r="K431" s="8" t="n">
        <v>5</v>
      </c>
      <c r="L431" s="18" t="n">
        <f aca="false">INDEX('All Items'!$Q:$Q,MATCH($A431,'All Items'!$A:$A,0))</f>
        <v>9.75</v>
      </c>
      <c r="M431" s="8" t="s">
        <v>4233</v>
      </c>
      <c r="N431" s="8" t="s">
        <v>3117</v>
      </c>
      <c r="O431" s="8" t="s">
        <v>4234</v>
      </c>
      <c r="P431" s="8" t="s">
        <v>4235</v>
      </c>
      <c r="Q431" s="8" t="s">
        <v>4236</v>
      </c>
      <c r="R431" s="8"/>
      <c r="S431" s="19" t="s">
        <v>4237</v>
      </c>
      <c r="T431" s="8" t="s">
        <v>4238</v>
      </c>
      <c r="U431" s="8"/>
      <c r="V431" s="8" t="n">
        <f aca="false">COUNTA(M431:R431)</f>
        <v>5</v>
      </c>
      <c r="W431" s="8" t="s">
        <v>218</v>
      </c>
      <c r="X431" s="8" t="s">
        <v>259</v>
      </c>
      <c r="Y431" s="8" t="s">
        <v>218</v>
      </c>
      <c r="Z431" s="8"/>
      <c r="AA431" s="8" t="s">
        <v>4239</v>
      </c>
      <c r="AB431" s="20"/>
      <c r="AC431" s="20"/>
      <c r="AD431" s="20"/>
      <c r="AE431" s="8" t="s">
        <v>237</v>
      </c>
      <c r="AF431" s="8" t="s">
        <v>224</v>
      </c>
    </row>
    <row r="432" customFormat="false" ht="15" hidden="false" customHeight="false" outlineLevel="0" collapsed="false">
      <c r="A432" s="8" t="s">
        <v>4240</v>
      </c>
      <c r="B432" s="8" t="s">
        <v>4241</v>
      </c>
      <c r="C432" s="8"/>
      <c r="D432" s="8" t="s">
        <v>4081</v>
      </c>
      <c r="E432" s="8"/>
      <c r="F432" s="8" t="s">
        <v>71</v>
      </c>
      <c r="G432" s="8" t="s">
        <v>4082</v>
      </c>
      <c r="H432" s="8" t="s">
        <v>87</v>
      </c>
      <c r="I432" s="8" t="s">
        <v>273</v>
      </c>
      <c r="J432" s="8" t="n">
        <v>1</v>
      </c>
      <c r="K432" s="8" t="n">
        <v>5</v>
      </c>
      <c r="L432" s="18" t="n">
        <f aca="false">INDEX('All Items'!$Q:$Q,MATCH($A432,'All Items'!$A:$A,0))</f>
        <v>9.25</v>
      </c>
      <c r="M432" s="8" t="s">
        <v>4242</v>
      </c>
      <c r="N432" s="8" t="s">
        <v>4243</v>
      </c>
      <c r="O432" s="8" t="s">
        <v>4244</v>
      </c>
      <c r="P432" s="8" t="s">
        <v>4136</v>
      </c>
      <c r="Q432" s="8" t="s">
        <v>4245</v>
      </c>
      <c r="R432" s="8" t="s">
        <v>4086</v>
      </c>
      <c r="S432" s="19" t="s">
        <v>4246</v>
      </c>
      <c r="T432" s="8"/>
      <c r="U432" s="8"/>
      <c r="V432" s="8" t="n">
        <f aca="false">COUNTA(M432:R432)</f>
        <v>6</v>
      </c>
      <c r="W432" s="8" t="s">
        <v>218</v>
      </c>
      <c r="X432" s="8" t="s">
        <v>259</v>
      </c>
      <c r="Y432" s="8" t="s">
        <v>218</v>
      </c>
      <c r="Z432" s="8"/>
      <c r="AA432" s="8" t="s">
        <v>4247</v>
      </c>
      <c r="AB432" s="20"/>
      <c r="AC432" s="20"/>
      <c r="AD432" s="20"/>
      <c r="AE432" s="8" t="s">
        <v>237</v>
      </c>
      <c r="AF432" s="8" t="s">
        <v>224</v>
      </c>
    </row>
    <row r="433" customFormat="false" ht="15" hidden="false" customHeight="false" outlineLevel="0" collapsed="false">
      <c r="A433" s="8" t="s">
        <v>4248</v>
      </c>
      <c r="B433" s="8" t="s">
        <v>4249</v>
      </c>
      <c r="C433" s="8"/>
      <c r="D433" s="8" t="s">
        <v>4081</v>
      </c>
      <c r="E433" s="8"/>
      <c r="F433" s="8" t="s">
        <v>71</v>
      </c>
      <c r="G433" s="8" t="s">
        <v>4082</v>
      </c>
      <c r="H433" s="8" t="s">
        <v>82</v>
      </c>
      <c r="I433" s="8" t="s">
        <v>227</v>
      </c>
      <c r="J433" s="8" t="n">
        <v>2</v>
      </c>
      <c r="K433" s="8" t="n">
        <v>4</v>
      </c>
      <c r="L433" s="18" t="n">
        <f aca="false">INDEX('All Items'!$Q:$Q,MATCH($A433,'All Items'!$A:$A,0))</f>
        <v>8.2</v>
      </c>
      <c r="M433" s="8" t="s">
        <v>4083</v>
      </c>
      <c r="N433" s="8" t="s">
        <v>4250</v>
      </c>
      <c r="O433" s="8" t="s">
        <v>2743</v>
      </c>
      <c r="P433" s="8" t="s">
        <v>4251</v>
      </c>
      <c r="Q433" s="8" t="s">
        <v>4085</v>
      </c>
      <c r="R433" s="8"/>
      <c r="S433" s="19" t="s">
        <v>4252</v>
      </c>
      <c r="T433" s="8" t="s">
        <v>4253</v>
      </c>
      <c r="U433" s="8"/>
      <c r="V433" s="8" t="n">
        <f aca="false">COUNTA(M433:R433)</f>
        <v>5</v>
      </c>
      <c r="W433" s="8" t="s">
        <v>218</v>
      </c>
      <c r="X433" s="8" t="s">
        <v>259</v>
      </c>
      <c r="Y433" s="8" t="s">
        <v>218</v>
      </c>
      <c r="Z433" s="8"/>
      <c r="AA433" s="8" t="s">
        <v>4254</v>
      </c>
      <c r="AB433" s="20"/>
      <c r="AC433" s="20"/>
      <c r="AD433" s="20"/>
      <c r="AE433" s="8" t="s">
        <v>237</v>
      </c>
      <c r="AF433" s="8" t="s">
        <v>224</v>
      </c>
    </row>
    <row r="434" customFormat="false" ht="15" hidden="false" customHeight="false" outlineLevel="0" collapsed="false">
      <c r="A434" s="8" t="s">
        <v>4255</v>
      </c>
      <c r="B434" s="8" t="s">
        <v>4256</v>
      </c>
      <c r="C434" s="8"/>
      <c r="D434" s="8" t="s">
        <v>4081</v>
      </c>
      <c r="E434" s="8"/>
      <c r="F434" s="8" t="s">
        <v>71</v>
      </c>
      <c r="G434" s="8" t="s">
        <v>4082</v>
      </c>
      <c r="H434" s="8" t="s">
        <v>80</v>
      </c>
      <c r="I434" s="8" t="s">
        <v>1030</v>
      </c>
      <c r="J434" s="8" t="n">
        <v>2</v>
      </c>
      <c r="K434" s="8" t="n">
        <v>4</v>
      </c>
      <c r="L434" s="18" t="n">
        <f aca="false">INDEX('All Items'!$Q:$Q,MATCH($A434,'All Items'!$A:$A,0))</f>
        <v>8.45</v>
      </c>
      <c r="M434" s="8" t="s">
        <v>214</v>
      </c>
      <c r="N434" s="8" t="s">
        <v>3117</v>
      </c>
      <c r="O434" s="8" t="s">
        <v>1758</v>
      </c>
      <c r="P434" s="8" t="s">
        <v>4257</v>
      </c>
      <c r="Q434" s="8" t="s">
        <v>4258</v>
      </c>
      <c r="R434" s="8" t="s">
        <v>4136</v>
      </c>
      <c r="S434" s="19" t="s">
        <v>4259</v>
      </c>
      <c r="T434" s="8" t="s">
        <v>4260</v>
      </c>
      <c r="U434" s="8"/>
      <c r="V434" s="8" t="n">
        <f aca="false">COUNTA(M434:R434)</f>
        <v>6</v>
      </c>
      <c r="W434" s="8" t="s">
        <v>218</v>
      </c>
      <c r="X434" s="8" t="s">
        <v>259</v>
      </c>
      <c r="Y434" s="8" t="s">
        <v>218</v>
      </c>
      <c r="Z434" s="8"/>
      <c r="AA434" s="8" t="s">
        <v>4261</v>
      </c>
      <c r="AB434" s="20" t="s">
        <v>4262</v>
      </c>
      <c r="AC434" s="20" t="s">
        <v>221</v>
      </c>
      <c r="AD434" s="20" t="s">
        <v>4263</v>
      </c>
      <c r="AE434" s="8" t="s">
        <v>223</v>
      </c>
      <c r="AF434" s="8" t="s">
        <v>224</v>
      </c>
    </row>
    <row r="435" customFormat="false" ht="15" hidden="false" customHeight="false" outlineLevel="0" collapsed="false">
      <c r="A435" s="8" t="s">
        <v>4264</v>
      </c>
      <c r="B435" s="8" t="s">
        <v>4265</v>
      </c>
      <c r="C435" s="8"/>
      <c r="D435" s="8" t="s">
        <v>4081</v>
      </c>
      <c r="E435" s="8"/>
      <c r="F435" s="8" t="s">
        <v>71</v>
      </c>
      <c r="G435" s="8" t="s">
        <v>4082</v>
      </c>
      <c r="H435" s="8" t="s">
        <v>78</v>
      </c>
      <c r="I435" s="8" t="s">
        <v>208</v>
      </c>
      <c r="J435" s="8" t="n">
        <v>2</v>
      </c>
      <c r="K435" s="8" t="n">
        <v>3</v>
      </c>
      <c r="L435" s="18" t="n">
        <f aca="false">INDEX('All Items'!$Q:$Q,MATCH($A435,'All Items'!$A:$A,0))</f>
        <v>7.4</v>
      </c>
      <c r="M435" s="8" t="s">
        <v>1295</v>
      </c>
      <c r="N435" s="8" t="s">
        <v>3906</v>
      </c>
      <c r="O435" s="8" t="s">
        <v>3860</v>
      </c>
      <c r="P435" s="8" t="s">
        <v>4266</v>
      </c>
      <c r="Q435" s="8" t="s">
        <v>4267</v>
      </c>
      <c r="R435" s="8" t="s">
        <v>4136</v>
      </c>
      <c r="S435" s="19" t="s">
        <v>4268</v>
      </c>
      <c r="T435" s="8" t="s">
        <v>4269</v>
      </c>
      <c r="U435" s="8"/>
      <c r="V435" s="8" t="n">
        <f aca="false">COUNTA(M435:R435)</f>
        <v>6</v>
      </c>
      <c r="W435" s="8" t="s">
        <v>218</v>
      </c>
      <c r="X435" s="8" t="s">
        <v>259</v>
      </c>
      <c r="Y435" s="8" t="s">
        <v>218</v>
      </c>
      <c r="Z435" s="8"/>
      <c r="AA435" s="8" t="s">
        <v>4270</v>
      </c>
      <c r="AB435" s="20"/>
      <c r="AC435" s="20"/>
      <c r="AD435" s="20"/>
      <c r="AE435" s="8" t="s">
        <v>237</v>
      </c>
      <c r="AF435" s="8" t="s">
        <v>224</v>
      </c>
    </row>
    <row r="436" customFormat="false" ht="15" hidden="false" customHeight="false" outlineLevel="0" collapsed="false">
      <c r="A436" s="8" t="s">
        <v>4271</v>
      </c>
      <c r="B436" s="8" t="s">
        <v>4272</v>
      </c>
      <c r="C436" s="8"/>
      <c r="D436" s="8" t="s">
        <v>4081</v>
      </c>
      <c r="E436" s="8"/>
      <c r="F436" s="8" t="s">
        <v>71</v>
      </c>
      <c r="G436" s="8" t="s">
        <v>4082</v>
      </c>
      <c r="H436" s="8" t="s">
        <v>86</v>
      </c>
      <c r="I436" s="8" t="s">
        <v>227</v>
      </c>
      <c r="J436" s="8" t="n">
        <v>2</v>
      </c>
      <c r="K436" s="8" t="n">
        <v>3</v>
      </c>
      <c r="L436" s="18" t="n">
        <f aca="false">INDEX('All Items'!$Q:$Q,MATCH($A436,'All Items'!$A:$A,0))</f>
        <v>7.15</v>
      </c>
      <c r="M436" s="8" t="s">
        <v>1363</v>
      </c>
      <c r="N436" s="8" t="s">
        <v>345</v>
      </c>
      <c r="O436" s="8" t="s">
        <v>852</v>
      </c>
      <c r="P436" s="8" t="s">
        <v>4273</v>
      </c>
      <c r="Q436" s="8" t="s">
        <v>4274</v>
      </c>
      <c r="R436" s="8" t="s">
        <v>4136</v>
      </c>
      <c r="S436" s="19" t="s">
        <v>4275</v>
      </c>
      <c r="T436" s="8" t="s">
        <v>4276</v>
      </c>
      <c r="U436" s="8"/>
      <c r="V436" s="8" t="n">
        <f aca="false">COUNTA(M436:R436)</f>
        <v>6</v>
      </c>
      <c r="W436" s="8" t="s">
        <v>218</v>
      </c>
      <c r="X436" s="8" t="s">
        <v>259</v>
      </c>
      <c r="Y436" s="8" t="s">
        <v>218</v>
      </c>
      <c r="Z436" s="8"/>
      <c r="AA436" s="8" t="s">
        <v>4277</v>
      </c>
      <c r="AB436" s="20"/>
      <c r="AC436" s="20"/>
      <c r="AD436" s="20"/>
      <c r="AE436" s="8" t="s">
        <v>237</v>
      </c>
      <c r="AF436" s="8" t="s">
        <v>224</v>
      </c>
    </row>
    <row r="437" customFormat="false" ht="15" hidden="false" customHeight="false" outlineLevel="0" collapsed="false">
      <c r="A437" s="8" t="s">
        <v>4278</v>
      </c>
      <c r="B437" s="8" t="s">
        <v>4279</v>
      </c>
      <c r="C437" s="8"/>
      <c r="D437" s="8" t="s">
        <v>4081</v>
      </c>
      <c r="E437" s="8"/>
      <c r="F437" s="8" t="s">
        <v>71</v>
      </c>
      <c r="G437" s="8" t="s">
        <v>4082</v>
      </c>
      <c r="H437" s="8" t="s">
        <v>80</v>
      </c>
      <c r="I437" s="8" t="s">
        <v>1030</v>
      </c>
      <c r="J437" s="8" t="n">
        <v>2</v>
      </c>
      <c r="K437" s="8" t="n">
        <v>4</v>
      </c>
      <c r="L437" s="18" t="n">
        <f aca="false">INDEX('All Items'!$Q:$Q,MATCH($A437,'All Items'!$A:$A,0))</f>
        <v>8.45</v>
      </c>
      <c r="M437" s="8" t="s">
        <v>214</v>
      </c>
      <c r="N437" s="8" t="s">
        <v>345</v>
      </c>
      <c r="O437" s="8" t="s">
        <v>4280</v>
      </c>
      <c r="P437" s="8" t="s">
        <v>4281</v>
      </c>
      <c r="Q437" s="8" t="s">
        <v>4136</v>
      </c>
      <c r="R437" s="8"/>
      <c r="S437" s="19" t="s">
        <v>4282</v>
      </c>
      <c r="T437" s="8" t="s">
        <v>4283</v>
      </c>
      <c r="U437" s="8"/>
      <c r="V437" s="8" t="n">
        <f aca="false">COUNTA(M437:R437)</f>
        <v>5</v>
      </c>
      <c r="W437" s="8" t="s">
        <v>218</v>
      </c>
      <c r="X437" s="8" t="s">
        <v>259</v>
      </c>
      <c r="Y437" s="8" t="s">
        <v>218</v>
      </c>
      <c r="Z437" s="8"/>
      <c r="AA437" s="8" t="s">
        <v>4284</v>
      </c>
      <c r="AB437" s="20"/>
      <c r="AC437" s="20"/>
      <c r="AD437" s="20"/>
      <c r="AE437" s="8" t="s">
        <v>237</v>
      </c>
      <c r="AF437" s="8" t="s">
        <v>224</v>
      </c>
    </row>
    <row r="438" customFormat="false" ht="15" hidden="false" customHeight="false" outlineLevel="0" collapsed="false">
      <c r="A438" s="8" t="s">
        <v>4285</v>
      </c>
      <c r="B438" s="8" t="s">
        <v>4286</v>
      </c>
      <c r="C438" s="8"/>
      <c r="D438" s="8" t="s">
        <v>4081</v>
      </c>
      <c r="E438" s="8"/>
      <c r="F438" s="8" t="s">
        <v>71</v>
      </c>
      <c r="G438" s="8" t="s">
        <v>4082</v>
      </c>
      <c r="H438" s="8" t="s">
        <v>80</v>
      </c>
      <c r="I438" s="8" t="s">
        <v>1030</v>
      </c>
      <c r="J438" s="8" t="n">
        <v>3</v>
      </c>
      <c r="K438" s="8" t="n">
        <v>3</v>
      </c>
      <c r="L438" s="18" t="n">
        <f aca="false">INDEX('All Items'!$Q:$Q,MATCH($A438,'All Items'!$A:$A,0))</f>
        <v>7.15</v>
      </c>
      <c r="M438" s="8" t="s">
        <v>3949</v>
      </c>
      <c r="N438" s="8" t="s">
        <v>345</v>
      </c>
      <c r="O438" s="8" t="s">
        <v>4280</v>
      </c>
      <c r="P438" s="8" t="s">
        <v>4287</v>
      </c>
      <c r="Q438" s="8" t="s">
        <v>4288</v>
      </c>
      <c r="R438" s="8" t="s">
        <v>4136</v>
      </c>
      <c r="S438" s="19" t="s">
        <v>4289</v>
      </c>
      <c r="T438" s="8" t="s">
        <v>4290</v>
      </c>
      <c r="U438" s="8"/>
      <c r="V438" s="8" t="n">
        <f aca="false">COUNTA(M438:R438)</f>
        <v>6</v>
      </c>
      <c r="W438" s="8" t="s">
        <v>218</v>
      </c>
      <c r="X438" s="8" t="s">
        <v>259</v>
      </c>
      <c r="Y438" s="8" t="s">
        <v>218</v>
      </c>
      <c r="Z438" s="8"/>
      <c r="AA438" s="8" t="s">
        <v>4291</v>
      </c>
      <c r="AB438" s="20" t="s">
        <v>4292</v>
      </c>
      <c r="AC438" s="20" t="s">
        <v>527</v>
      </c>
      <c r="AD438" s="20" t="s">
        <v>4293</v>
      </c>
      <c r="AE438" s="8" t="s">
        <v>223</v>
      </c>
      <c r="AF438" s="8" t="s">
        <v>224</v>
      </c>
    </row>
    <row r="439" customFormat="false" ht="15" hidden="false" customHeight="false" outlineLevel="0" collapsed="false">
      <c r="A439" s="8" t="s">
        <v>4294</v>
      </c>
      <c r="B439" s="8" t="s">
        <v>4295</v>
      </c>
      <c r="C439" s="8"/>
      <c r="D439" s="8" t="s">
        <v>4296</v>
      </c>
      <c r="E439" s="8"/>
      <c r="F439" s="8" t="s">
        <v>71</v>
      </c>
      <c r="G439" s="8" t="s">
        <v>4082</v>
      </c>
      <c r="H439" s="8" t="s">
        <v>78</v>
      </c>
      <c r="I439" s="8" t="s">
        <v>227</v>
      </c>
      <c r="J439" s="8" t="n">
        <v>1</v>
      </c>
      <c r="K439" s="8" t="n">
        <v>4</v>
      </c>
      <c r="L439" s="18" t="n">
        <f aca="false">INDEX('All Items'!$Q:$Q,MATCH($A439,'All Items'!$A:$A,0))</f>
        <v>8.45</v>
      </c>
      <c r="M439" s="8" t="s">
        <v>4297</v>
      </c>
      <c r="N439" s="8" t="s">
        <v>3860</v>
      </c>
      <c r="O439" s="8" t="s">
        <v>4298</v>
      </c>
      <c r="P439" s="8" t="s">
        <v>4299</v>
      </c>
      <c r="Q439" s="8" t="s">
        <v>4300</v>
      </c>
      <c r="R439" s="8" t="s">
        <v>4301</v>
      </c>
      <c r="S439" s="19" t="s">
        <v>4302</v>
      </c>
      <c r="T439" s="8" t="s">
        <v>4303</v>
      </c>
      <c r="U439" s="8"/>
      <c r="V439" s="8" t="n">
        <f aca="false">COUNTA(M439:R439)</f>
        <v>6</v>
      </c>
      <c r="W439" s="8" t="s">
        <v>218</v>
      </c>
      <c r="X439" s="8" t="s">
        <v>259</v>
      </c>
      <c r="Y439" s="8" t="s">
        <v>218</v>
      </c>
      <c r="Z439" s="8"/>
      <c r="AA439" s="8" t="s">
        <v>4304</v>
      </c>
      <c r="AB439" s="20"/>
      <c r="AC439" s="20"/>
      <c r="AD439" s="20"/>
      <c r="AE439" s="8" t="s">
        <v>237</v>
      </c>
      <c r="AF439" s="8" t="s">
        <v>224</v>
      </c>
    </row>
    <row r="440" customFormat="false" ht="15" hidden="false" customHeight="false" outlineLevel="0" collapsed="false">
      <c r="A440" s="8" t="s">
        <v>4305</v>
      </c>
      <c r="B440" s="8" t="s">
        <v>4306</v>
      </c>
      <c r="C440" s="8"/>
      <c r="D440" s="8" t="s">
        <v>4296</v>
      </c>
      <c r="E440" s="8"/>
      <c r="F440" s="8" t="s">
        <v>71</v>
      </c>
      <c r="G440" s="8" t="s">
        <v>4082</v>
      </c>
      <c r="H440" s="8" t="s">
        <v>78</v>
      </c>
      <c r="I440" s="8" t="s">
        <v>227</v>
      </c>
      <c r="J440" s="8" t="n">
        <v>2</v>
      </c>
      <c r="K440" s="8" t="n">
        <v>3</v>
      </c>
      <c r="L440" s="18" t="n">
        <f aca="false">INDEX('All Items'!$Q:$Q,MATCH($A440,'All Items'!$A:$A,0))</f>
        <v>7.15</v>
      </c>
      <c r="M440" s="8" t="s">
        <v>4307</v>
      </c>
      <c r="N440" s="8" t="s">
        <v>4308</v>
      </c>
      <c r="O440" s="8" t="s">
        <v>4309</v>
      </c>
      <c r="P440" s="8" t="s">
        <v>4310</v>
      </c>
      <c r="Q440" s="8" t="s">
        <v>4311</v>
      </c>
      <c r="R440" s="8" t="s">
        <v>4301</v>
      </c>
      <c r="S440" s="19" t="s">
        <v>4312</v>
      </c>
      <c r="T440" s="8" t="s">
        <v>4313</v>
      </c>
      <c r="U440" s="8"/>
      <c r="V440" s="8" t="n">
        <f aca="false">COUNTA(M440:R440)</f>
        <v>6</v>
      </c>
      <c r="W440" s="8" t="s">
        <v>218</v>
      </c>
      <c r="X440" s="8" t="s">
        <v>259</v>
      </c>
      <c r="Y440" s="8" t="s">
        <v>218</v>
      </c>
      <c r="Z440" s="8"/>
      <c r="AA440" s="8" t="s">
        <v>4314</v>
      </c>
      <c r="AB440" s="20"/>
      <c r="AC440" s="20"/>
      <c r="AD440" s="20"/>
      <c r="AE440" s="8" t="s">
        <v>237</v>
      </c>
      <c r="AF440" s="8" t="s">
        <v>224</v>
      </c>
    </row>
    <row r="441" customFormat="false" ht="15" hidden="false" customHeight="false" outlineLevel="0" collapsed="false">
      <c r="A441" s="8" t="s">
        <v>4315</v>
      </c>
      <c r="B441" s="8" t="s">
        <v>4316</v>
      </c>
      <c r="C441" s="8"/>
      <c r="D441" s="8" t="s">
        <v>4296</v>
      </c>
      <c r="E441" s="8"/>
      <c r="F441" s="8" t="s">
        <v>71</v>
      </c>
      <c r="G441" s="8" t="s">
        <v>4082</v>
      </c>
      <c r="H441" s="8" t="s">
        <v>86</v>
      </c>
      <c r="I441" s="8" t="s">
        <v>227</v>
      </c>
      <c r="J441" s="8" t="n">
        <v>2</v>
      </c>
      <c r="K441" s="8" t="n">
        <v>3</v>
      </c>
      <c r="L441" s="18" t="n">
        <f aca="false">INDEX('All Items'!$Q:$Q,MATCH($A441,'All Items'!$A:$A,0))</f>
        <v>7.15</v>
      </c>
      <c r="M441" s="8" t="s">
        <v>214</v>
      </c>
      <c r="N441" s="8" t="s">
        <v>4317</v>
      </c>
      <c r="O441" s="8" t="s">
        <v>2953</v>
      </c>
      <c r="P441" s="8" t="s">
        <v>4318</v>
      </c>
      <c r="Q441" s="8" t="s">
        <v>4319</v>
      </c>
      <c r="R441" s="8" t="s">
        <v>4301</v>
      </c>
      <c r="S441" s="19" t="s">
        <v>4320</v>
      </c>
      <c r="T441" s="8" t="s">
        <v>4321</v>
      </c>
      <c r="U441" s="8"/>
      <c r="V441" s="8" t="n">
        <f aca="false">COUNTA(M441:R441)</f>
        <v>6</v>
      </c>
      <c r="W441" s="8" t="s">
        <v>218</v>
      </c>
      <c r="X441" s="8" t="s">
        <v>259</v>
      </c>
      <c r="Y441" s="8" t="s">
        <v>218</v>
      </c>
      <c r="Z441" s="8"/>
      <c r="AA441" s="8" t="s">
        <v>4322</v>
      </c>
      <c r="AB441" s="20"/>
      <c r="AC441" s="20"/>
      <c r="AD441" s="20"/>
      <c r="AE441" s="8" t="s">
        <v>237</v>
      </c>
      <c r="AF441" s="8" t="s">
        <v>224</v>
      </c>
    </row>
    <row r="442" customFormat="false" ht="15" hidden="false" customHeight="false" outlineLevel="0" collapsed="false">
      <c r="A442" s="8" t="s">
        <v>4323</v>
      </c>
      <c r="B442" s="8" t="s">
        <v>4324</v>
      </c>
      <c r="C442" s="8"/>
      <c r="D442" s="8" t="s">
        <v>4325</v>
      </c>
      <c r="E442" s="8"/>
      <c r="F442" s="8" t="s">
        <v>71</v>
      </c>
      <c r="G442" s="8" t="s">
        <v>3829</v>
      </c>
      <c r="H442" s="8" t="s">
        <v>85</v>
      </c>
      <c r="I442" s="8" t="s">
        <v>208</v>
      </c>
      <c r="J442" s="8" t="n">
        <v>1</v>
      </c>
      <c r="K442" s="8" t="n">
        <v>5</v>
      </c>
      <c r="L442" s="18" t="n">
        <f aca="false">INDEX('All Items'!$Q:$Q,MATCH($A442,'All Items'!$A:$A,0))</f>
        <v>10</v>
      </c>
      <c r="M442" s="8" t="s">
        <v>213</v>
      </c>
      <c r="N442" s="8" t="s">
        <v>4326</v>
      </c>
      <c r="O442" s="8" t="s">
        <v>347</v>
      </c>
      <c r="P442" s="8" t="s">
        <v>4327</v>
      </c>
      <c r="Q442" s="8" t="s">
        <v>4328</v>
      </c>
      <c r="R442" s="8" t="s">
        <v>4329</v>
      </c>
      <c r="S442" s="19" t="s">
        <v>4330</v>
      </c>
      <c r="T442" s="8" t="s">
        <v>4331</v>
      </c>
      <c r="U442" s="8"/>
      <c r="V442" s="8" t="n">
        <f aca="false">COUNTA(M442:R442)</f>
        <v>6</v>
      </c>
      <c r="W442" s="8" t="s">
        <v>218</v>
      </c>
      <c r="X442" s="8" t="s">
        <v>259</v>
      </c>
      <c r="Y442" s="8" t="s">
        <v>218</v>
      </c>
      <c r="Z442" s="8"/>
      <c r="AA442" s="8" t="s">
        <v>4332</v>
      </c>
      <c r="AB442" s="20"/>
      <c r="AC442" s="20"/>
      <c r="AD442" s="20"/>
      <c r="AE442" s="8" t="s">
        <v>237</v>
      </c>
      <c r="AF442" s="8" t="s">
        <v>224</v>
      </c>
    </row>
    <row r="443" customFormat="false" ht="15" hidden="false" customHeight="false" outlineLevel="0" collapsed="false">
      <c r="A443" s="8" t="s">
        <v>4333</v>
      </c>
      <c r="B443" s="8" t="s">
        <v>4334</v>
      </c>
      <c r="C443" s="8"/>
      <c r="D443" s="8" t="s">
        <v>4325</v>
      </c>
      <c r="E443" s="8"/>
      <c r="F443" s="8" t="s">
        <v>71</v>
      </c>
      <c r="G443" s="8" t="s">
        <v>3829</v>
      </c>
      <c r="H443" s="8" t="s">
        <v>78</v>
      </c>
      <c r="I443" s="8" t="s">
        <v>1030</v>
      </c>
      <c r="J443" s="8" t="n">
        <v>1</v>
      </c>
      <c r="K443" s="8" t="n">
        <v>3</v>
      </c>
      <c r="L443" s="18" t="n">
        <f aca="false">INDEX('All Items'!$Q:$Q,MATCH($A443,'All Items'!$A:$A,0))</f>
        <v>6.65</v>
      </c>
      <c r="M443" s="8" t="s">
        <v>4335</v>
      </c>
      <c r="N443" s="8" t="s">
        <v>4336</v>
      </c>
      <c r="O443" s="8" t="s">
        <v>4337</v>
      </c>
      <c r="P443" s="8" t="s">
        <v>4338</v>
      </c>
      <c r="Q443" s="8" t="s">
        <v>2396</v>
      </c>
      <c r="R443" s="8" t="s">
        <v>4339</v>
      </c>
      <c r="S443" s="19" t="s">
        <v>4340</v>
      </c>
      <c r="T443" s="8" t="s">
        <v>4341</v>
      </c>
      <c r="U443" s="8"/>
      <c r="V443" s="8" t="n">
        <f aca="false">COUNTA(M443:R443)</f>
        <v>6</v>
      </c>
      <c r="W443" s="8" t="s">
        <v>218</v>
      </c>
      <c r="X443" s="8" t="s">
        <v>259</v>
      </c>
      <c r="Y443" s="8" t="s">
        <v>218</v>
      </c>
      <c r="Z443" s="8"/>
      <c r="AA443" s="8" t="s">
        <v>4342</v>
      </c>
      <c r="AB443" s="20"/>
      <c r="AC443" s="20"/>
      <c r="AD443" s="20"/>
      <c r="AE443" s="8" t="s">
        <v>237</v>
      </c>
      <c r="AF443" s="8" t="s">
        <v>224</v>
      </c>
    </row>
    <row r="444" customFormat="false" ht="15" hidden="false" customHeight="false" outlineLevel="0" collapsed="false">
      <c r="A444" s="8" t="s">
        <v>4343</v>
      </c>
      <c r="B444" s="8" t="s">
        <v>4344</v>
      </c>
      <c r="C444" s="8"/>
      <c r="D444" s="8" t="s">
        <v>4325</v>
      </c>
      <c r="E444" s="8"/>
      <c r="F444" s="8" t="s">
        <v>71</v>
      </c>
      <c r="G444" s="8" t="s">
        <v>3829</v>
      </c>
      <c r="H444" s="8" t="s">
        <v>83</v>
      </c>
      <c r="I444" s="8" t="s">
        <v>273</v>
      </c>
      <c r="J444" s="8" t="n">
        <v>1</v>
      </c>
      <c r="K444" s="8" t="n">
        <v>3</v>
      </c>
      <c r="L444" s="18" t="n">
        <f aca="false">INDEX('All Items'!$Q:$Q,MATCH($A444,'All Items'!$A:$A,0))</f>
        <v>7.15</v>
      </c>
      <c r="M444" s="8" t="s">
        <v>274</v>
      </c>
      <c r="N444" s="8" t="s">
        <v>2047</v>
      </c>
      <c r="O444" s="8" t="s">
        <v>356</v>
      </c>
      <c r="P444" s="8" t="s">
        <v>4345</v>
      </c>
      <c r="Q444" s="8" t="s">
        <v>4346</v>
      </c>
      <c r="R444" s="8" t="s">
        <v>4347</v>
      </c>
      <c r="S444" s="19" t="s">
        <v>4348</v>
      </c>
      <c r="T444" s="8" t="s">
        <v>4349</v>
      </c>
      <c r="U444" s="8"/>
      <c r="V444" s="8" t="n">
        <f aca="false">COUNTA(M444:R444)</f>
        <v>6</v>
      </c>
      <c r="W444" s="8" t="s">
        <v>218</v>
      </c>
      <c r="X444" s="8" t="s">
        <v>259</v>
      </c>
      <c r="Y444" s="8" t="s">
        <v>218</v>
      </c>
      <c r="Z444" s="8"/>
      <c r="AA444" s="8" t="s">
        <v>4350</v>
      </c>
      <c r="AB444" s="20" t="s">
        <v>4351</v>
      </c>
      <c r="AC444" s="20" t="s">
        <v>516</v>
      </c>
      <c r="AD444" s="20" t="s">
        <v>4352</v>
      </c>
      <c r="AE444" s="8" t="s">
        <v>223</v>
      </c>
      <c r="AF444" s="8" t="s">
        <v>224</v>
      </c>
    </row>
    <row r="445" customFormat="false" ht="15" hidden="false" customHeight="false" outlineLevel="0" collapsed="false">
      <c r="A445" s="8" t="s">
        <v>4353</v>
      </c>
      <c r="B445" s="8" t="s">
        <v>4354</v>
      </c>
      <c r="C445" s="8"/>
      <c r="D445" s="8" t="s">
        <v>4325</v>
      </c>
      <c r="E445" s="8"/>
      <c r="F445" s="8" t="s">
        <v>71</v>
      </c>
      <c r="G445" s="8" t="s">
        <v>3829</v>
      </c>
      <c r="H445" s="8" t="s">
        <v>79</v>
      </c>
      <c r="I445" s="8" t="s">
        <v>273</v>
      </c>
      <c r="J445" s="8" t="n">
        <v>1</v>
      </c>
      <c r="K445" s="8" t="n">
        <v>3</v>
      </c>
      <c r="L445" s="18" t="n">
        <f aca="false">INDEX('All Items'!$Q:$Q,MATCH($A445,'All Items'!$A:$A,0))</f>
        <v>7.15</v>
      </c>
      <c r="M445" s="8" t="s">
        <v>4355</v>
      </c>
      <c r="N445" s="8" t="s">
        <v>4356</v>
      </c>
      <c r="O445" s="8" t="s">
        <v>4357</v>
      </c>
      <c r="P445" s="8" t="s">
        <v>4358</v>
      </c>
      <c r="Q445" s="8" t="s">
        <v>4359</v>
      </c>
      <c r="R445" s="8"/>
      <c r="S445" s="19" t="s">
        <v>4360</v>
      </c>
      <c r="T445" s="8" t="s">
        <v>4361</v>
      </c>
      <c r="U445" s="8"/>
      <c r="V445" s="8" t="n">
        <f aca="false">COUNTA(M445:R445)</f>
        <v>5</v>
      </c>
      <c r="W445" s="8" t="s">
        <v>218</v>
      </c>
      <c r="X445" s="8" t="s">
        <v>259</v>
      </c>
      <c r="Y445" s="8" t="s">
        <v>218</v>
      </c>
      <c r="Z445" s="8"/>
      <c r="AA445" s="8" t="s">
        <v>4362</v>
      </c>
      <c r="AB445" s="20"/>
      <c r="AC445" s="20"/>
      <c r="AD445" s="20"/>
      <c r="AE445" s="8" t="s">
        <v>237</v>
      </c>
      <c r="AF445" s="8" t="s">
        <v>224</v>
      </c>
    </row>
    <row r="446" customFormat="false" ht="15" hidden="false" customHeight="false" outlineLevel="0" collapsed="false">
      <c r="A446" s="8" t="s">
        <v>4363</v>
      </c>
      <c r="B446" s="8" t="s">
        <v>4364</v>
      </c>
      <c r="C446" s="8"/>
      <c r="D446" s="8" t="s">
        <v>4325</v>
      </c>
      <c r="E446" s="8"/>
      <c r="F446" s="8" t="s">
        <v>71</v>
      </c>
      <c r="G446" s="8" t="s">
        <v>3829</v>
      </c>
      <c r="H446" s="8" t="s">
        <v>80</v>
      </c>
      <c r="I446" s="8" t="s">
        <v>273</v>
      </c>
      <c r="J446" s="8" t="n">
        <v>1</v>
      </c>
      <c r="K446" s="8" t="n">
        <v>5</v>
      </c>
      <c r="L446" s="18" t="n">
        <f aca="false">INDEX('All Items'!$Q:$Q,MATCH($A446,'All Items'!$A:$A,0))</f>
        <v>9.5</v>
      </c>
      <c r="M446" s="8" t="s">
        <v>3285</v>
      </c>
      <c r="N446" s="8" t="s">
        <v>4365</v>
      </c>
      <c r="O446" s="8" t="s">
        <v>4366</v>
      </c>
      <c r="P446" s="8" t="s">
        <v>4367</v>
      </c>
      <c r="Q446" s="8" t="s">
        <v>4368</v>
      </c>
      <c r="R446" s="8" t="s">
        <v>4369</v>
      </c>
      <c r="S446" s="19" t="s">
        <v>4370</v>
      </c>
      <c r="T446" s="8" t="s">
        <v>4371</v>
      </c>
      <c r="U446" s="8"/>
      <c r="V446" s="8" t="n">
        <f aca="false">COUNTA(M446:R446)</f>
        <v>6</v>
      </c>
      <c r="W446" s="8" t="s">
        <v>218</v>
      </c>
      <c r="X446" s="8" t="s">
        <v>259</v>
      </c>
      <c r="Y446" s="8" t="s">
        <v>259</v>
      </c>
      <c r="Z446" s="8" t="s">
        <v>4372</v>
      </c>
      <c r="AA446" s="8" t="s">
        <v>4373</v>
      </c>
      <c r="AB446" s="20" t="s">
        <v>4374</v>
      </c>
      <c r="AC446" s="20" t="s">
        <v>384</v>
      </c>
      <c r="AD446" s="20" t="s">
        <v>4375</v>
      </c>
      <c r="AE446" s="8" t="s">
        <v>223</v>
      </c>
      <c r="AF446" s="8" t="s">
        <v>224</v>
      </c>
    </row>
    <row r="447" customFormat="false" ht="15" hidden="false" customHeight="false" outlineLevel="0" collapsed="false">
      <c r="A447" s="8" t="s">
        <v>4376</v>
      </c>
      <c r="B447" s="8" t="s">
        <v>4377</v>
      </c>
      <c r="C447" s="8"/>
      <c r="D447" s="8" t="s">
        <v>4325</v>
      </c>
      <c r="E447" s="8"/>
      <c r="F447" s="8" t="s">
        <v>71</v>
      </c>
      <c r="G447" s="8" t="s">
        <v>3829</v>
      </c>
      <c r="H447" s="8" t="s">
        <v>79</v>
      </c>
      <c r="I447" s="8" t="s">
        <v>208</v>
      </c>
      <c r="J447" s="8" t="n">
        <v>2</v>
      </c>
      <c r="K447" s="8" t="n">
        <v>3</v>
      </c>
      <c r="L447" s="18" t="n">
        <f aca="false">INDEX('All Items'!$Q:$Q,MATCH($A447,'All Items'!$A:$A,0))</f>
        <v>6.65</v>
      </c>
      <c r="M447" s="8" t="s">
        <v>1618</v>
      </c>
      <c r="N447" s="8" t="s">
        <v>4378</v>
      </c>
      <c r="O447" s="8" t="s">
        <v>4359</v>
      </c>
      <c r="P447" s="8" t="s">
        <v>3614</v>
      </c>
      <c r="Q447" s="8" t="s">
        <v>3984</v>
      </c>
      <c r="R447" s="8" t="s">
        <v>4379</v>
      </c>
      <c r="S447" s="19" t="s">
        <v>4380</v>
      </c>
      <c r="T447" s="8" t="s">
        <v>4381</v>
      </c>
      <c r="U447" s="8"/>
      <c r="V447" s="8" t="n">
        <f aca="false">COUNTA(M447:R447)</f>
        <v>6</v>
      </c>
      <c r="W447" s="8" t="s">
        <v>218</v>
      </c>
      <c r="X447" s="8" t="s">
        <v>259</v>
      </c>
      <c r="Y447" s="8" t="s">
        <v>218</v>
      </c>
      <c r="Z447" s="8"/>
      <c r="AA447" s="8" t="s">
        <v>4382</v>
      </c>
      <c r="AB447" s="20"/>
      <c r="AC447" s="20"/>
      <c r="AD447" s="20"/>
      <c r="AE447" s="8" t="s">
        <v>237</v>
      </c>
      <c r="AF447" s="8" t="s">
        <v>224</v>
      </c>
    </row>
    <row r="448" customFormat="false" ht="15" hidden="false" customHeight="false" outlineLevel="0" collapsed="false">
      <c r="A448" s="8" t="s">
        <v>4383</v>
      </c>
      <c r="B448" s="8" t="s">
        <v>4384</v>
      </c>
      <c r="C448" s="8"/>
      <c r="D448" s="8" t="s">
        <v>4325</v>
      </c>
      <c r="E448" s="8"/>
      <c r="F448" s="8" t="s">
        <v>71</v>
      </c>
      <c r="G448" s="8" t="s">
        <v>3829</v>
      </c>
      <c r="H448" s="8" t="s">
        <v>79</v>
      </c>
      <c r="I448" s="8" t="s">
        <v>208</v>
      </c>
      <c r="J448" s="8" t="n">
        <v>2</v>
      </c>
      <c r="K448" s="8" t="n">
        <v>3</v>
      </c>
      <c r="L448" s="18" t="n">
        <f aca="false">INDEX('All Items'!$Q:$Q,MATCH($A448,'All Items'!$A:$A,0))</f>
        <v>7.15</v>
      </c>
      <c r="M448" s="8" t="s">
        <v>4385</v>
      </c>
      <c r="N448" s="8" t="s">
        <v>4386</v>
      </c>
      <c r="O448" s="8" t="s">
        <v>4387</v>
      </c>
      <c r="P448" s="8" t="s">
        <v>4388</v>
      </c>
      <c r="Q448" s="8" t="s">
        <v>4389</v>
      </c>
      <c r="R448" s="8" t="s">
        <v>4337</v>
      </c>
      <c r="S448" s="19" t="s">
        <v>4390</v>
      </c>
      <c r="T448" s="8" t="s">
        <v>4388</v>
      </c>
      <c r="U448" s="8"/>
      <c r="V448" s="8" t="n">
        <f aca="false">COUNTA(M448:R448)</f>
        <v>6</v>
      </c>
      <c r="W448" s="8" t="s">
        <v>218</v>
      </c>
      <c r="X448" s="8" t="s">
        <v>259</v>
      </c>
      <c r="Y448" s="8" t="s">
        <v>218</v>
      </c>
      <c r="Z448" s="8"/>
      <c r="AA448" s="8" t="s">
        <v>4391</v>
      </c>
      <c r="AB448" s="20" t="s">
        <v>4392</v>
      </c>
      <c r="AC448" s="20" t="s">
        <v>527</v>
      </c>
      <c r="AD448" s="20" t="s">
        <v>4393</v>
      </c>
      <c r="AE448" s="8" t="s">
        <v>223</v>
      </c>
      <c r="AF448" s="8" t="s">
        <v>224</v>
      </c>
    </row>
    <row r="449" customFormat="false" ht="15" hidden="false" customHeight="false" outlineLevel="0" collapsed="false">
      <c r="A449" s="8" t="s">
        <v>4394</v>
      </c>
      <c r="B449" s="8" t="s">
        <v>4395</v>
      </c>
      <c r="C449" s="8"/>
      <c r="D449" s="8" t="s">
        <v>4325</v>
      </c>
      <c r="E449" s="8"/>
      <c r="F449" s="8" t="s">
        <v>71</v>
      </c>
      <c r="G449" s="8" t="s">
        <v>3829</v>
      </c>
      <c r="H449" s="8" t="s">
        <v>79</v>
      </c>
      <c r="I449" s="8" t="s">
        <v>208</v>
      </c>
      <c r="J449" s="8" t="n">
        <v>2</v>
      </c>
      <c r="K449" s="8" t="n">
        <v>3</v>
      </c>
      <c r="L449" s="18" t="n">
        <f aca="false">INDEX('All Items'!$Q:$Q,MATCH($A449,'All Items'!$A:$A,0))</f>
        <v>7.4</v>
      </c>
      <c r="M449" s="8" t="s">
        <v>3849</v>
      </c>
      <c r="N449" s="8" t="s">
        <v>412</v>
      </c>
      <c r="O449" s="8" t="s">
        <v>4165</v>
      </c>
      <c r="P449" s="8" t="s">
        <v>4396</v>
      </c>
      <c r="Q449" s="8" t="s">
        <v>4397</v>
      </c>
      <c r="R449" s="8" t="s">
        <v>4359</v>
      </c>
      <c r="S449" s="19" t="s">
        <v>4398</v>
      </c>
      <c r="T449" s="8" t="s">
        <v>4399</v>
      </c>
      <c r="U449" s="8"/>
      <c r="V449" s="8" t="n">
        <f aca="false">COUNTA(M449:R449)</f>
        <v>6</v>
      </c>
      <c r="W449" s="8" t="s">
        <v>218</v>
      </c>
      <c r="X449" s="8" t="s">
        <v>259</v>
      </c>
      <c r="Y449" s="8" t="s">
        <v>218</v>
      </c>
      <c r="Z449" s="8"/>
      <c r="AA449" s="8" t="s">
        <v>4400</v>
      </c>
      <c r="AB449" s="20"/>
      <c r="AC449" s="20"/>
      <c r="AD449" s="20"/>
      <c r="AE449" s="8" t="s">
        <v>237</v>
      </c>
      <c r="AF449" s="8" t="s">
        <v>224</v>
      </c>
    </row>
    <row r="450" customFormat="false" ht="15" hidden="false" customHeight="false" outlineLevel="0" collapsed="false">
      <c r="A450" s="8" t="s">
        <v>4401</v>
      </c>
      <c r="B450" s="8" t="s">
        <v>4402</v>
      </c>
      <c r="C450" s="8"/>
      <c r="D450" s="8" t="s">
        <v>4403</v>
      </c>
      <c r="E450" s="8"/>
      <c r="F450" s="8" t="s">
        <v>71</v>
      </c>
      <c r="G450" s="8" t="s">
        <v>3829</v>
      </c>
      <c r="H450" s="8" t="s">
        <v>80</v>
      </c>
      <c r="I450" s="8" t="s">
        <v>1030</v>
      </c>
      <c r="J450" s="8" t="n">
        <v>1</v>
      </c>
      <c r="K450" s="8" t="n">
        <v>3</v>
      </c>
      <c r="L450" s="18" t="n">
        <f aca="false">INDEX('All Items'!$Q:$Q,MATCH($A450,'All Items'!$A:$A,0))</f>
        <v>7.4</v>
      </c>
      <c r="M450" s="8" t="s">
        <v>3285</v>
      </c>
      <c r="N450" s="8" t="s">
        <v>345</v>
      </c>
      <c r="O450" s="8" t="s">
        <v>1031</v>
      </c>
      <c r="P450" s="8" t="s">
        <v>4404</v>
      </c>
      <c r="Q450" s="8" t="s">
        <v>4405</v>
      </c>
      <c r="R450" s="8" t="s">
        <v>4406</v>
      </c>
      <c r="S450" s="19" t="s">
        <v>4407</v>
      </c>
      <c r="T450" s="8" t="s">
        <v>4408</v>
      </c>
      <c r="U450" s="8"/>
      <c r="V450" s="8" t="n">
        <f aca="false">COUNTA(M450:R450)</f>
        <v>6</v>
      </c>
      <c r="W450" s="8" t="s">
        <v>218</v>
      </c>
      <c r="X450" s="8" t="s">
        <v>259</v>
      </c>
      <c r="Y450" s="8" t="s">
        <v>218</v>
      </c>
      <c r="Z450" s="8"/>
      <c r="AA450" s="8" t="s">
        <v>4409</v>
      </c>
      <c r="AB450" s="20" t="s">
        <v>4410</v>
      </c>
      <c r="AC450" s="20" t="s">
        <v>384</v>
      </c>
      <c r="AD450" s="20" t="s">
        <v>4411</v>
      </c>
      <c r="AE450" s="8" t="s">
        <v>223</v>
      </c>
      <c r="AF450" s="8" t="s">
        <v>224</v>
      </c>
    </row>
    <row r="451" customFormat="false" ht="15" hidden="false" customHeight="false" outlineLevel="0" collapsed="false">
      <c r="A451" s="8" t="s">
        <v>4412</v>
      </c>
      <c r="B451" s="8" t="s">
        <v>4413</v>
      </c>
      <c r="C451" s="8"/>
      <c r="D451" s="8" t="s">
        <v>4403</v>
      </c>
      <c r="E451" s="8"/>
      <c r="F451" s="8" t="s">
        <v>71</v>
      </c>
      <c r="G451" s="8" t="s">
        <v>3829</v>
      </c>
      <c r="H451" s="8" t="s">
        <v>78</v>
      </c>
      <c r="I451" s="8" t="s">
        <v>208</v>
      </c>
      <c r="J451" s="8" t="n">
        <v>2</v>
      </c>
      <c r="K451" s="8" t="n">
        <v>3</v>
      </c>
      <c r="L451" s="18" t="n">
        <f aca="false">INDEX('All Items'!$Q:$Q,MATCH($A451,'All Items'!$A:$A,0))</f>
        <v>7.4</v>
      </c>
      <c r="M451" s="8" t="s">
        <v>1313</v>
      </c>
      <c r="N451" s="8" t="s">
        <v>4414</v>
      </c>
      <c r="O451" s="8" t="s">
        <v>3906</v>
      </c>
      <c r="P451" s="8" t="s">
        <v>4415</v>
      </c>
      <c r="Q451" s="8" t="s">
        <v>4416</v>
      </c>
      <c r="R451" s="8" t="s">
        <v>4406</v>
      </c>
      <c r="S451" s="19" t="s">
        <v>4417</v>
      </c>
      <c r="T451" s="8" t="s">
        <v>4418</v>
      </c>
      <c r="U451" s="8"/>
      <c r="V451" s="8" t="n">
        <f aca="false">COUNTA(M451:R451)</f>
        <v>6</v>
      </c>
      <c r="W451" s="8" t="s">
        <v>218</v>
      </c>
      <c r="X451" s="8" t="s">
        <v>259</v>
      </c>
      <c r="Y451" s="8" t="s">
        <v>218</v>
      </c>
      <c r="Z451" s="8"/>
      <c r="AA451" s="8" t="s">
        <v>4419</v>
      </c>
      <c r="AB451" s="20"/>
      <c r="AC451" s="20"/>
      <c r="AD451" s="20"/>
      <c r="AE451" s="8" t="s">
        <v>237</v>
      </c>
      <c r="AF451" s="8" t="s">
        <v>224</v>
      </c>
    </row>
    <row r="452" customFormat="false" ht="15" hidden="false" customHeight="false" outlineLevel="0" collapsed="false">
      <c r="A452" s="8" t="s">
        <v>4420</v>
      </c>
      <c r="B452" s="8" t="s">
        <v>4421</v>
      </c>
      <c r="C452" s="8"/>
      <c r="D452" s="8" t="s">
        <v>4403</v>
      </c>
      <c r="E452" s="8"/>
      <c r="F452" s="8" t="s">
        <v>71</v>
      </c>
      <c r="G452" s="8" t="s">
        <v>3829</v>
      </c>
      <c r="H452" s="8" t="s">
        <v>78</v>
      </c>
      <c r="I452" s="8" t="s">
        <v>208</v>
      </c>
      <c r="J452" s="8" t="n">
        <v>2</v>
      </c>
      <c r="K452" s="8" t="n">
        <v>3</v>
      </c>
      <c r="L452" s="18" t="n">
        <f aca="false">INDEX('All Items'!$Q:$Q,MATCH($A452,'All Items'!$A:$A,0))</f>
        <v>7.4</v>
      </c>
      <c r="M452" s="8" t="s">
        <v>3277</v>
      </c>
      <c r="N452" s="8" t="s">
        <v>4216</v>
      </c>
      <c r="O452" s="8" t="s">
        <v>4422</v>
      </c>
      <c r="P452" s="8" t="s">
        <v>4423</v>
      </c>
      <c r="Q452" s="8" t="s">
        <v>4424</v>
      </c>
      <c r="R452" s="8" t="s">
        <v>4425</v>
      </c>
      <c r="S452" s="19" t="s">
        <v>4426</v>
      </c>
      <c r="T452" s="8" t="s">
        <v>4427</v>
      </c>
      <c r="U452" s="8"/>
      <c r="V452" s="8" t="n">
        <f aca="false">COUNTA(M452:R452)</f>
        <v>6</v>
      </c>
      <c r="W452" s="8" t="s">
        <v>218</v>
      </c>
      <c r="X452" s="8" t="s">
        <v>259</v>
      </c>
      <c r="Y452" s="8" t="s">
        <v>218</v>
      </c>
      <c r="Z452" s="8"/>
      <c r="AA452" s="8" t="s">
        <v>4428</v>
      </c>
      <c r="AB452" s="20" t="s">
        <v>4429</v>
      </c>
      <c r="AC452" s="20" t="s">
        <v>221</v>
      </c>
      <c r="AD452" s="20" t="s">
        <v>4430</v>
      </c>
      <c r="AE452" s="8" t="s">
        <v>223</v>
      </c>
      <c r="AF452" s="8" t="s">
        <v>224</v>
      </c>
    </row>
    <row r="453" customFormat="false" ht="15" hidden="false" customHeight="false" outlineLevel="0" collapsed="false">
      <c r="A453" s="8" t="s">
        <v>4431</v>
      </c>
      <c r="B453" s="8" t="s">
        <v>4432</v>
      </c>
      <c r="C453" s="8"/>
      <c r="D453" s="8" t="s">
        <v>4403</v>
      </c>
      <c r="E453" s="8"/>
      <c r="F453" s="8" t="s">
        <v>71</v>
      </c>
      <c r="G453" s="8" t="s">
        <v>3829</v>
      </c>
      <c r="H453" s="8" t="s">
        <v>83</v>
      </c>
      <c r="I453" s="8" t="s">
        <v>208</v>
      </c>
      <c r="J453" s="8" t="n">
        <v>2</v>
      </c>
      <c r="K453" s="8" t="n">
        <v>3</v>
      </c>
      <c r="L453" s="18" t="n">
        <f aca="false">INDEX('All Items'!$Q:$Q,MATCH($A453,'All Items'!$A:$A,0))</f>
        <v>6.9</v>
      </c>
      <c r="M453" s="8" t="s">
        <v>251</v>
      </c>
      <c r="N453" s="8" t="s">
        <v>4433</v>
      </c>
      <c r="O453" s="8" t="s">
        <v>4434</v>
      </c>
      <c r="P453" s="8" t="s">
        <v>4435</v>
      </c>
      <c r="Q453" s="8" t="s">
        <v>4436</v>
      </c>
      <c r="R453" s="8"/>
      <c r="S453" s="19" t="s">
        <v>4437</v>
      </c>
      <c r="T453" s="8" t="s">
        <v>4438</v>
      </c>
      <c r="U453" s="8"/>
      <c r="V453" s="8" t="n">
        <f aca="false">COUNTA(M453:R453)</f>
        <v>5</v>
      </c>
      <c r="W453" s="8" t="s">
        <v>218</v>
      </c>
      <c r="X453" s="8" t="s">
        <v>259</v>
      </c>
      <c r="Y453" s="8" t="s">
        <v>218</v>
      </c>
      <c r="Z453" s="8"/>
      <c r="AA453" s="8" t="s">
        <v>4439</v>
      </c>
      <c r="AB453" s="20"/>
      <c r="AC453" s="20"/>
      <c r="AD453" s="20"/>
      <c r="AE453" s="8" t="s">
        <v>237</v>
      </c>
      <c r="AF453" s="8" t="s">
        <v>224</v>
      </c>
    </row>
    <row r="454" customFormat="false" ht="15" hidden="false" customHeight="false" outlineLevel="0" collapsed="false">
      <c r="A454" s="8" t="s">
        <v>4440</v>
      </c>
      <c r="B454" s="8" t="s">
        <v>4441</v>
      </c>
      <c r="C454" s="8"/>
      <c r="D454" s="8" t="s">
        <v>4403</v>
      </c>
      <c r="E454" s="8"/>
      <c r="F454" s="8" t="s">
        <v>71</v>
      </c>
      <c r="G454" s="8" t="s">
        <v>3829</v>
      </c>
      <c r="H454" s="8" t="s">
        <v>78</v>
      </c>
      <c r="I454" s="8" t="s">
        <v>208</v>
      </c>
      <c r="J454" s="8" t="n">
        <v>2</v>
      </c>
      <c r="K454" s="8" t="n">
        <v>4</v>
      </c>
      <c r="L454" s="18" t="n">
        <f aca="false">INDEX('All Items'!$Q:$Q,MATCH($A454,'All Items'!$A:$A,0))</f>
        <v>8.45</v>
      </c>
      <c r="M454" s="8" t="s">
        <v>442</v>
      </c>
      <c r="N454" s="8" t="s">
        <v>4355</v>
      </c>
      <c r="O454" s="8" t="s">
        <v>4442</v>
      </c>
      <c r="P454" s="8" t="s">
        <v>4436</v>
      </c>
      <c r="Q454" s="8" t="s">
        <v>378</v>
      </c>
      <c r="R454" s="8"/>
      <c r="S454" s="19" t="s">
        <v>4443</v>
      </c>
      <c r="T454" s="8" t="s">
        <v>4444</v>
      </c>
      <c r="U454" s="8" t="s">
        <v>378</v>
      </c>
      <c r="V454" s="8" t="n">
        <f aca="false">COUNTA(M454:R454)</f>
        <v>5</v>
      </c>
      <c r="W454" s="8" t="s">
        <v>218</v>
      </c>
      <c r="X454" s="8" t="s">
        <v>259</v>
      </c>
      <c r="Y454" s="8" t="s">
        <v>218</v>
      </c>
      <c r="Z454" s="8"/>
      <c r="AA454" s="8" t="s">
        <v>4445</v>
      </c>
      <c r="AB454" s="20"/>
      <c r="AC454" s="20"/>
      <c r="AD454" s="20"/>
      <c r="AE454" s="8" t="s">
        <v>237</v>
      </c>
      <c r="AF454" s="8" t="s">
        <v>224</v>
      </c>
    </row>
    <row r="455" customFormat="false" ht="15" hidden="false" customHeight="false" outlineLevel="0" collapsed="false">
      <c r="A455" s="8" t="s">
        <v>4446</v>
      </c>
      <c r="B455" s="8" t="s">
        <v>4447</v>
      </c>
      <c r="C455" s="8"/>
      <c r="D455" s="8" t="s">
        <v>4448</v>
      </c>
      <c r="E455" s="8"/>
      <c r="F455" s="8" t="s">
        <v>71</v>
      </c>
      <c r="G455" s="8" t="s">
        <v>4449</v>
      </c>
      <c r="H455" s="8" t="s">
        <v>78</v>
      </c>
      <c r="I455" s="8" t="s">
        <v>208</v>
      </c>
      <c r="J455" s="8" t="n">
        <v>1</v>
      </c>
      <c r="K455" s="8" t="n">
        <v>5</v>
      </c>
      <c r="L455" s="18" t="n">
        <f aca="false">INDEX('All Items'!$Q:$Q,MATCH($A455,'All Items'!$A:$A,0))</f>
        <v>10</v>
      </c>
      <c r="M455" s="8" t="s">
        <v>4450</v>
      </c>
      <c r="N455" s="8" t="s">
        <v>4451</v>
      </c>
      <c r="O455" s="8" t="s">
        <v>4452</v>
      </c>
      <c r="P455" s="8" t="s">
        <v>4453</v>
      </c>
      <c r="Q455" s="8" t="s">
        <v>4454</v>
      </c>
      <c r="R455" s="8" t="s">
        <v>4455</v>
      </c>
      <c r="S455" s="19" t="s">
        <v>4456</v>
      </c>
      <c r="T455" s="8" t="s">
        <v>4457</v>
      </c>
      <c r="U455" s="8" t="s">
        <v>4458</v>
      </c>
      <c r="V455" s="8" t="n">
        <f aca="false">COUNTA(M455:R455)</f>
        <v>6</v>
      </c>
      <c r="W455" s="8" t="s">
        <v>218</v>
      </c>
      <c r="X455" s="8" t="s">
        <v>259</v>
      </c>
      <c r="Y455" s="8" t="s">
        <v>218</v>
      </c>
      <c r="Z455" s="8"/>
      <c r="AA455" s="8" t="s">
        <v>4459</v>
      </c>
      <c r="AB455" s="20" t="s">
        <v>4460</v>
      </c>
      <c r="AC455" s="20" t="s">
        <v>221</v>
      </c>
      <c r="AD455" s="20" t="s">
        <v>4461</v>
      </c>
      <c r="AE455" s="8" t="s">
        <v>223</v>
      </c>
      <c r="AF455" s="8" t="s">
        <v>224</v>
      </c>
    </row>
    <row r="456" customFormat="false" ht="15" hidden="false" customHeight="false" outlineLevel="0" collapsed="false">
      <c r="A456" s="8" t="s">
        <v>4462</v>
      </c>
      <c r="B456" s="8" t="s">
        <v>4463</v>
      </c>
      <c r="C456" s="8"/>
      <c r="D456" s="8" t="s">
        <v>4448</v>
      </c>
      <c r="E456" s="8"/>
      <c r="F456" s="8" t="s">
        <v>71</v>
      </c>
      <c r="G456" s="8" t="s">
        <v>4449</v>
      </c>
      <c r="H456" s="8" t="s">
        <v>82</v>
      </c>
      <c r="I456" s="8" t="s">
        <v>208</v>
      </c>
      <c r="J456" s="8" t="n">
        <v>1</v>
      </c>
      <c r="K456" s="8" t="n">
        <v>4</v>
      </c>
      <c r="L456" s="18" t="n">
        <f aca="false">INDEX('All Items'!$Q:$Q,MATCH($A456,'All Items'!$A:$A,0))</f>
        <v>8.7</v>
      </c>
      <c r="M456" s="8" t="s">
        <v>2593</v>
      </c>
      <c r="N456" s="8" t="s">
        <v>4464</v>
      </c>
      <c r="O456" s="8" t="s">
        <v>3277</v>
      </c>
      <c r="P456" s="8" t="s">
        <v>4152</v>
      </c>
      <c r="Q456" s="8" t="s">
        <v>3138</v>
      </c>
      <c r="R456" s="8" t="s">
        <v>4465</v>
      </c>
      <c r="S456" s="19" t="s">
        <v>4466</v>
      </c>
      <c r="T456" s="8" t="s">
        <v>4467</v>
      </c>
      <c r="U456" s="8"/>
      <c r="V456" s="8" t="n">
        <f aca="false">COUNTA(M456:R456)</f>
        <v>6</v>
      </c>
      <c r="W456" s="8" t="s">
        <v>218</v>
      </c>
      <c r="X456" s="8" t="s">
        <v>259</v>
      </c>
      <c r="Y456" s="8" t="s">
        <v>218</v>
      </c>
      <c r="Z456" s="8"/>
      <c r="AA456" s="8" t="s">
        <v>4468</v>
      </c>
      <c r="AB456" s="20"/>
      <c r="AC456" s="20"/>
      <c r="AD456" s="20"/>
      <c r="AE456" s="8" t="s">
        <v>237</v>
      </c>
      <c r="AF456" s="8" t="s">
        <v>224</v>
      </c>
    </row>
    <row r="457" customFormat="false" ht="15" hidden="false" customHeight="false" outlineLevel="0" collapsed="false">
      <c r="A457" s="8" t="s">
        <v>4469</v>
      </c>
      <c r="B457" s="8" t="s">
        <v>4470</v>
      </c>
      <c r="C457" s="8"/>
      <c r="D457" s="8" t="s">
        <v>4448</v>
      </c>
      <c r="E457" s="8"/>
      <c r="F457" s="8" t="s">
        <v>71</v>
      </c>
      <c r="G457" s="8" t="s">
        <v>4449</v>
      </c>
      <c r="H457" s="8" t="s">
        <v>78</v>
      </c>
      <c r="I457" s="8" t="s">
        <v>208</v>
      </c>
      <c r="J457" s="8" t="n">
        <v>1</v>
      </c>
      <c r="K457" s="8" t="n">
        <v>4</v>
      </c>
      <c r="L457" s="18" t="n">
        <f aca="false">INDEX('All Items'!$Q:$Q,MATCH($A457,'All Items'!$A:$A,0))</f>
        <v>8.7</v>
      </c>
      <c r="M457" s="8" t="s">
        <v>1934</v>
      </c>
      <c r="N457" s="8" t="s">
        <v>4471</v>
      </c>
      <c r="O457" s="8" t="s">
        <v>4472</v>
      </c>
      <c r="P457" s="8" t="s">
        <v>4473</v>
      </c>
      <c r="Q457" s="8" t="s">
        <v>4474</v>
      </c>
      <c r="R457" s="8" t="s">
        <v>4465</v>
      </c>
      <c r="S457" s="19" t="s">
        <v>4475</v>
      </c>
      <c r="T457" s="8" t="s">
        <v>4476</v>
      </c>
      <c r="U457" s="8" t="s">
        <v>4474</v>
      </c>
      <c r="V457" s="8" t="n">
        <f aca="false">COUNTA(M457:R457)</f>
        <v>6</v>
      </c>
      <c r="W457" s="8" t="s">
        <v>218</v>
      </c>
      <c r="X457" s="8" t="s">
        <v>259</v>
      </c>
      <c r="Y457" s="8" t="s">
        <v>218</v>
      </c>
      <c r="Z457" s="8"/>
      <c r="AA457" s="8" t="s">
        <v>4477</v>
      </c>
      <c r="AB457" s="20"/>
      <c r="AC457" s="20"/>
      <c r="AD457" s="20"/>
      <c r="AE457" s="8" t="s">
        <v>237</v>
      </c>
      <c r="AF457" s="8" t="s">
        <v>224</v>
      </c>
    </row>
    <row r="458" customFormat="false" ht="15" hidden="false" customHeight="false" outlineLevel="0" collapsed="false">
      <c r="A458" s="8" t="s">
        <v>4478</v>
      </c>
      <c r="B458" s="8" t="s">
        <v>4479</v>
      </c>
      <c r="C458" s="8"/>
      <c r="D458" s="8" t="s">
        <v>4448</v>
      </c>
      <c r="E458" s="8"/>
      <c r="F458" s="8" t="s">
        <v>71</v>
      </c>
      <c r="G458" s="8" t="s">
        <v>4449</v>
      </c>
      <c r="H458" s="8" t="s">
        <v>78</v>
      </c>
      <c r="I458" s="8" t="s">
        <v>208</v>
      </c>
      <c r="J458" s="8" t="n">
        <v>1</v>
      </c>
      <c r="K458" s="8" t="n">
        <v>3</v>
      </c>
      <c r="L458" s="18" t="n">
        <f aca="false">INDEX('All Items'!$Q:$Q,MATCH($A458,'All Items'!$A:$A,0))</f>
        <v>7.4</v>
      </c>
      <c r="M458" s="8" t="s">
        <v>4471</v>
      </c>
      <c r="N458" s="8" t="s">
        <v>4480</v>
      </c>
      <c r="O458" s="8" t="s">
        <v>4481</v>
      </c>
      <c r="P458" s="8" t="s">
        <v>4465</v>
      </c>
      <c r="Q458" s="8" t="s">
        <v>4482</v>
      </c>
      <c r="R458" s="8" t="s">
        <v>4483</v>
      </c>
      <c r="S458" s="19" t="s">
        <v>4484</v>
      </c>
      <c r="T458" s="8" t="s">
        <v>4485</v>
      </c>
      <c r="U458" s="8" t="s">
        <v>4486</v>
      </c>
      <c r="V458" s="8" t="n">
        <f aca="false">COUNTA(M458:R458)</f>
        <v>6</v>
      </c>
      <c r="W458" s="8" t="s">
        <v>218</v>
      </c>
      <c r="X458" s="8" t="s">
        <v>259</v>
      </c>
      <c r="Y458" s="8" t="s">
        <v>218</v>
      </c>
      <c r="Z458" s="8"/>
      <c r="AA458" s="8" t="s">
        <v>4487</v>
      </c>
      <c r="AB458" s="20" t="s">
        <v>4488</v>
      </c>
      <c r="AC458" s="20" t="s">
        <v>221</v>
      </c>
      <c r="AD458" s="20" t="s">
        <v>4489</v>
      </c>
      <c r="AE458" s="8" t="s">
        <v>223</v>
      </c>
      <c r="AF458" s="8" t="s">
        <v>224</v>
      </c>
    </row>
    <row r="459" customFormat="false" ht="15" hidden="false" customHeight="false" outlineLevel="0" collapsed="false">
      <c r="A459" s="8" t="s">
        <v>4490</v>
      </c>
      <c r="B459" s="8" t="s">
        <v>4491</v>
      </c>
      <c r="C459" s="8"/>
      <c r="D459" s="8" t="s">
        <v>4448</v>
      </c>
      <c r="E459" s="8"/>
      <c r="F459" s="8" t="s">
        <v>71</v>
      </c>
      <c r="G459" s="8" t="s">
        <v>4449</v>
      </c>
      <c r="H459" s="8" t="s">
        <v>78</v>
      </c>
      <c r="I459" s="8" t="s">
        <v>208</v>
      </c>
      <c r="J459" s="8" t="n">
        <v>2</v>
      </c>
      <c r="K459" s="8" t="n">
        <v>4</v>
      </c>
      <c r="L459" s="18" t="n">
        <f aca="false">INDEX('All Items'!$Q:$Q,MATCH($A459,'All Items'!$A:$A,0))</f>
        <v>8.7</v>
      </c>
      <c r="M459" s="8" t="s">
        <v>4492</v>
      </c>
      <c r="N459" s="8" t="s">
        <v>1669</v>
      </c>
      <c r="O459" s="8" t="s">
        <v>4404</v>
      </c>
      <c r="P459" s="8" t="s">
        <v>4493</v>
      </c>
      <c r="Q459" s="8" t="s">
        <v>4465</v>
      </c>
      <c r="R459" s="8" t="s">
        <v>4494</v>
      </c>
      <c r="S459" s="19" t="s">
        <v>4495</v>
      </c>
      <c r="T459" s="8" t="s">
        <v>4496</v>
      </c>
      <c r="U459" s="8" t="s">
        <v>4497</v>
      </c>
      <c r="V459" s="8" t="n">
        <f aca="false">COUNTA(M459:R459)</f>
        <v>6</v>
      </c>
      <c r="W459" s="8" t="s">
        <v>218</v>
      </c>
      <c r="X459" s="8" t="s">
        <v>259</v>
      </c>
      <c r="Y459" s="8" t="s">
        <v>218</v>
      </c>
      <c r="Z459" s="8"/>
      <c r="AA459" s="8" t="s">
        <v>4498</v>
      </c>
      <c r="AB459" s="20" t="s">
        <v>4499</v>
      </c>
      <c r="AC459" s="20" t="s">
        <v>221</v>
      </c>
      <c r="AD459" s="20" t="s">
        <v>4500</v>
      </c>
      <c r="AE459" s="8" t="s">
        <v>223</v>
      </c>
      <c r="AF459" s="8" t="s">
        <v>224</v>
      </c>
    </row>
    <row r="460" customFormat="false" ht="15" hidden="false" customHeight="false" outlineLevel="0" collapsed="false">
      <c r="A460" s="8" t="s">
        <v>4501</v>
      </c>
      <c r="B460" s="8" t="s">
        <v>4502</v>
      </c>
      <c r="C460" s="8"/>
      <c r="D460" s="8" t="s">
        <v>4448</v>
      </c>
      <c r="E460" s="8"/>
      <c r="F460" s="8" t="s">
        <v>71</v>
      </c>
      <c r="G460" s="8" t="s">
        <v>4449</v>
      </c>
      <c r="H460" s="8" t="s">
        <v>78</v>
      </c>
      <c r="I460" s="8" t="s">
        <v>208</v>
      </c>
      <c r="J460" s="8" t="n">
        <v>2</v>
      </c>
      <c r="K460" s="8" t="n">
        <v>3</v>
      </c>
      <c r="L460" s="18" t="n">
        <f aca="false">INDEX('All Items'!$Q:$Q,MATCH($A460,'All Items'!$A:$A,0))</f>
        <v>7.4</v>
      </c>
      <c r="M460" s="8" t="s">
        <v>214</v>
      </c>
      <c r="N460" s="8" t="s">
        <v>4503</v>
      </c>
      <c r="O460" s="8" t="s">
        <v>1934</v>
      </c>
      <c r="P460" s="8" t="s">
        <v>4504</v>
      </c>
      <c r="Q460" s="8" t="s">
        <v>3277</v>
      </c>
      <c r="R460" s="8" t="s">
        <v>4505</v>
      </c>
      <c r="S460" s="19" t="s">
        <v>4506</v>
      </c>
      <c r="T460" s="8" t="s">
        <v>4507</v>
      </c>
      <c r="U460" s="8"/>
      <c r="V460" s="8" t="n">
        <f aca="false">COUNTA(M460:R460)</f>
        <v>6</v>
      </c>
      <c r="W460" s="8" t="s">
        <v>218</v>
      </c>
      <c r="X460" s="8" t="s">
        <v>259</v>
      </c>
      <c r="Y460" s="8" t="s">
        <v>218</v>
      </c>
      <c r="Z460" s="8"/>
      <c r="AA460" s="8" t="s">
        <v>4508</v>
      </c>
      <c r="AB460" s="20"/>
      <c r="AC460" s="20"/>
      <c r="AD460" s="20"/>
      <c r="AE460" s="8" t="s">
        <v>237</v>
      </c>
      <c r="AF460" s="8" t="s">
        <v>224</v>
      </c>
    </row>
    <row r="461" customFormat="false" ht="15" hidden="false" customHeight="false" outlineLevel="0" collapsed="false">
      <c r="A461" s="8" t="s">
        <v>4509</v>
      </c>
      <c r="B461" s="8" t="s">
        <v>4510</v>
      </c>
      <c r="C461" s="8"/>
      <c r="D461" s="8" t="s">
        <v>4448</v>
      </c>
      <c r="E461" s="8"/>
      <c r="F461" s="8" t="s">
        <v>71</v>
      </c>
      <c r="G461" s="8" t="s">
        <v>4449</v>
      </c>
      <c r="H461" s="8" t="s">
        <v>79</v>
      </c>
      <c r="I461" s="8" t="s">
        <v>208</v>
      </c>
      <c r="J461" s="8" t="n">
        <v>2</v>
      </c>
      <c r="K461" s="8" t="n">
        <v>3</v>
      </c>
      <c r="L461" s="18" t="n">
        <f aca="false">INDEX('All Items'!$Q:$Q,MATCH($A461,'All Items'!$A:$A,0))</f>
        <v>7.15</v>
      </c>
      <c r="M461" s="8" t="s">
        <v>251</v>
      </c>
      <c r="N461" s="8" t="s">
        <v>4511</v>
      </c>
      <c r="O461" s="8" t="s">
        <v>4512</v>
      </c>
      <c r="P461" s="8" t="s">
        <v>1307</v>
      </c>
      <c r="Q461" s="8" t="s">
        <v>4513</v>
      </c>
      <c r="R461" s="8"/>
      <c r="S461" s="19" t="s">
        <v>4514</v>
      </c>
      <c r="T461" s="8" t="s">
        <v>4515</v>
      </c>
      <c r="U461" s="8"/>
      <c r="V461" s="8" t="n">
        <f aca="false">COUNTA(M461:R461)</f>
        <v>5</v>
      </c>
      <c r="W461" s="8" t="s">
        <v>218</v>
      </c>
      <c r="X461" s="8" t="s">
        <v>259</v>
      </c>
      <c r="Y461" s="8" t="s">
        <v>218</v>
      </c>
      <c r="Z461" s="8"/>
      <c r="AA461" s="8" t="s">
        <v>4516</v>
      </c>
      <c r="AB461" s="20"/>
      <c r="AC461" s="20"/>
      <c r="AD461" s="20"/>
      <c r="AE461" s="8" t="s">
        <v>237</v>
      </c>
      <c r="AF461" s="8" t="s">
        <v>224</v>
      </c>
    </row>
    <row r="462" customFormat="false" ht="15" hidden="false" customHeight="false" outlineLevel="0" collapsed="false">
      <c r="A462" s="8" t="s">
        <v>4517</v>
      </c>
      <c r="B462" s="8" t="s">
        <v>4518</v>
      </c>
      <c r="C462" s="8"/>
      <c r="D462" s="8" t="s">
        <v>4448</v>
      </c>
      <c r="E462" s="8"/>
      <c r="F462" s="8" t="s">
        <v>71</v>
      </c>
      <c r="G462" s="8" t="s">
        <v>4449</v>
      </c>
      <c r="H462" s="8" t="s">
        <v>79</v>
      </c>
      <c r="I462" s="8" t="s">
        <v>208</v>
      </c>
      <c r="J462" s="8" t="n">
        <v>2</v>
      </c>
      <c r="K462" s="8" t="n">
        <v>3</v>
      </c>
      <c r="L462" s="18" t="n">
        <f aca="false">INDEX('All Items'!$Q:$Q,MATCH($A462,'All Items'!$A:$A,0))</f>
        <v>7.15</v>
      </c>
      <c r="M462" s="8" t="s">
        <v>412</v>
      </c>
      <c r="N462" s="8" t="s">
        <v>4519</v>
      </c>
      <c r="O462" s="8" t="s">
        <v>477</v>
      </c>
      <c r="P462" s="8" t="s">
        <v>4520</v>
      </c>
      <c r="Q462" s="8" t="s">
        <v>2009</v>
      </c>
      <c r="R462" s="8"/>
      <c r="S462" s="19" t="s">
        <v>4521</v>
      </c>
      <c r="T462" s="8" t="s">
        <v>4522</v>
      </c>
      <c r="U462" s="8" t="s">
        <v>2009</v>
      </c>
      <c r="V462" s="8" t="n">
        <f aca="false">COUNTA(M462:R462)</f>
        <v>5</v>
      </c>
      <c r="W462" s="8" t="s">
        <v>218</v>
      </c>
      <c r="X462" s="8" t="s">
        <v>259</v>
      </c>
      <c r="Y462" s="8" t="s">
        <v>218</v>
      </c>
      <c r="Z462" s="8"/>
      <c r="AA462" s="8" t="s">
        <v>4523</v>
      </c>
      <c r="AB462" s="20" t="s">
        <v>4524</v>
      </c>
      <c r="AC462" s="20" t="s">
        <v>516</v>
      </c>
      <c r="AD462" s="20" t="s">
        <v>4525</v>
      </c>
      <c r="AE462" s="8" t="s">
        <v>223</v>
      </c>
      <c r="AF462" s="8" t="s">
        <v>224</v>
      </c>
    </row>
    <row r="463" customFormat="false" ht="15" hidden="false" customHeight="false" outlineLevel="0" collapsed="false">
      <c r="A463" s="8" t="s">
        <v>4526</v>
      </c>
      <c r="B463" s="8" t="s">
        <v>4527</v>
      </c>
      <c r="C463" s="8"/>
      <c r="D463" s="8" t="s">
        <v>4448</v>
      </c>
      <c r="E463" s="8"/>
      <c r="F463" s="8" t="s">
        <v>71</v>
      </c>
      <c r="G463" s="8" t="s">
        <v>4449</v>
      </c>
      <c r="H463" s="8" t="s">
        <v>80</v>
      </c>
      <c r="I463" s="8" t="s">
        <v>1030</v>
      </c>
      <c r="J463" s="8" t="n">
        <v>2</v>
      </c>
      <c r="K463" s="8" t="n">
        <v>3</v>
      </c>
      <c r="L463" s="18" t="n">
        <f aca="false">INDEX('All Items'!$Q:$Q,MATCH($A463,'All Items'!$A:$A,0))</f>
        <v>7.15</v>
      </c>
      <c r="M463" s="8" t="s">
        <v>214</v>
      </c>
      <c r="N463" s="8" t="s">
        <v>4528</v>
      </c>
      <c r="O463" s="8" t="s">
        <v>2239</v>
      </c>
      <c r="P463" s="8" t="s">
        <v>4529</v>
      </c>
      <c r="Q463" s="8" t="s">
        <v>4465</v>
      </c>
      <c r="R463" s="8" t="s">
        <v>4530</v>
      </c>
      <c r="S463" s="19" t="s">
        <v>4531</v>
      </c>
      <c r="T463" s="8" t="s">
        <v>4532</v>
      </c>
      <c r="U463" s="8" t="s">
        <v>4530</v>
      </c>
      <c r="V463" s="8" t="n">
        <f aca="false">COUNTA(M463:R463)</f>
        <v>6</v>
      </c>
      <c r="W463" s="8" t="s">
        <v>218</v>
      </c>
      <c r="X463" s="8" t="s">
        <v>259</v>
      </c>
      <c r="Y463" s="8" t="s">
        <v>218</v>
      </c>
      <c r="Z463" s="8"/>
      <c r="AA463" s="8" t="s">
        <v>4533</v>
      </c>
      <c r="AB463" s="20"/>
      <c r="AC463" s="20"/>
      <c r="AD463" s="20"/>
      <c r="AE463" s="8" t="s">
        <v>237</v>
      </c>
      <c r="AF463" s="8" t="s">
        <v>224</v>
      </c>
    </row>
    <row r="464" customFormat="false" ht="15" hidden="false" customHeight="false" outlineLevel="0" collapsed="false">
      <c r="A464" s="8" t="s">
        <v>4534</v>
      </c>
      <c r="B464" s="8" t="s">
        <v>4535</v>
      </c>
      <c r="C464" s="8"/>
      <c r="D464" s="8" t="s">
        <v>4448</v>
      </c>
      <c r="E464" s="8"/>
      <c r="F464" s="8" t="s">
        <v>71</v>
      </c>
      <c r="G464" s="8" t="s">
        <v>4449</v>
      </c>
      <c r="H464" s="8" t="s">
        <v>80</v>
      </c>
      <c r="I464" s="8" t="s">
        <v>227</v>
      </c>
      <c r="J464" s="8" t="n">
        <v>1</v>
      </c>
      <c r="K464" s="8" t="n">
        <v>4</v>
      </c>
      <c r="L464" s="18" t="n">
        <f aca="false">INDEX('All Items'!$Q:$Q,MATCH($A464,'All Items'!$A:$A,0))</f>
        <v>8.45</v>
      </c>
      <c r="M464" s="8" t="s">
        <v>1363</v>
      </c>
      <c r="N464" s="8" t="s">
        <v>214</v>
      </c>
      <c r="O464" s="8" t="s">
        <v>4536</v>
      </c>
      <c r="P464" s="8" t="s">
        <v>4537</v>
      </c>
      <c r="Q464" s="8" t="s">
        <v>4538</v>
      </c>
      <c r="R464" s="8" t="s">
        <v>4465</v>
      </c>
      <c r="S464" s="19" t="s">
        <v>4539</v>
      </c>
      <c r="T464" s="8" t="s">
        <v>4540</v>
      </c>
      <c r="U464" s="8"/>
      <c r="V464" s="8" t="n">
        <f aca="false">COUNTA(M464:R464)</f>
        <v>6</v>
      </c>
      <c r="W464" s="8" t="s">
        <v>218</v>
      </c>
      <c r="X464" s="8" t="s">
        <v>259</v>
      </c>
      <c r="Y464" s="8" t="s">
        <v>218</v>
      </c>
      <c r="Z464" s="8"/>
      <c r="AA464" s="8" t="s">
        <v>4541</v>
      </c>
      <c r="AB464" s="20"/>
      <c r="AC464" s="20"/>
      <c r="AD464" s="20"/>
      <c r="AE464" s="8" t="s">
        <v>237</v>
      </c>
      <c r="AF464" s="8" t="s">
        <v>224</v>
      </c>
    </row>
    <row r="465" customFormat="false" ht="15" hidden="false" customHeight="false" outlineLevel="0" collapsed="false">
      <c r="A465" s="8" t="s">
        <v>4542</v>
      </c>
      <c r="B465" s="8" t="s">
        <v>4543</v>
      </c>
      <c r="C465" s="8"/>
      <c r="D465" s="8" t="s">
        <v>4448</v>
      </c>
      <c r="E465" s="8"/>
      <c r="F465" s="8" t="s">
        <v>71</v>
      </c>
      <c r="G465" s="8" t="s">
        <v>4449</v>
      </c>
      <c r="H465" s="8" t="s">
        <v>80</v>
      </c>
      <c r="I465" s="8" t="s">
        <v>1030</v>
      </c>
      <c r="J465" s="8" t="n">
        <v>2</v>
      </c>
      <c r="K465" s="8" t="n">
        <v>3</v>
      </c>
      <c r="L465" s="18" t="n">
        <f aca="false">INDEX('All Items'!$Q:$Q,MATCH($A465,'All Items'!$A:$A,0))</f>
        <v>7.4</v>
      </c>
      <c r="M465" s="8" t="s">
        <v>3294</v>
      </c>
      <c r="N465" s="8" t="s">
        <v>4544</v>
      </c>
      <c r="O465" s="8" t="s">
        <v>4528</v>
      </c>
      <c r="P465" s="8" t="s">
        <v>4545</v>
      </c>
      <c r="Q465" s="8" t="s">
        <v>4546</v>
      </c>
      <c r="R465" s="8" t="s">
        <v>4465</v>
      </c>
      <c r="S465" s="19" t="s">
        <v>4547</v>
      </c>
      <c r="T465" s="8" t="s">
        <v>4548</v>
      </c>
      <c r="U465" s="8"/>
      <c r="V465" s="8" t="n">
        <f aca="false">COUNTA(M465:R465)</f>
        <v>6</v>
      </c>
      <c r="W465" s="8" t="s">
        <v>218</v>
      </c>
      <c r="X465" s="8" t="s">
        <v>259</v>
      </c>
      <c r="Y465" s="8" t="s">
        <v>218</v>
      </c>
      <c r="Z465" s="8"/>
      <c r="AA465" s="8" t="s">
        <v>4549</v>
      </c>
      <c r="AB465" s="20"/>
      <c r="AC465" s="20"/>
      <c r="AD465" s="20"/>
      <c r="AE465" s="8" t="s">
        <v>237</v>
      </c>
      <c r="AF465" s="8" t="s">
        <v>224</v>
      </c>
    </row>
    <row r="466" customFormat="false" ht="15" hidden="false" customHeight="false" outlineLevel="0" collapsed="false">
      <c r="A466" s="8" t="s">
        <v>4550</v>
      </c>
      <c r="B466" s="8" t="s">
        <v>4551</v>
      </c>
      <c r="C466" s="8"/>
      <c r="D466" s="8" t="s">
        <v>4448</v>
      </c>
      <c r="E466" s="8"/>
      <c r="F466" s="8" t="s">
        <v>71</v>
      </c>
      <c r="G466" s="8" t="s">
        <v>4449</v>
      </c>
      <c r="H466" s="8" t="s">
        <v>80</v>
      </c>
      <c r="I466" s="8" t="s">
        <v>1030</v>
      </c>
      <c r="J466" s="8" t="n">
        <v>2</v>
      </c>
      <c r="K466" s="8" t="n">
        <v>3</v>
      </c>
      <c r="L466" s="18" t="n">
        <f aca="false">INDEX('All Items'!$Q:$Q,MATCH($A466,'All Items'!$A:$A,0))</f>
        <v>7.4</v>
      </c>
      <c r="M466" s="8" t="s">
        <v>1313</v>
      </c>
      <c r="N466" s="8" t="s">
        <v>345</v>
      </c>
      <c r="O466" s="8" t="s">
        <v>4536</v>
      </c>
      <c r="P466" s="8" t="s">
        <v>4552</v>
      </c>
      <c r="Q466" s="8" t="s">
        <v>4553</v>
      </c>
      <c r="R466" s="8" t="s">
        <v>4465</v>
      </c>
      <c r="S466" s="19" t="s">
        <v>4554</v>
      </c>
      <c r="T466" s="8" t="s">
        <v>4555</v>
      </c>
      <c r="U466" s="8"/>
      <c r="V466" s="8" t="n">
        <f aca="false">COUNTA(M466:R466)</f>
        <v>6</v>
      </c>
      <c r="W466" s="8" t="s">
        <v>218</v>
      </c>
      <c r="X466" s="8" t="s">
        <v>259</v>
      </c>
      <c r="Y466" s="8" t="s">
        <v>218</v>
      </c>
      <c r="Z466" s="8"/>
      <c r="AA466" s="8" t="s">
        <v>4556</v>
      </c>
      <c r="AB466" s="20" t="s">
        <v>4557</v>
      </c>
      <c r="AC466" s="20" t="s">
        <v>516</v>
      </c>
      <c r="AD466" s="20" t="s">
        <v>4558</v>
      </c>
      <c r="AE466" s="8" t="s">
        <v>223</v>
      </c>
      <c r="AF466" s="8" t="s">
        <v>224</v>
      </c>
    </row>
    <row r="467" customFormat="false" ht="15" hidden="false" customHeight="false" outlineLevel="0" collapsed="false">
      <c r="A467" s="8" t="s">
        <v>4559</v>
      </c>
      <c r="B467" s="8" t="s">
        <v>4560</v>
      </c>
      <c r="C467" s="8"/>
      <c r="D467" s="8" t="s">
        <v>4448</v>
      </c>
      <c r="E467" s="8"/>
      <c r="F467" s="8" t="s">
        <v>71</v>
      </c>
      <c r="G467" s="8" t="s">
        <v>4449</v>
      </c>
      <c r="H467" s="8" t="s">
        <v>78</v>
      </c>
      <c r="I467" s="8" t="s">
        <v>208</v>
      </c>
      <c r="J467" s="8" t="n">
        <v>2</v>
      </c>
      <c r="K467" s="8" t="n">
        <v>3</v>
      </c>
      <c r="L467" s="18" t="n">
        <f aca="false">INDEX('All Items'!$Q:$Q,MATCH($A467,'All Items'!$A:$A,0))</f>
        <v>7.4</v>
      </c>
      <c r="M467" s="8" t="s">
        <v>4561</v>
      </c>
      <c r="N467" s="8" t="s">
        <v>4562</v>
      </c>
      <c r="O467" s="8" t="s">
        <v>4563</v>
      </c>
      <c r="P467" s="8" t="s">
        <v>4564</v>
      </c>
      <c r="Q467" s="8" t="s">
        <v>4565</v>
      </c>
      <c r="R467" s="8" t="s">
        <v>4566</v>
      </c>
      <c r="S467" s="19" t="s">
        <v>4567</v>
      </c>
      <c r="T467" s="8" t="s">
        <v>4568</v>
      </c>
      <c r="U467" s="8"/>
      <c r="V467" s="8" t="n">
        <f aca="false">COUNTA(M467:R467)</f>
        <v>6</v>
      </c>
      <c r="W467" s="8" t="s">
        <v>218</v>
      </c>
      <c r="X467" s="8" t="s">
        <v>259</v>
      </c>
      <c r="Y467" s="8" t="s">
        <v>218</v>
      </c>
      <c r="Z467" s="8"/>
      <c r="AA467" s="8" t="s">
        <v>4569</v>
      </c>
      <c r="AB467" s="20" t="s">
        <v>4570</v>
      </c>
      <c r="AC467" s="20" t="s">
        <v>384</v>
      </c>
      <c r="AD467" s="20" t="s">
        <v>4571</v>
      </c>
      <c r="AE467" s="8" t="s">
        <v>223</v>
      </c>
      <c r="AF467" s="8" t="s">
        <v>224</v>
      </c>
    </row>
    <row r="468" customFormat="false" ht="15" hidden="false" customHeight="false" outlineLevel="0" collapsed="false">
      <c r="A468" s="8" t="s">
        <v>4572</v>
      </c>
      <c r="B468" s="8" t="s">
        <v>4573</v>
      </c>
      <c r="C468" s="8"/>
      <c r="D468" s="8" t="s">
        <v>4574</v>
      </c>
      <c r="E468" s="8"/>
      <c r="F468" s="8" t="s">
        <v>71</v>
      </c>
      <c r="G468" s="8" t="s">
        <v>4449</v>
      </c>
      <c r="H468" s="8" t="s">
        <v>78</v>
      </c>
      <c r="I468" s="8" t="s">
        <v>208</v>
      </c>
      <c r="J468" s="8" t="n">
        <v>2</v>
      </c>
      <c r="K468" s="8" t="n">
        <v>3</v>
      </c>
      <c r="L468" s="18" t="n">
        <f aca="false">INDEX('All Items'!$Q:$Q,MATCH($A468,'All Items'!$A:$A,0))</f>
        <v>7.15</v>
      </c>
      <c r="M468" s="8" t="s">
        <v>1933</v>
      </c>
      <c r="N468" s="8" t="s">
        <v>251</v>
      </c>
      <c r="O468" s="8" t="s">
        <v>4104</v>
      </c>
      <c r="P468" s="8" t="s">
        <v>3804</v>
      </c>
      <c r="Q468" s="8" t="s">
        <v>4575</v>
      </c>
      <c r="R468" s="8"/>
      <c r="S468" s="19" t="s">
        <v>4576</v>
      </c>
      <c r="T468" s="8" t="s">
        <v>4577</v>
      </c>
      <c r="U468" s="8" t="s">
        <v>4575</v>
      </c>
      <c r="V468" s="8" t="n">
        <f aca="false">COUNTA(M468:R468)</f>
        <v>5</v>
      </c>
      <c r="W468" s="8" t="s">
        <v>218</v>
      </c>
      <c r="X468" s="8" t="s">
        <v>259</v>
      </c>
      <c r="Y468" s="8" t="s">
        <v>218</v>
      </c>
      <c r="Z468" s="8"/>
      <c r="AA468" s="8" t="s">
        <v>4578</v>
      </c>
      <c r="AB468" s="20" t="s">
        <v>4579</v>
      </c>
      <c r="AC468" s="20" t="s">
        <v>516</v>
      </c>
      <c r="AD468" s="20" t="s">
        <v>4580</v>
      </c>
      <c r="AE468" s="8" t="s">
        <v>223</v>
      </c>
      <c r="AF468" s="8" t="s">
        <v>224</v>
      </c>
    </row>
    <row r="469" customFormat="false" ht="15" hidden="false" customHeight="false" outlineLevel="0" collapsed="false">
      <c r="A469" s="8" t="s">
        <v>4581</v>
      </c>
      <c r="B469" s="8" t="s">
        <v>4582</v>
      </c>
      <c r="C469" s="8"/>
      <c r="D469" s="8" t="s">
        <v>4583</v>
      </c>
      <c r="E469" s="8"/>
      <c r="F469" s="8" t="s">
        <v>71</v>
      </c>
      <c r="G469" s="8" t="s">
        <v>4584</v>
      </c>
      <c r="H469" s="8" t="s">
        <v>78</v>
      </c>
      <c r="I469" s="8" t="s">
        <v>208</v>
      </c>
      <c r="J469" s="8" t="n">
        <v>1</v>
      </c>
      <c r="K469" s="8" t="n">
        <v>4</v>
      </c>
      <c r="L469" s="18" t="n">
        <f aca="false">INDEX('All Items'!$Q:$Q,MATCH($A469,'All Items'!$A:$A,0))</f>
        <v>8.7</v>
      </c>
      <c r="M469" s="8" t="s">
        <v>442</v>
      </c>
      <c r="N469" s="8" t="s">
        <v>1313</v>
      </c>
      <c r="O469" s="8" t="s">
        <v>412</v>
      </c>
      <c r="P469" s="8" t="s">
        <v>4585</v>
      </c>
      <c r="Q469" s="8" t="s">
        <v>4586</v>
      </c>
      <c r="R469" s="8" t="s">
        <v>4587</v>
      </c>
      <c r="S469" s="19" t="s">
        <v>4588</v>
      </c>
      <c r="T469" s="8" t="s">
        <v>4589</v>
      </c>
      <c r="U469" s="8"/>
      <c r="V469" s="8" t="n">
        <f aca="false">COUNTA(M469:R469)</f>
        <v>6</v>
      </c>
      <c r="W469" s="8" t="s">
        <v>218</v>
      </c>
      <c r="X469" s="8" t="s">
        <v>259</v>
      </c>
      <c r="Y469" s="8" t="s">
        <v>218</v>
      </c>
      <c r="Z469" s="8"/>
      <c r="AA469" s="8" t="s">
        <v>4590</v>
      </c>
      <c r="AB469" s="20"/>
      <c r="AC469" s="20"/>
      <c r="AD469" s="20"/>
      <c r="AE469" s="8" t="s">
        <v>237</v>
      </c>
      <c r="AF469" s="8" t="s">
        <v>224</v>
      </c>
    </row>
    <row r="470" customFormat="false" ht="15" hidden="false" customHeight="false" outlineLevel="0" collapsed="false">
      <c r="A470" s="8" t="s">
        <v>4591</v>
      </c>
      <c r="B470" s="8" t="s">
        <v>4592</v>
      </c>
      <c r="C470" s="8"/>
      <c r="D470" s="8" t="s">
        <v>4583</v>
      </c>
      <c r="E470" s="8"/>
      <c r="F470" s="8" t="s">
        <v>71</v>
      </c>
      <c r="G470" s="8" t="s">
        <v>4584</v>
      </c>
      <c r="H470" s="8" t="s">
        <v>80</v>
      </c>
      <c r="I470" s="8" t="s">
        <v>227</v>
      </c>
      <c r="J470" s="8" t="n">
        <v>2</v>
      </c>
      <c r="K470" s="8" t="n">
        <v>3</v>
      </c>
      <c r="L470" s="18" t="n">
        <f aca="false">INDEX('All Items'!$Q:$Q,MATCH($A470,'All Items'!$A:$A,0))</f>
        <v>7.4</v>
      </c>
      <c r="M470" s="8" t="s">
        <v>366</v>
      </c>
      <c r="N470" s="8" t="s">
        <v>412</v>
      </c>
      <c r="O470" s="8" t="s">
        <v>4593</v>
      </c>
      <c r="P470" s="8" t="s">
        <v>4224</v>
      </c>
      <c r="Q470" s="8" t="s">
        <v>4594</v>
      </c>
      <c r="R470" s="8" t="s">
        <v>4595</v>
      </c>
      <c r="S470" s="19" t="s">
        <v>4596</v>
      </c>
      <c r="T470" s="8" t="s">
        <v>4597</v>
      </c>
      <c r="U470" s="8"/>
      <c r="V470" s="8" t="n">
        <f aca="false">COUNTA(M470:R470)</f>
        <v>6</v>
      </c>
      <c r="W470" s="8" t="s">
        <v>218</v>
      </c>
      <c r="X470" s="8" t="s">
        <v>259</v>
      </c>
      <c r="Y470" s="8" t="s">
        <v>218</v>
      </c>
      <c r="Z470" s="8"/>
      <c r="AA470" s="8" t="s">
        <v>4598</v>
      </c>
      <c r="AB470" s="20" t="s">
        <v>4599</v>
      </c>
      <c r="AC470" s="20" t="s">
        <v>4173</v>
      </c>
      <c r="AD470" s="20" t="s">
        <v>4600</v>
      </c>
      <c r="AE470" s="8" t="s">
        <v>223</v>
      </c>
      <c r="AF470" s="8" t="s">
        <v>224</v>
      </c>
    </row>
    <row r="471" customFormat="false" ht="15" hidden="false" customHeight="false" outlineLevel="0" collapsed="false">
      <c r="A471" s="8" t="s">
        <v>4601</v>
      </c>
      <c r="B471" s="8" t="s">
        <v>4602</v>
      </c>
      <c r="C471" s="8"/>
      <c r="D471" s="8" t="s">
        <v>4583</v>
      </c>
      <c r="E471" s="8"/>
      <c r="F471" s="8" t="s">
        <v>71</v>
      </c>
      <c r="G471" s="8" t="s">
        <v>4584</v>
      </c>
      <c r="H471" s="8" t="s">
        <v>80</v>
      </c>
      <c r="I471" s="8" t="s">
        <v>1030</v>
      </c>
      <c r="J471" s="8" t="n">
        <v>2</v>
      </c>
      <c r="K471" s="8" t="n">
        <v>3</v>
      </c>
      <c r="L471" s="18" t="n">
        <f aca="false">INDEX('All Items'!$Q:$Q,MATCH($A471,'All Items'!$A:$A,0))</f>
        <v>7.15</v>
      </c>
      <c r="M471" s="8" t="s">
        <v>214</v>
      </c>
      <c r="N471" s="8" t="s">
        <v>4603</v>
      </c>
      <c r="O471" s="8" t="s">
        <v>4604</v>
      </c>
      <c r="P471" s="8" t="s">
        <v>4605</v>
      </c>
      <c r="Q471" s="8" t="s">
        <v>4587</v>
      </c>
      <c r="R471" s="8"/>
      <c r="S471" s="19" t="s">
        <v>4606</v>
      </c>
      <c r="T471" s="8" t="s">
        <v>4607</v>
      </c>
      <c r="U471" s="8"/>
      <c r="V471" s="8" t="n">
        <f aca="false">COUNTA(M471:R471)</f>
        <v>5</v>
      </c>
      <c r="W471" s="8" t="s">
        <v>218</v>
      </c>
      <c r="X471" s="8" t="s">
        <v>259</v>
      </c>
      <c r="Y471" s="8" t="s">
        <v>218</v>
      </c>
      <c r="Z471" s="8"/>
      <c r="AA471" s="8" t="s">
        <v>4608</v>
      </c>
      <c r="AB471" s="20" t="s">
        <v>4609</v>
      </c>
      <c r="AC471" s="20" t="s">
        <v>1174</v>
      </c>
      <c r="AD471" s="20" t="s">
        <v>4610</v>
      </c>
      <c r="AE471" s="8" t="s">
        <v>223</v>
      </c>
      <c r="AF471" s="8" t="s">
        <v>224</v>
      </c>
    </row>
    <row r="472" customFormat="false" ht="15" hidden="false" customHeight="false" outlineLevel="0" collapsed="false">
      <c r="A472" s="8" t="s">
        <v>4611</v>
      </c>
      <c r="B472" s="8" t="s">
        <v>4612</v>
      </c>
      <c r="C472" s="8"/>
      <c r="D472" s="8" t="s">
        <v>4613</v>
      </c>
      <c r="E472" s="8"/>
      <c r="F472" s="8" t="s">
        <v>71</v>
      </c>
      <c r="G472" s="8" t="s">
        <v>4082</v>
      </c>
      <c r="H472" s="8" t="s">
        <v>81</v>
      </c>
      <c r="I472" s="8" t="s">
        <v>208</v>
      </c>
      <c r="J472" s="8" t="n">
        <v>1</v>
      </c>
      <c r="K472" s="8" t="n">
        <v>4</v>
      </c>
      <c r="L472" s="18" t="n">
        <f aca="false">INDEX('All Items'!$Q:$Q,MATCH($A472,'All Items'!$A:$A,0))</f>
        <v>8.7</v>
      </c>
      <c r="M472" s="8" t="s">
        <v>4614</v>
      </c>
      <c r="N472" s="8" t="s">
        <v>1669</v>
      </c>
      <c r="O472" s="8" t="s">
        <v>923</v>
      </c>
      <c r="P472" s="8" t="s">
        <v>4615</v>
      </c>
      <c r="Q472" s="8" t="s">
        <v>4616</v>
      </c>
      <c r="R472" s="8" t="s">
        <v>4617</v>
      </c>
      <c r="S472" s="19" t="s">
        <v>4618</v>
      </c>
      <c r="T472" s="8" t="s">
        <v>4619</v>
      </c>
      <c r="U472" s="8"/>
      <c r="V472" s="8" t="n">
        <f aca="false">COUNTA(M472:R472)</f>
        <v>6</v>
      </c>
      <c r="W472" s="8" t="s">
        <v>218</v>
      </c>
      <c r="X472" s="8" t="s">
        <v>259</v>
      </c>
      <c r="Y472" s="8" t="s">
        <v>218</v>
      </c>
      <c r="Z472" s="8"/>
      <c r="AA472" s="8" t="s">
        <v>4620</v>
      </c>
      <c r="AB472" s="20"/>
      <c r="AC472" s="20"/>
      <c r="AD472" s="20"/>
      <c r="AE472" s="8" t="s">
        <v>237</v>
      </c>
      <c r="AF472" s="8" t="s">
        <v>224</v>
      </c>
    </row>
    <row r="473" customFormat="false" ht="15" hidden="false" customHeight="false" outlineLevel="0" collapsed="false">
      <c r="A473" s="8" t="s">
        <v>4621</v>
      </c>
      <c r="B473" s="8" t="s">
        <v>4622</v>
      </c>
      <c r="C473" s="8"/>
      <c r="D473" s="8" t="s">
        <v>4613</v>
      </c>
      <c r="E473" s="8"/>
      <c r="F473" s="8" t="s">
        <v>71</v>
      </c>
      <c r="G473" s="8" t="s">
        <v>4082</v>
      </c>
      <c r="H473" s="8" t="s">
        <v>81</v>
      </c>
      <c r="I473" s="8" t="s">
        <v>208</v>
      </c>
      <c r="J473" s="8" t="n">
        <v>1</v>
      </c>
      <c r="K473" s="8" t="n">
        <v>4</v>
      </c>
      <c r="L473" s="18" t="n">
        <f aca="false">INDEX('All Items'!$Q:$Q,MATCH($A473,'All Items'!$A:$A,0))</f>
        <v>8.7</v>
      </c>
      <c r="M473" s="8" t="s">
        <v>4214</v>
      </c>
      <c r="N473" s="8" t="s">
        <v>2612</v>
      </c>
      <c r="O473" s="8" t="s">
        <v>4623</v>
      </c>
      <c r="P473" s="8" t="s">
        <v>4624</v>
      </c>
      <c r="Q473" s="8" t="s">
        <v>4625</v>
      </c>
      <c r="R473" s="8" t="s">
        <v>4626</v>
      </c>
      <c r="S473" s="19" t="s">
        <v>4627</v>
      </c>
      <c r="T473" s="8" t="s">
        <v>4628</v>
      </c>
      <c r="U473" s="8"/>
      <c r="V473" s="8" t="n">
        <f aca="false">COUNTA(M473:R473)</f>
        <v>6</v>
      </c>
      <c r="W473" s="8" t="s">
        <v>218</v>
      </c>
      <c r="X473" s="8" t="s">
        <v>259</v>
      </c>
      <c r="Y473" s="8" t="s">
        <v>218</v>
      </c>
      <c r="Z473" s="8"/>
      <c r="AA473" s="8" t="s">
        <v>4629</v>
      </c>
      <c r="AB473" s="20" t="s">
        <v>4630</v>
      </c>
      <c r="AC473" s="20" t="s">
        <v>221</v>
      </c>
      <c r="AD473" s="20" t="s">
        <v>4631</v>
      </c>
      <c r="AE473" s="8" t="s">
        <v>223</v>
      </c>
      <c r="AF473" s="8" t="s">
        <v>224</v>
      </c>
    </row>
    <row r="474" customFormat="false" ht="15" hidden="false" customHeight="false" outlineLevel="0" collapsed="false">
      <c r="A474" s="8" t="s">
        <v>4632</v>
      </c>
      <c r="B474" s="8" t="s">
        <v>4633</v>
      </c>
      <c r="C474" s="8"/>
      <c r="D474" s="8" t="s">
        <v>4613</v>
      </c>
      <c r="E474" s="8"/>
      <c r="F474" s="8" t="s">
        <v>71</v>
      </c>
      <c r="G474" s="8" t="s">
        <v>4082</v>
      </c>
      <c r="H474" s="8" t="s">
        <v>78</v>
      </c>
      <c r="I474" s="8" t="s">
        <v>208</v>
      </c>
      <c r="J474" s="8" t="n">
        <v>2</v>
      </c>
      <c r="K474" s="8" t="n">
        <v>3</v>
      </c>
      <c r="L474" s="18" t="n">
        <f aca="false">INDEX('All Items'!$Q:$Q,MATCH($A474,'All Items'!$A:$A,0))</f>
        <v>7.4</v>
      </c>
      <c r="M474" s="8" t="s">
        <v>4634</v>
      </c>
      <c r="N474" s="8" t="s">
        <v>4635</v>
      </c>
      <c r="O474" s="8" t="s">
        <v>4636</v>
      </c>
      <c r="P474" s="8" t="s">
        <v>3160</v>
      </c>
      <c r="Q474" s="8" t="s">
        <v>4637</v>
      </c>
      <c r="R474" s="8" t="s">
        <v>4617</v>
      </c>
      <c r="S474" s="19" t="s">
        <v>4638</v>
      </c>
      <c r="T474" s="8" t="s">
        <v>4639</v>
      </c>
      <c r="U474" s="8"/>
      <c r="V474" s="8" t="n">
        <f aca="false">COUNTA(M474:R474)</f>
        <v>6</v>
      </c>
      <c r="W474" s="8" t="s">
        <v>218</v>
      </c>
      <c r="X474" s="8" t="s">
        <v>259</v>
      </c>
      <c r="Y474" s="8" t="s">
        <v>218</v>
      </c>
      <c r="Z474" s="8"/>
      <c r="AA474" s="8" t="s">
        <v>4640</v>
      </c>
      <c r="AB474" s="20" t="s">
        <v>4641</v>
      </c>
      <c r="AC474" s="20" t="s">
        <v>221</v>
      </c>
      <c r="AD474" s="20" t="s">
        <v>4642</v>
      </c>
      <c r="AE474" s="8" t="s">
        <v>223</v>
      </c>
      <c r="AF474" s="8" t="s">
        <v>224</v>
      </c>
    </row>
    <row r="475" customFormat="false" ht="15" hidden="false" customHeight="false" outlineLevel="0" collapsed="false">
      <c r="A475" s="8" t="s">
        <v>4643</v>
      </c>
      <c r="B475" s="8" t="s">
        <v>4644</v>
      </c>
      <c r="C475" s="8"/>
      <c r="D475" s="8" t="s">
        <v>4613</v>
      </c>
      <c r="E475" s="8"/>
      <c r="F475" s="8" t="s">
        <v>71</v>
      </c>
      <c r="G475" s="8" t="s">
        <v>4082</v>
      </c>
      <c r="H475" s="8" t="s">
        <v>78</v>
      </c>
      <c r="I475" s="8" t="s">
        <v>208</v>
      </c>
      <c r="J475" s="8" t="n">
        <v>2</v>
      </c>
      <c r="K475" s="8" t="n">
        <v>3</v>
      </c>
      <c r="L475" s="18" t="n">
        <f aca="false">INDEX('All Items'!$Q:$Q,MATCH($A475,'All Items'!$A:$A,0))</f>
        <v>7.4</v>
      </c>
      <c r="M475" s="8" t="s">
        <v>4645</v>
      </c>
      <c r="N475" s="8" t="s">
        <v>1782</v>
      </c>
      <c r="O475" s="8" t="s">
        <v>4646</v>
      </c>
      <c r="P475" s="8" t="s">
        <v>3482</v>
      </c>
      <c r="Q475" s="8" t="s">
        <v>4647</v>
      </c>
      <c r="R475" s="8" t="s">
        <v>4648</v>
      </c>
      <c r="S475" s="19" t="s">
        <v>4649</v>
      </c>
      <c r="T475" s="8" t="s">
        <v>4650</v>
      </c>
      <c r="U475" s="8"/>
      <c r="V475" s="8" t="n">
        <f aca="false">COUNTA(M475:R475)</f>
        <v>6</v>
      </c>
      <c r="W475" s="8" t="s">
        <v>218</v>
      </c>
      <c r="X475" s="8" t="s">
        <v>259</v>
      </c>
      <c r="Y475" s="8" t="s">
        <v>218</v>
      </c>
      <c r="Z475" s="8"/>
      <c r="AA475" s="8" t="s">
        <v>4651</v>
      </c>
      <c r="AB475" s="20"/>
      <c r="AC475" s="20"/>
      <c r="AD475" s="20"/>
      <c r="AE475" s="8" t="s">
        <v>237</v>
      </c>
      <c r="AF475" s="8" t="s">
        <v>224</v>
      </c>
    </row>
    <row r="476" customFormat="false" ht="15" hidden="false" customHeight="false" outlineLevel="0" collapsed="false">
      <c r="A476" s="8" t="s">
        <v>4652</v>
      </c>
      <c r="B476" s="8" t="s">
        <v>4653</v>
      </c>
      <c r="C476" s="8" t="s">
        <v>4654</v>
      </c>
      <c r="D476" s="8" t="s">
        <v>4613</v>
      </c>
      <c r="E476" s="8"/>
      <c r="F476" s="8" t="s">
        <v>71</v>
      </c>
      <c r="G476" s="8" t="s">
        <v>4082</v>
      </c>
      <c r="H476" s="8" t="s">
        <v>87</v>
      </c>
      <c r="I476" s="8" t="s">
        <v>273</v>
      </c>
      <c r="J476" s="8" t="n">
        <v>1</v>
      </c>
      <c r="K476" s="8" t="n">
        <v>5</v>
      </c>
      <c r="L476" s="18" t="n">
        <f aca="false">INDEX('All Items'!$Q:$Q,MATCH($A476,'All Items'!$A:$A,0))</f>
        <v>9.5</v>
      </c>
      <c r="M476" s="8" t="s">
        <v>4655</v>
      </c>
      <c r="N476" s="8" t="s">
        <v>4656</v>
      </c>
      <c r="O476" s="8" t="s">
        <v>4657</v>
      </c>
      <c r="P476" s="8" t="s">
        <v>4658</v>
      </c>
      <c r="Q476" s="8" t="s">
        <v>4617</v>
      </c>
      <c r="R476" s="8"/>
      <c r="S476" s="19" t="s">
        <v>4659</v>
      </c>
      <c r="T476" s="8" t="s">
        <v>4655</v>
      </c>
      <c r="U476" s="8"/>
      <c r="V476" s="8" t="n">
        <f aca="false">COUNTA(M476:R476)</f>
        <v>5</v>
      </c>
      <c r="W476" s="8" t="s">
        <v>218</v>
      </c>
      <c r="X476" s="8" t="s">
        <v>259</v>
      </c>
      <c r="Y476" s="8" t="s">
        <v>218</v>
      </c>
      <c r="Z476" s="8"/>
      <c r="AA476" s="8" t="s">
        <v>4660</v>
      </c>
      <c r="AB476" s="20" t="s">
        <v>4661</v>
      </c>
      <c r="AC476" s="20" t="s">
        <v>1174</v>
      </c>
      <c r="AD476" s="20" t="s">
        <v>4662</v>
      </c>
      <c r="AE476" s="8" t="s">
        <v>223</v>
      </c>
      <c r="AF476" s="8" t="s">
        <v>224</v>
      </c>
    </row>
    <row r="477" customFormat="false" ht="15" hidden="false" customHeight="false" outlineLevel="0" collapsed="false">
      <c r="A477" s="8" t="s">
        <v>4663</v>
      </c>
      <c r="B477" s="8" t="s">
        <v>4664</v>
      </c>
      <c r="C477" s="8"/>
      <c r="D477" s="8" t="s">
        <v>4613</v>
      </c>
      <c r="E477" s="8"/>
      <c r="F477" s="8" t="s">
        <v>71</v>
      </c>
      <c r="G477" s="8" t="s">
        <v>4082</v>
      </c>
      <c r="H477" s="8" t="s">
        <v>86</v>
      </c>
      <c r="I477" s="8" t="s">
        <v>1030</v>
      </c>
      <c r="J477" s="8" t="n">
        <v>2</v>
      </c>
      <c r="K477" s="8" t="n">
        <v>3</v>
      </c>
      <c r="L477" s="18" t="n">
        <f aca="false">INDEX('All Items'!$Q:$Q,MATCH($A477,'All Items'!$A:$A,0))</f>
        <v>7.15</v>
      </c>
      <c r="M477" s="8" t="s">
        <v>214</v>
      </c>
      <c r="N477" s="8" t="s">
        <v>1313</v>
      </c>
      <c r="O477" s="8" t="s">
        <v>3275</v>
      </c>
      <c r="P477" s="8" t="s">
        <v>4665</v>
      </c>
      <c r="Q477" s="8" t="s">
        <v>4666</v>
      </c>
      <c r="R477" s="8"/>
      <c r="S477" s="19" t="s">
        <v>4667</v>
      </c>
      <c r="T477" s="8" t="s">
        <v>4668</v>
      </c>
      <c r="U477" s="8"/>
      <c r="V477" s="8" t="n">
        <f aca="false">COUNTA(M477:R477)</f>
        <v>5</v>
      </c>
      <c r="W477" s="8" t="s">
        <v>218</v>
      </c>
      <c r="X477" s="8" t="s">
        <v>259</v>
      </c>
      <c r="Y477" s="8" t="s">
        <v>218</v>
      </c>
      <c r="Z477" s="8"/>
      <c r="AA477" s="8" t="s">
        <v>4669</v>
      </c>
      <c r="AB477" s="20" t="s">
        <v>4670</v>
      </c>
      <c r="AC477" s="20" t="s">
        <v>4173</v>
      </c>
      <c r="AD477" s="20" t="s">
        <v>4671</v>
      </c>
      <c r="AE477" s="8" t="s">
        <v>223</v>
      </c>
      <c r="AF477" s="8" t="s">
        <v>224</v>
      </c>
    </row>
    <row r="478" customFormat="false" ht="15" hidden="false" customHeight="false" outlineLevel="0" collapsed="false">
      <c r="A478" s="8" t="s">
        <v>4672</v>
      </c>
      <c r="B478" s="8" t="s">
        <v>4673</v>
      </c>
      <c r="C478" s="8" t="s">
        <v>4674</v>
      </c>
      <c r="D478" s="8" t="s">
        <v>4613</v>
      </c>
      <c r="E478" s="8"/>
      <c r="F478" s="8" t="s">
        <v>71</v>
      </c>
      <c r="G478" s="8" t="s">
        <v>4082</v>
      </c>
      <c r="H478" s="8" t="s">
        <v>80</v>
      </c>
      <c r="I478" s="8" t="s">
        <v>1030</v>
      </c>
      <c r="J478" s="8" t="n">
        <v>1</v>
      </c>
      <c r="K478" s="8" t="n">
        <v>5</v>
      </c>
      <c r="L478" s="18" t="n">
        <f aca="false">INDEX('All Items'!$Q:$Q,MATCH($A478,'All Items'!$A:$A,0))</f>
        <v>9.75</v>
      </c>
      <c r="M478" s="8" t="s">
        <v>345</v>
      </c>
      <c r="N478" s="8" t="s">
        <v>4297</v>
      </c>
      <c r="O478" s="8" t="s">
        <v>4675</v>
      </c>
      <c r="P478" s="8" t="s">
        <v>4676</v>
      </c>
      <c r="Q478" s="8" t="s">
        <v>4677</v>
      </c>
      <c r="R478" s="8" t="s">
        <v>4617</v>
      </c>
      <c r="S478" s="19" t="s">
        <v>4678</v>
      </c>
      <c r="T478" s="8" t="s">
        <v>4679</v>
      </c>
      <c r="U478" s="8" t="s">
        <v>4677</v>
      </c>
      <c r="V478" s="8" t="n">
        <f aca="false">COUNTA(M478:R478)</f>
        <v>6</v>
      </c>
      <c r="W478" s="8" t="s">
        <v>218</v>
      </c>
      <c r="X478" s="8" t="s">
        <v>259</v>
      </c>
      <c r="Y478" s="8" t="s">
        <v>218</v>
      </c>
      <c r="Z478" s="8"/>
      <c r="AA478" s="8" t="s">
        <v>4680</v>
      </c>
      <c r="AB478" s="20" t="s">
        <v>4681</v>
      </c>
      <c r="AC478" s="20" t="s">
        <v>516</v>
      </c>
      <c r="AD478" s="20" t="s">
        <v>4682</v>
      </c>
      <c r="AE478" s="8" t="s">
        <v>223</v>
      </c>
      <c r="AF478" s="8" t="s">
        <v>224</v>
      </c>
    </row>
    <row r="479" customFormat="false" ht="15" hidden="false" customHeight="false" outlineLevel="0" collapsed="false">
      <c r="A479" s="8" t="s">
        <v>4683</v>
      </c>
      <c r="B479" s="8" t="s">
        <v>4684</v>
      </c>
      <c r="C479" s="8"/>
      <c r="D479" s="8" t="s">
        <v>4613</v>
      </c>
      <c r="E479" s="8"/>
      <c r="F479" s="8" t="s">
        <v>71</v>
      </c>
      <c r="G479" s="8" t="s">
        <v>4082</v>
      </c>
      <c r="H479" s="8" t="s">
        <v>86</v>
      </c>
      <c r="I479" s="8" t="s">
        <v>273</v>
      </c>
      <c r="J479" s="8" t="n">
        <v>2</v>
      </c>
      <c r="K479" s="8" t="n">
        <v>3</v>
      </c>
      <c r="L479" s="18" t="n">
        <f aca="false">INDEX('All Items'!$Q:$Q,MATCH($A479,'All Items'!$A:$A,0))</f>
        <v>7.15</v>
      </c>
      <c r="M479" s="8" t="s">
        <v>4685</v>
      </c>
      <c r="N479" s="8" t="s">
        <v>4686</v>
      </c>
      <c r="O479" s="8" t="s">
        <v>1695</v>
      </c>
      <c r="P479" s="8" t="s">
        <v>4687</v>
      </c>
      <c r="Q479" s="8" t="s">
        <v>4617</v>
      </c>
      <c r="R479" s="8"/>
      <c r="S479" s="19" t="s">
        <v>4688</v>
      </c>
      <c r="T479" s="8" t="s">
        <v>4689</v>
      </c>
      <c r="U479" s="8"/>
      <c r="V479" s="8" t="n">
        <f aca="false">COUNTA(M479:R479)</f>
        <v>5</v>
      </c>
      <c r="W479" s="8" t="s">
        <v>218</v>
      </c>
      <c r="X479" s="8" t="s">
        <v>259</v>
      </c>
      <c r="Y479" s="8" t="s">
        <v>218</v>
      </c>
      <c r="Z479" s="8"/>
      <c r="AA479" s="8" t="s">
        <v>4690</v>
      </c>
      <c r="AB479" s="20"/>
      <c r="AC479" s="20"/>
      <c r="AD479" s="20"/>
      <c r="AE479" s="8" t="s">
        <v>237</v>
      </c>
      <c r="AF479" s="8" t="s">
        <v>224</v>
      </c>
    </row>
    <row r="480" customFormat="false" ht="15" hidden="false" customHeight="false" outlineLevel="0" collapsed="false">
      <c r="A480" s="8" t="s">
        <v>4691</v>
      </c>
      <c r="B480" s="8" t="s">
        <v>4692</v>
      </c>
      <c r="C480" s="8"/>
      <c r="D480" s="8" t="s">
        <v>4693</v>
      </c>
      <c r="E480" s="8"/>
      <c r="F480" s="8" t="s">
        <v>71</v>
      </c>
      <c r="G480" s="8" t="s">
        <v>4082</v>
      </c>
      <c r="H480" s="8" t="s">
        <v>80</v>
      </c>
      <c r="I480" s="8" t="s">
        <v>1030</v>
      </c>
      <c r="J480" s="8" t="n">
        <v>1</v>
      </c>
      <c r="K480" s="8" t="n">
        <v>5</v>
      </c>
      <c r="L480" s="18" t="n">
        <f aca="false">INDEX('All Items'!$Q:$Q,MATCH($A480,'All Items'!$A:$A,0))</f>
        <v>9.75</v>
      </c>
      <c r="M480" s="8" t="s">
        <v>214</v>
      </c>
      <c r="N480" s="8" t="s">
        <v>345</v>
      </c>
      <c r="O480" s="8" t="s">
        <v>4694</v>
      </c>
      <c r="P480" s="8" t="s">
        <v>4695</v>
      </c>
      <c r="Q480" s="8" t="s">
        <v>4693</v>
      </c>
      <c r="R480" s="8"/>
      <c r="S480" s="19" t="s">
        <v>4696</v>
      </c>
      <c r="T480" s="8" t="s">
        <v>4697</v>
      </c>
      <c r="U480" s="8"/>
      <c r="V480" s="8" t="n">
        <f aca="false">COUNTA(M480:R480)</f>
        <v>5</v>
      </c>
      <c r="W480" s="8" t="s">
        <v>218</v>
      </c>
      <c r="X480" s="8" t="s">
        <v>259</v>
      </c>
      <c r="Y480" s="8" t="s">
        <v>218</v>
      </c>
      <c r="Z480" s="8"/>
      <c r="AA480" s="8" t="s">
        <v>4698</v>
      </c>
      <c r="AB480" s="20"/>
      <c r="AC480" s="20"/>
      <c r="AD480" s="20"/>
      <c r="AE480" s="8" t="s">
        <v>237</v>
      </c>
      <c r="AF480" s="8" t="s">
        <v>224</v>
      </c>
    </row>
    <row r="481" customFormat="false" ht="15" hidden="false" customHeight="false" outlineLevel="0" collapsed="false">
      <c r="A481" s="8" t="s">
        <v>4699</v>
      </c>
      <c r="B481" s="8" t="s">
        <v>4700</v>
      </c>
      <c r="C481" s="8"/>
      <c r="D481" s="8" t="s">
        <v>4701</v>
      </c>
      <c r="E481" s="8"/>
      <c r="F481" s="8" t="s">
        <v>71</v>
      </c>
      <c r="G481" s="8" t="s">
        <v>4082</v>
      </c>
      <c r="H481" s="8" t="s">
        <v>80</v>
      </c>
      <c r="I481" s="8" t="s">
        <v>1030</v>
      </c>
      <c r="J481" s="8" t="n">
        <v>2</v>
      </c>
      <c r="K481" s="8" t="n">
        <v>3</v>
      </c>
      <c r="L481" s="18" t="n">
        <f aca="false">INDEX('All Items'!$Q:$Q,MATCH($A481,'All Items'!$A:$A,0))</f>
        <v>7.15</v>
      </c>
      <c r="M481" s="8" t="s">
        <v>3285</v>
      </c>
      <c r="N481" s="8" t="s">
        <v>214</v>
      </c>
      <c r="O481" s="8" t="s">
        <v>4702</v>
      </c>
      <c r="P481" s="8" t="s">
        <v>4703</v>
      </c>
      <c r="Q481" s="8" t="s">
        <v>4704</v>
      </c>
      <c r="R481" s="8" t="s">
        <v>4705</v>
      </c>
      <c r="S481" s="19" t="s">
        <v>4706</v>
      </c>
      <c r="T481" s="8" t="s">
        <v>4707</v>
      </c>
      <c r="U481" s="8"/>
      <c r="V481" s="8" t="n">
        <f aca="false">COUNTA(M481:R481)</f>
        <v>6</v>
      </c>
      <c r="W481" s="8" t="s">
        <v>218</v>
      </c>
      <c r="X481" s="8" t="s">
        <v>259</v>
      </c>
      <c r="Y481" s="8" t="s">
        <v>218</v>
      </c>
      <c r="Z481" s="8"/>
      <c r="AA481" s="8" t="s">
        <v>4708</v>
      </c>
      <c r="AB481" s="20" t="s">
        <v>4709</v>
      </c>
      <c r="AC481" s="20" t="s">
        <v>1174</v>
      </c>
      <c r="AD481" s="20" t="s">
        <v>3315</v>
      </c>
      <c r="AE481" s="8" t="s">
        <v>223</v>
      </c>
      <c r="AF481" s="8" t="s">
        <v>224</v>
      </c>
    </row>
    <row r="482" customFormat="false" ht="15" hidden="false" customHeight="false" outlineLevel="0" collapsed="false">
      <c r="A482" s="8" t="s">
        <v>4710</v>
      </c>
      <c r="B482" s="8" t="s">
        <v>4711</v>
      </c>
      <c r="C482" s="8" t="s">
        <v>4712</v>
      </c>
      <c r="D482" s="8" t="s">
        <v>4713</v>
      </c>
      <c r="E482" s="8"/>
      <c r="F482" s="8" t="s">
        <v>71</v>
      </c>
      <c r="G482" s="8" t="s">
        <v>4449</v>
      </c>
      <c r="H482" s="8" t="s">
        <v>78</v>
      </c>
      <c r="I482" s="8" t="s">
        <v>208</v>
      </c>
      <c r="J482" s="8" t="n">
        <v>1</v>
      </c>
      <c r="K482" s="8" t="n">
        <v>4</v>
      </c>
      <c r="L482" s="18" t="n">
        <f aca="false">INDEX('All Items'!$Q:$Q,MATCH($A482,'All Items'!$A:$A,0))</f>
        <v>8.7</v>
      </c>
      <c r="M482" s="8" t="s">
        <v>4714</v>
      </c>
      <c r="N482" s="8" t="s">
        <v>4715</v>
      </c>
      <c r="O482" s="8" t="s">
        <v>4504</v>
      </c>
      <c r="P482" s="8" t="s">
        <v>4716</v>
      </c>
      <c r="Q482" s="8" t="s">
        <v>4717</v>
      </c>
      <c r="R482" s="8"/>
      <c r="S482" s="19" t="s">
        <v>4718</v>
      </c>
      <c r="T482" s="8" t="s">
        <v>4719</v>
      </c>
      <c r="U482" s="8" t="s">
        <v>4717</v>
      </c>
      <c r="V482" s="8" t="n">
        <f aca="false">COUNTA(M482:R482)</f>
        <v>5</v>
      </c>
      <c r="W482" s="8" t="s">
        <v>218</v>
      </c>
      <c r="X482" s="8" t="s">
        <v>259</v>
      </c>
      <c r="Y482" s="8" t="s">
        <v>218</v>
      </c>
      <c r="Z482" s="8"/>
      <c r="AA482" s="8" t="s">
        <v>4720</v>
      </c>
      <c r="AB482" s="20"/>
      <c r="AC482" s="20"/>
      <c r="AD482" s="20"/>
      <c r="AE482" s="8" t="s">
        <v>237</v>
      </c>
      <c r="AF482" s="8" t="s">
        <v>224</v>
      </c>
    </row>
    <row r="483" customFormat="false" ht="15" hidden="false" customHeight="false" outlineLevel="0" collapsed="false">
      <c r="A483" s="8" t="s">
        <v>4721</v>
      </c>
      <c r="B483" s="8" t="s">
        <v>4722</v>
      </c>
      <c r="C483" s="8"/>
      <c r="D483" s="8" t="s">
        <v>4713</v>
      </c>
      <c r="E483" s="8"/>
      <c r="F483" s="8" t="s">
        <v>71</v>
      </c>
      <c r="G483" s="8" t="s">
        <v>4449</v>
      </c>
      <c r="H483" s="8" t="s">
        <v>79</v>
      </c>
      <c r="I483" s="8" t="s">
        <v>208</v>
      </c>
      <c r="J483" s="8" t="n">
        <v>2</v>
      </c>
      <c r="K483" s="8" t="n">
        <v>3</v>
      </c>
      <c r="L483" s="18" t="n">
        <f aca="false">INDEX('All Items'!$Q:$Q,MATCH($A483,'All Items'!$A:$A,0))</f>
        <v>6.9</v>
      </c>
      <c r="M483" s="8" t="s">
        <v>4723</v>
      </c>
      <c r="N483" s="8" t="s">
        <v>4724</v>
      </c>
      <c r="O483" s="8" t="s">
        <v>4725</v>
      </c>
      <c r="P483" s="8" t="s">
        <v>4726</v>
      </c>
      <c r="Q483" s="8" t="s">
        <v>4727</v>
      </c>
      <c r="R483" s="8" t="s">
        <v>4387</v>
      </c>
      <c r="S483" s="19" t="s">
        <v>4728</v>
      </c>
      <c r="T483" s="8" t="s">
        <v>4729</v>
      </c>
      <c r="U483" s="8"/>
      <c r="V483" s="8" t="n">
        <f aca="false">COUNTA(M483:R483)</f>
        <v>6</v>
      </c>
      <c r="W483" s="8" t="s">
        <v>218</v>
      </c>
      <c r="X483" s="8" t="s">
        <v>259</v>
      </c>
      <c r="Y483" s="8" t="s">
        <v>218</v>
      </c>
      <c r="Z483" s="8"/>
      <c r="AA483" s="8" t="s">
        <v>4730</v>
      </c>
      <c r="AB483" s="20" t="s">
        <v>4731</v>
      </c>
      <c r="AC483" s="20" t="s">
        <v>1174</v>
      </c>
      <c r="AD483" s="20" t="s">
        <v>4732</v>
      </c>
      <c r="AE483" s="8" t="s">
        <v>223</v>
      </c>
      <c r="AF483" s="8" t="s">
        <v>224</v>
      </c>
    </row>
    <row r="484" customFormat="false" ht="15" hidden="false" customHeight="false" outlineLevel="0" collapsed="false">
      <c r="A484" s="8" t="s">
        <v>4733</v>
      </c>
      <c r="B484" s="8" t="s">
        <v>4734</v>
      </c>
      <c r="C484" s="8"/>
      <c r="D484" s="8" t="s">
        <v>4735</v>
      </c>
      <c r="E484" s="8"/>
      <c r="F484" s="8" t="s">
        <v>71</v>
      </c>
      <c r="G484" s="8" t="s">
        <v>4449</v>
      </c>
      <c r="H484" s="8" t="s">
        <v>79</v>
      </c>
      <c r="I484" s="8" t="s">
        <v>208</v>
      </c>
      <c r="J484" s="8" t="n">
        <v>2</v>
      </c>
      <c r="K484" s="8" t="n">
        <v>3</v>
      </c>
      <c r="L484" s="18" t="n">
        <f aca="false">INDEX('All Items'!$Q:$Q,MATCH($A484,'All Items'!$A:$A,0))</f>
        <v>7.4</v>
      </c>
      <c r="M484" s="8" t="s">
        <v>1313</v>
      </c>
      <c r="N484" s="8" t="s">
        <v>4736</v>
      </c>
      <c r="O484" s="8" t="s">
        <v>4737</v>
      </c>
      <c r="P484" s="8" t="s">
        <v>4738</v>
      </c>
      <c r="Q484" s="8" t="s">
        <v>4739</v>
      </c>
      <c r="R484" s="8" t="s">
        <v>4740</v>
      </c>
      <c r="S484" s="19" t="s">
        <v>4741</v>
      </c>
      <c r="T484" s="8" t="s">
        <v>4742</v>
      </c>
      <c r="U484" s="8"/>
      <c r="V484" s="8" t="n">
        <f aca="false">COUNTA(M484:R484)</f>
        <v>6</v>
      </c>
      <c r="W484" s="8" t="s">
        <v>218</v>
      </c>
      <c r="X484" s="8" t="s">
        <v>259</v>
      </c>
      <c r="Y484" s="8" t="s">
        <v>218</v>
      </c>
      <c r="Z484" s="8"/>
      <c r="AA484" s="8" t="s">
        <v>4743</v>
      </c>
      <c r="AB484" s="20" t="s">
        <v>4744</v>
      </c>
      <c r="AC484" s="20" t="s">
        <v>1174</v>
      </c>
      <c r="AD484" s="20" t="s">
        <v>4745</v>
      </c>
      <c r="AE484" s="8" t="s">
        <v>223</v>
      </c>
      <c r="AF484" s="8" t="s">
        <v>224</v>
      </c>
    </row>
    <row r="485" customFormat="false" ht="15" hidden="false" customHeight="false" outlineLevel="0" collapsed="false">
      <c r="A485" s="8" t="s">
        <v>4746</v>
      </c>
      <c r="B485" s="8" t="s">
        <v>4747</v>
      </c>
      <c r="C485" s="8" t="s">
        <v>4748</v>
      </c>
      <c r="D485" s="8" t="s">
        <v>4713</v>
      </c>
      <c r="E485" s="8"/>
      <c r="F485" s="8" t="s">
        <v>71</v>
      </c>
      <c r="G485" s="8" t="s">
        <v>4449</v>
      </c>
      <c r="H485" s="8" t="s">
        <v>80</v>
      </c>
      <c r="I485" s="8" t="s">
        <v>227</v>
      </c>
      <c r="J485" s="8" t="n">
        <v>1</v>
      </c>
      <c r="K485" s="8" t="n">
        <v>4</v>
      </c>
      <c r="L485" s="18" t="n">
        <f aca="false">INDEX('All Items'!$Q:$Q,MATCH($A485,'All Items'!$A:$A,0))</f>
        <v>8.7</v>
      </c>
      <c r="M485" s="8" t="s">
        <v>764</v>
      </c>
      <c r="N485" s="8" t="s">
        <v>4749</v>
      </c>
      <c r="O485" s="8" t="s">
        <v>2715</v>
      </c>
      <c r="P485" s="8" t="s">
        <v>4750</v>
      </c>
      <c r="Q485" s="8" t="s">
        <v>4751</v>
      </c>
      <c r="R485" s="8" t="s">
        <v>3285</v>
      </c>
      <c r="S485" s="19" t="s">
        <v>4752</v>
      </c>
      <c r="T485" s="8" t="s">
        <v>4753</v>
      </c>
      <c r="U485" s="8" t="s">
        <v>4754</v>
      </c>
      <c r="V485" s="8" t="n">
        <f aca="false">COUNTA(M485:R485)</f>
        <v>6</v>
      </c>
      <c r="W485" s="8" t="s">
        <v>218</v>
      </c>
      <c r="X485" s="8" t="s">
        <v>259</v>
      </c>
      <c r="Y485" s="8" t="s">
        <v>218</v>
      </c>
      <c r="Z485" s="8"/>
      <c r="AA485" s="8" t="s">
        <v>4755</v>
      </c>
      <c r="AB485" s="20" t="s">
        <v>4756</v>
      </c>
      <c r="AC485" s="20" t="s">
        <v>221</v>
      </c>
      <c r="AD485" s="20" t="s">
        <v>4757</v>
      </c>
      <c r="AE485" s="8" t="s">
        <v>223</v>
      </c>
      <c r="AF485" s="8" t="s">
        <v>224</v>
      </c>
    </row>
    <row r="486" customFormat="false" ht="15" hidden="false" customHeight="false" outlineLevel="0" collapsed="false">
      <c r="A486" s="8" t="s">
        <v>4758</v>
      </c>
      <c r="B486" s="8" t="s">
        <v>4759</v>
      </c>
      <c r="C486" s="8"/>
      <c r="D486" s="8" t="s">
        <v>4735</v>
      </c>
      <c r="E486" s="8"/>
      <c r="F486" s="8" t="s">
        <v>71</v>
      </c>
      <c r="G486" s="8" t="s">
        <v>4449</v>
      </c>
      <c r="H486" s="8" t="s">
        <v>80</v>
      </c>
      <c r="I486" s="8" t="s">
        <v>1030</v>
      </c>
      <c r="J486" s="8" t="n">
        <v>2</v>
      </c>
      <c r="K486" s="8" t="n">
        <v>3</v>
      </c>
      <c r="L486" s="18" t="n">
        <f aca="false">INDEX('All Items'!$Q:$Q,MATCH($A486,'All Items'!$A:$A,0))</f>
        <v>7.15</v>
      </c>
      <c r="M486" s="8" t="s">
        <v>214</v>
      </c>
      <c r="N486" s="8" t="s">
        <v>4545</v>
      </c>
      <c r="O486" s="8" t="s">
        <v>3294</v>
      </c>
      <c r="P486" s="8" t="s">
        <v>4760</v>
      </c>
      <c r="Q486" s="8" t="s">
        <v>4761</v>
      </c>
      <c r="R486" s="8"/>
      <c r="S486" s="19" t="s">
        <v>4762</v>
      </c>
      <c r="T486" s="8" t="s">
        <v>4763</v>
      </c>
      <c r="U486" s="8" t="s">
        <v>4761</v>
      </c>
      <c r="V486" s="8" t="n">
        <f aca="false">COUNTA(M486:R486)</f>
        <v>5</v>
      </c>
      <c r="W486" s="8" t="s">
        <v>218</v>
      </c>
      <c r="X486" s="8" t="s">
        <v>259</v>
      </c>
      <c r="Y486" s="8" t="s">
        <v>218</v>
      </c>
      <c r="Z486" s="8"/>
      <c r="AA486" s="8" t="s">
        <v>4764</v>
      </c>
      <c r="AB486" s="20"/>
      <c r="AC486" s="20"/>
      <c r="AD486" s="20"/>
      <c r="AE486" s="8" t="s">
        <v>237</v>
      </c>
      <c r="AF486" s="8" t="s">
        <v>224</v>
      </c>
    </row>
    <row r="487" customFormat="false" ht="15" hidden="false" customHeight="false" outlineLevel="0" collapsed="false">
      <c r="A487" s="8" t="s">
        <v>4765</v>
      </c>
      <c r="B487" s="8" t="s">
        <v>4766</v>
      </c>
      <c r="C487" s="8" t="s">
        <v>4767</v>
      </c>
      <c r="D487" s="8" t="s">
        <v>4768</v>
      </c>
      <c r="E487" s="8"/>
      <c r="F487" s="8" t="s">
        <v>71</v>
      </c>
      <c r="G487" s="8" t="s">
        <v>4584</v>
      </c>
      <c r="H487" s="8" t="s">
        <v>83</v>
      </c>
      <c r="I487" s="8" t="s">
        <v>208</v>
      </c>
      <c r="J487" s="8" t="n">
        <v>1</v>
      </c>
      <c r="K487" s="8" t="n">
        <v>4</v>
      </c>
      <c r="L487" s="18" t="n">
        <f aca="false">INDEX('All Items'!$Q:$Q,MATCH($A487,'All Items'!$A:$A,0))</f>
        <v>8.7</v>
      </c>
      <c r="M487" s="8" t="s">
        <v>4685</v>
      </c>
      <c r="N487" s="8" t="s">
        <v>356</v>
      </c>
      <c r="O487" s="8" t="s">
        <v>4355</v>
      </c>
      <c r="P487" s="8" t="s">
        <v>1307</v>
      </c>
      <c r="Q487" s="8" t="s">
        <v>4769</v>
      </c>
      <c r="R487" s="8" t="s">
        <v>4770</v>
      </c>
      <c r="S487" s="19" t="s">
        <v>4771</v>
      </c>
      <c r="T487" s="8" t="s">
        <v>4772</v>
      </c>
      <c r="U487" s="8"/>
      <c r="V487" s="8" t="n">
        <f aca="false">COUNTA(M487:R487)</f>
        <v>6</v>
      </c>
      <c r="W487" s="8" t="s">
        <v>218</v>
      </c>
      <c r="X487" s="8" t="s">
        <v>259</v>
      </c>
      <c r="Y487" s="8" t="s">
        <v>218</v>
      </c>
      <c r="Z487" s="8"/>
      <c r="AA487" s="8" t="s">
        <v>4773</v>
      </c>
      <c r="AB487" s="20"/>
      <c r="AC487" s="20"/>
      <c r="AD487" s="20"/>
      <c r="AE487" s="8" t="s">
        <v>237</v>
      </c>
      <c r="AF487" s="8" t="s">
        <v>224</v>
      </c>
    </row>
    <row r="488" customFormat="false" ht="15" hidden="false" customHeight="false" outlineLevel="0" collapsed="false">
      <c r="A488" s="8" t="s">
        <v>4774</v>
      </c>
      <c r="B488" s="8" t="s">
        <v>4775</v>
      </c>
      <c r="C488" s="8"/>
      <c r="D488" s="8" t="s">
        <v>4768</v>
      </c>
      <c r="E488" s="8"/>
      <c r="F488" s="8" t="s">
        <v>71</v>
      </c>
      <c r="G488" s="8" t="s">
        <v>4584</v>
      </c>
      <c r="H488" s="8" t="s">
        <v>78</v>
      </c>
      <c r="I488" s="8" t="s">
        <v>208</v>
      </c>
      <c r="J488" s="8" t="n">
        <v>2</v>
      </c>
      <c r="K488" s="8" t="n">
        <v>3</v>
      </c>
      <c r="L488" s="18" t="n">
        <f aca="false">INDEX('All Items'!$Q:$Q,MATCH($A488,'All Items'!$A:$A,0))</f>
        <v>7.4</v>
      </c>
      <c r="M488" s="8" t="s">
        <v>4776</v>
      </c>
      <c r="N488" s="8" t="s">
        <v>4355</v>
      </c>
      <c r="O488" s="8" t="s">
        <v>4777</v>
      </c>
      <c r="P488" s="8" t="s">
        <v>4778</v>
      </c>
      <c r="Q488" s="8" t="s">
        <v>4770</v>
      </c>
      <c r="R488" s="8" t="s">
        <v>213</v>
      </c>
      <c r="S488" s="19" t="s">
        <v>4779</v>
      </c>
      <c r="T488" s="8" t="s">
        <v>4780</v>
      </c>
      <c r="U488" s="8" t="s">
        <v>4781</v>
      </c>
      <c r="V488" s="8" t="n">
        <f aca="false">COUNTA(M488:R488)</f>
        <v>6</v>
      </c>
      <c r="W488" s="8" t="s">
        <v>218</v>
      </c>
      <c r="X488" s="8" t="s">
        <v>259</v>
      </c>
      <c r="Y488" s="8" t="s">
        <v>218</v>
      </c>
      <c r="Z488" s="8"/>
      <c r="AA488" s="8" t="s">
        <v>4782</v>
      </c>
      <c r="AB488" s="20"/>
      <c r="AC488" s="20"/>
      <c r="AD488" s="20"/>
      <c r="AE488" s="8" t="s">
        <v>237</v>
      </c>
      <c r="AF488" s="8" t="s">
        <v>224</v>
      </c>
    </row>
    <row r="489" customFormat="false" ht="15" hidden="false" customHeight="false" outlineLevel="0" collapsed="false">
      <c r="A489" s="8" t="s">
        <v>4783</v>
      </c>
      <c r="B489" s="8" t="s">
        <v>4784</v>
      </c>
      <c r="C489" s="8"/>
      <c r="D489" s="8" t="s">
        <v>4768</v>
      </c>
      <c r="E489" s="8"/>
      <c r="F489" s="8" t="s">
        <v>71</v>
      </c>
      <c r="G489" s="8" t="s">
        <v>4584</v>
      </c>
      <c r="H489" s="8" t="s">
        <v>81</v>
      </c>
      <c r="I489" s="8" t="s">
        <v>227</v>
      </c>
      <c r="J489" s="8" t="n">
        <v>2</v>
      </c>
      <c r="K489" s="8" t="n">
        <v>3</v>
      </c>
      <c r="L489" s="18" t="n">
        <f aca="false">INDEX('All Items'!$Q:$Q,MATCH($A489,'All Items'!$A:$A,0))</f>
        <v>7.15</v>
      </c>
      <c r="M489" s="8" t="s">
        <v>2715</v>
      </c>
      <c r="N489" s="8" t="s">
        <v>4776</v>
      </c>
      <c r="O489" s="8" t="s">
        <v>4785</v>
      </c>
      <c r="P489" s="8" t="s">
        <v>477</v>
      </c>
      <c r="Q489" s="8" t="s">
        <v>4786</v>
      </c>
      <c r="R489" s="8" t="s">
        <v>4787</v>
      </c>
      <c r="S489" s="19" t="s">
        <v>4788</v>
      </c>
      <c r="T489" s="8" t="s">
        <v>4789</v>
      </c>
      <c r="U489" s="8"/>
      <c r="V489" s="8" t="n">
        <f aca="false">COUNTA(M489:R489)</f>
        <v>6</v>
      </c>
      <c r="W489" s="8" t="s">
        <v>218</v>
      </c>
      <c r="X489" s="8" t="s">
        <v>259</v>
      </c>
      <c r="Y489" s="8" t="s">
        <v>218</v>
      </c>
      <c r="Z489" s="8"/>
      <c r="AA489" s="8" t="s">
        <v>4790</v>
      </c>
      <c r="AB489" s="20" t="s">
        <v>4791</v>
      </c>
      <c r="AC489" s="20" t="s">
        <v>221</v>
      </c>
      <c r="AD489" s="20" t="s">
        <v>4792</v>
      </c>
      <c r="AE489" s="8" t="s">
        <v>223</v>
      </c>
      <c r="AF489" s="8" t="s">
        <v>224</v>
      </c>
    </row>
    <row r="490" customFormat="false" ht="15" hidden="false" customHeight="false" outlineLevel="0" collapsed="false">
      <c r="A490" s="8" t="s">
        <v>4793</v>
      </c>
      <c r="B490" s="8" t="s">
        <v>4794</v>
      </c>
      <c r="C490" s="8"/>
      <c r="D490" s="8" t="s">
        <v>4795</v>
      </c>
      <c r="E490" s="8"/>
      <c r="F490" s="8" t="s">
        <v>71</v>
      </c>
      <c r="G490" s="8" t="s">
        <v>4584</v>
      </c>
      <c r="H490" s="8" t="s">
        <v>78</v>
      </c>
      <c r="I490" s="8" t="s">
        <v>227</v>
      </c>
      <c r="J490" s="8" t="n">
        <v>1</v>
      </c>
      <c r="K490" s="8" t="n">
        <v>3</v>
      </c>
      <c r="L490" s="18" t="n">
        <f aca="false">INDEX('All Items'!$Q:$Q,MATCH($A490,'All Items'!$A:$A,0))</f>
        <v>7.4</v>
      </c>
      <c r="M490" s="8" t="s">
        <v>214</v>
      </c>
      <c r="N490" s="8" t="s">
        <v>251</v>
      </c>
      <c r="O490" s="8" t="s">
        <v>4776</v>
      </c>
      <c r="P490" s="8" t="s">
        <v>3275</v>
      </c>
      <c r="Q490" s="8" t="s">
        <v>1782</v>
      </c>
      <c r="R490" s="8" t="s">
        <v>4796</v>
      </c>
      <c r="S490" s="19" t="s">
        <v>4797</v>
      </c>
      <c r="T490" s="8" t="s">
        <v>4798</v>
      </c>
      <c r="U490" s="8"/>
      <c r="V490" s="8" t="n">
        <f aca="false">COUNTA(M490:R490)</f>
        <v>6</v>
      </c>
      <c r="W490" s="8" t="s">
        <v>218</v>
      </c>
      <c r="X490" s="8" t="s">
        <v>259</v>
      </c>
      <c r="Y490" s="8" t="s">
        <v>218</v>
      </c>
      <c r="Z490" s="8"/>
      <c r="AA490" s="8" t="s">
        <v>4799</v>
      </c>
      <c r="AB490" s="20" t="s">
        <v>4800</v>
      </c>
      <c r="AC490" s="20" t="s">
        <v>221</v>
      </c>
      <c r="AD490" s="20" t="s">
        <v>4801</v>
      </c>
      <c r="AE490" s="8" t="s">
        <v>223</v>
      </c>
      <c r="AF490" s="8" t="s">
        <v>224</v>
      </c>
    </row>
    <row r="491" customFormat="false" ht="15" hidden="false" customHeight="false" outlineLevel="0" collapsed="false">
      <c r="A491" s="8" t="s">
        <v>4802</v>
      </c>
      <c r="B491" s="8" t="s">
        <v>4803</v>
      </c>
      <c r="C491" s="8"/>
      <c r="D491" s="8" t="s">
        <v>4795</v>
      </c>
      <c r="E491" s="8"/>
      <c r="F491" s="8" t="s">
        <v>71</v>
      </c>
      <c r="G491" s="8" t="s">
        <v>4584</v>
      </c>
      <c r="H491" s="8" t="s">
        <v>78</v>
      </c>
      <c r="I491" s="8" t="s">
        <v>208</v>
      </c>
      <c r="J491" s="8" t="n">
        <v>2</v>
      </c>
      <c r="K491" s="8" t="n">
        <v>3</v>
      </c>
      <c r="L491" s="18" t="n">
        <f aca="false">INDEX('All Items'!$Q:$Q,MATCH($A491,'All Items'!$A:$A,0))</f>
        <v>7.4</v>
      </c>
      <c r="M491" s="8" t="s">
        <v>4804</v>
      </c>
      <c r="N491" s="8" t="s">
        <v>3277</v>
      </c>
      <c r="O491" s="8" t="s">
        <v>1008</v>
      </c>
      <c r="P491" s="8" t="s">
        <v>4645</v>
      </c>
      <c r="Q491" s="8" t="s">
        <v>4805</v>
      </c>
      <c r="R491" s="8" t="s">
        <v>4796</v>
      </c>
      <c r="S491" s="19" t="s">
        <v>4806</v>
      </c>
      <c r="T491" s="8" t="s">
        <v>4807</v>
      </c>
      <c r="U491" s="8"/>
      <c r="V491" s="8" t="n">
        <f aca="false">COUNTA(M491:R491)</f>
        <v>6</v>
      </c>
      <c r="W491" s="8" t="s">
        <v>218</v>
      </c>
      <c r="X491" s="8" t="s">
        <v>259</v>
      </c>
      <c r="Y491" s="8" t="s">
        <v>218</v>
      </c>
      <c r="Z491" s="8"/>
      <c r="AA491" s="8" t="s">
        <v>4808</v>
      </c>
      <c r="AB491" s="20" t="s">
        <v>4809</v>
      </c>
      <c r="AC491" s="20" t="s">
        <v>221</v>
      </c>
      <c r="AD491" s="20" t="s">
        <v>4642</v>
      </c>
      <c r="AE491" s="8" t="s">
        <v>223</v>
      </c>
      <c r="AF491" s="8" t="s">
        <v>224</v>
      </c>
    </row>
    <row r="492" customFormat="false" ht="15" hidden="false" customHeight="false" outlineLevel="0" collapsed="false">
      <c r="A492" s="8" t="s">
        <v>4810</v>
      </c>
      <c r="B492" s="8" t="s">
        <v>4811</v>
      </c>
      <c r="C492" s="8"/>
      <c r="D492" s="8" t="s">
        <v>4812</v>
      </c>
      <c r="E492" s="8"/>
      <c r="F492" s="8" t="s">
        <v>71</v>
      </c>
      <c r="G492" s="8" t="s">
        <v>4813</v>
      </c>
      <c r="H492" s="8" t="s">
        <v>83</v>
      </c>
      <c r="I492" s="8" t="s">
        <v>208</v>
      </c>
      <c r="J492" s="8" t="n">
        <v>1</v>
      </c>
      <c r="K492" s="8" t="n">
        <v>3</v>
      </c>
      <c r="L492" s="18" t="n">
        <f aca="false">INDEX('All Items'!$Q:$Q,MATCH($A492,'All Items'!$A:$A,0))</f>
        <v>7.4</v>
      </c>
      <c r="M492" s="8" t="s">
        <v>1371</v>
      </c>
      <c r="N492" s="8" t="s">
        <v>4776</v>
      </c>
      <c r="O492" s="8" t="s">
        <v>4724</v>
      </c>
      <c r="P492" s="8" t="s">
        <v>919</v>
      </c>
      <c r="Q492" s="8" t="s">
        <v>4814</v>
      </c>
      <c r="R492" s="8" t="s">
        <v>4815</v>
      </c>
      <c r="S492" s="19" t="s">
        <v>4816</v>
      </c>
      <c r="T492" s="8" t="s">
        <v>4817</v>
      </c>
      <c r="U492" s="8"/>
      <c r="V492" s="8" t="n">
        <f aca="false">COUNTA(M492:R492)</f>
        <v>6</v>
      </c>
      <c r="W492" s="8" t="s">
        <v>218</v>
      </c>
      <c r="X492" s="8" t="s">
        <v>259</v>
      </c>
      <c r="Y492" s="8" t="s">
        <v>259</v>
      </c>
      <c r="Z492" s="8" t="s">
        <v>4818</v>
      </c>
      <c r="AA492" s="8" t="s">
        <v>4819</v>
      </c>
      <c r="AB492" s="20" t="s">
        <v>4820</v>
      </c>
      <c r="AC492" s="20" t="s">
        <v>384</v>
      </c>
      <c r="AD492" s="20" t="s">
        <v>4821</v>
      </c>
      <c r="AE492" s="8" t="s">
        <v>223</v>
      </c>
      <c r="AF492" s="8" t="s">
        <v>224</v>
      </c>
    </row>
    <row r="493" customFormat="false" ht="15" hidden="false" customHeight="false" outlineLevel="0" collapsed="false">
      <c r="A493" s="8" t="s">
        <v>4822</v>
      </c>
      <c r="B493" s="8" t="s">
        <v>4823</v>
      </c>
      <c r="C493" s="8"/>
      <c r="D493" s="8" t="s">
        <v>4812</v>
      </c>
      <c r="E493" s="8"/>
      <c r="F493" s="8" t="s">
        <v>71</v>
      </c>
      <c r="G493" s="8" t="s">
        <v>4813</v>
      </c>
      <c r="H493" s="8" t="s">
        <v>78</v>
      </c>
      <c r="I493" s="8" t="s">
        <v>208</v>
      </c>
      <c r="J493" s="8" t="n">
        <v>2</v>
      </c>
      <c r="K493" s="8" t="n">
        <v>3</v>
      </c>
      <c r="L493" s="18" t="n">
        <f aca="false">INDEX('All Items'!$Q:$Q,MATCH($A493,'All Items'!$A:$A,0))</f>
        <v>7.4</v>
      </c>
      <c r="M493" s="8" t="s">
        <v>3906</v>
      </c>
      <c r="N493" s="8" t="s">
        <v>412</v>
      </c>
      <c r="O493" s="8" t="s">
        <v>4824</v>
      </c>
      <c r="P493" s="8" t="s">
        <v>4825</v>
      </c>
      <c r="Q493" s="8" t="s">
        <v>4815</v>
      </c>
      <c r="R493" s="8" t="s">
        <v>4826</v>
      </c>
      <c r="S493" s="19" t="s">
        <v>4827</v>
      </c>
      <c r="T493" s="8" t="s">
        <v>4828</v>
      </c>
      <c r="U493" s="8" t="s">
        <v>4826</v>
      </c>
      <c r="V493" s="8" t="n">
        <f aca="false">COUNTA(M493:R493)</f>
        <v>6</v>
      </c>
      <c r="W493" s="8" t="s">
        <v>218</v>
      </c>
      <c r="X493" s="8" t="s">
        <v>259</v>
      </c>
      <c r="Y493" s="8" t="s">
        <v>259</v>
      </c>
      <c r="Z493" s="8" t="s">
        <v>4829</v>
      </c>
      <c r="AA493" s="8" t="s">
        <v>4830</v>
      </c>
      <c r="AB493" s="20"/>
      <c r="AC493" s="20"/>
      <c r="AD493" s="20"/>
      <c r="AE493" s="8" t="s">
        <v>237</v>
      </c>
      <c r="AF493" s="8" t="s">
        <v>224</v>
      </c>
    </row>
    <row r="494" customFormat="false" ht="15" hidden="false" customHeight="false" outlineLevel="0" collapsed="false">
      <c r="A494" s="8" t="s">
        <v>4831</v>
      </c>
      <c r="B494" s="8" t="s">
        <v>4832</v>
      </c>
      <c r="C494" s="8"/>
      <c r="D494" s="8" t="s">
        <v>4833</v>
      </c>
      <c r="E494" s="8"/>
      <c r="F494" s="8" t="s">
        <v>71</v>
      </c>
      <c r="G494" s="8" t="s">
        <v>4813</v>
      </c>
      <c r="H494" s="8" t="s">
        <v>78</v>
      </c>
      <c r="I494" s="8" t="s">
        <v>208</v>
      </c>
      <c r="J494" s="8" t="n">
        <v>1</v>
      </c>
      <c r="K494" s="8" t="n">
        <v>4</v>
      </c>
      <c r="L494" s="18" t="n">
        <f aca="false">INDEX('All Items'!$Q:$Q,MATCH($A494,'All Items'!$A:$A,0))</f>
        <v>8.45</v>
      </c>
      <c r="M494" s="8" t="s">
        <v>1669</v>
      </c>
      <c r="N494" s="8" t="s">
        <v>2593</v>
      </c>
      <c r="O494" s="8" t="s">
        <v>4776</v>
      </c>
      <c r="P494" s="8" t="s">
        <v>4834</v>
      </c>
      <c r="Q494" s="8" t="s">
        <v>4835</v>
      </c>
      <c r="R494" s="8" t="s">
        <v>4836</v>
      </c>
      <c r="S494" s="19" t="s">
        <v>4837</v>
      </c>
      <c r="T494" s="8" t="s">
        <v>4838</v>
      </c>
      <c r="U494" s="8" t="s">
        <v>4839</v>
      </c>
      <c r="V494" s="8" t="n">
        <f aca="false">COUNTA(M494:R494)</f>
        <v>6</v>
      </c>
      <c r="W494" s="8" t="s">
        <v>218</v>
      </c>
      <c r="X494" s="8" t="s">
        <v>259</v>
      </c>
      <c r="Y494" s="8" t="s">
        <v>218</v>
      </c>
      <c r="Z494" s="8"/>
      <c r="AA494" s="8" t="s">
        <v>4840</v>
      </c>
      <c r="AB494" s="20" t="s">
        <v>4841</v>
      </c>
      <c r="AC494" s="20" t="s">
        <v>384</v>
      </c>
      <c r="AD494" s="20" t="s">
        <v>4842</v>
      </c>
      <c r="AE494" s="8" t="s">
        <v>223</v>
      </c>
      <c r="AF494" s="8" t="s">
        <v>224</v>
      </c>
    </row>
    <row r="495" customFormat="false" ht="15" hidden="false" customHeight="false" outlineLevel="0" collapsed="false">
      <c r="A495" s="8" t="s">
        <v>4843</v>
      </c>
      <c r="B495" s="8" t="s">
        <v>4844</v>
      </c>
      <c r="C495" s="8"/>
      <c r="D495" s="8" t="s">
        <v>4833</v>
      </c>
      <c r="E495" s="8"/>
      <c r="F495" s="8" t="s">
        <v>71</v>
      </c>
      <c r="G495" s="8" t="s">
        <v>4813</v>
      </c>
      <c r="H495" s="8" t="s">
        <v>78</v>
      </c>
      <c r="I495" s="8" t="s">
        <v>208</v>
      </c>
      <c r="J495" s="8" t="n">
        <v>1</v>
      </c>
      <c r="K495" s="8" t="n">
        <v>4</v>
      </c>
      <c r="L495" s="18" t="n">
        <f aca="false">INDEX('All Items'!$Q:$Q,MATCH($A495,'All Items'!$A:$A,0))</f>
        <v>8.45</v>
      </c>
      <c r="M495" s="8" t="s">
        <v>4776</v>
      </c>
      <c r="N495" s="8" t="s">
        <v>1379</v>
      </c>
      <c r="O495" s="8" t="s">
        <v>4845</v>
      </c>
      <c r="P495" s="8" t="s">
        <v>1782</v>
      </c>
      <c r="Q495" s="8" t="s">
        <v>4835</v>
      </c>
      <c r="R495" s="8"/>
      <c r="S495" s="19" t="s">
        <v>4846</v>
      </c>
      <c r="T495" s="8" t="s">
        <v>4847</v>
      </c>
      <c r="U495" s="8"/>
      <c r="V495" s="8" t="n">
        <f aca="false">COUNTA(M495:R495)</f>
        <v>5</v>
      </c>
      <c r="W495" s="8" t="s">
        <v>218</v>
      </c>
      <c r="X495" s="8" t="s">
        <v>259</v>
      </c>
      <c r="Y495" s="8" t="s">
        <v>218</v>
      </c>
      <c r="Z495" s="8"/>
      <c r="AA495" s="8" t="s">
        <v>4848</v>
      </c>
      <c r="AB495" s="20" t="s">
        <v>4849</v>
      </c>
      <c r="AC495" s="20" t="s">
        <v>384</v>
      </c>
      <c r="AD495" s="20" t="s">
        <v>4850</v>
      </c>
      <c r="AE495" s="8" t="s">
        <v>223</v>
      </c>
      <c r="AF495" s="8" t="s">
        <v>224</v>
      </c>
    </row>
    <row r="496" customFormat="false" ht="15" hidden="false" customHeight="false" outlineLevel="0" collapsed="false">
      <c r="A496" s="8" t="s">
        <v>4851</v>
      </c>
      <c r="B496" s="8" t="s">
        <v>4852</v>
      </c>
      <c r="C496" s="8"/>
      <c r="D496" s="8" t="s">
        <v>4833</v>
      </c>
      <c r="E496" s="8"/>
      <c r="F496" s="8" t="s">
        <v>71</v>
      </c>
      <c r="G496" s="8" t="s">
        <v>4813</v>
      </c>
      <c r="H496" s="8" t="s">
        <v>79</v>
      </c>
      <c r="I496" s="8" t="s">
        <v>1030</v>
      </c>
      <c r="J496" s="8" t="n">
        <v>2</v>
      </c>
      <c r="K496" s="8" t="n">
        <v>3</v>
      </c>
      <c r="L496" s="18" t="n">
        <f aca="false">INDEX('All Items'!$Q:$Q,MATCH($A496,'All Items'!$A:$A,0))</f>
        <v>7.4</v>
      </c>
      <c r="M496" s="8" t="s">
        <v>214</v>
      </c>
      <c r="N496" s="8" t="s">
        <v>4776</v>
      </c>
      <c r="O496" s="8" t="s">
        <v>4853</v>
      </c>
      <c r="P496" s="8" t="s">
        <v>2535</v>
      </c>
      <c r="Q496" s="8" t="s">
        <v>4854</v>
      </c>
      <c r="R496" s="8" t="s">
        <v>4835</v>
      </c>
      <c r="S496" s="19" t="s">
        <v>4855</v>
      </c>
      <c r="T496" s="8" t="s">
        <v>4856</v>
      </c>
      <c r="U496" s="8"/>
      <c r="V496" s="8" t="n">
        <f aca="false">COUNTA(M496:R496)</f>
        <v>6</v>
      </c>
      <c r="W496" s="8" t="s">
        <v>218</v>
      </c>
      <c r="X496" s="8" t="s">
        <v>259</v>
      </c>
      <c r="Y496" s="8" t="s">
        <v>218</v>
      </c>
      <c r="Z496" s="8"/>
      <c r="AA496" s="8" t="s">
        <v>4857</v>
      </c>
      <c r="AB496" s="20" t="s">
        <v>4858</v>
      </c>
      <c r="AC496" s="20" t="s">
        <v>221</v>
      </c>
      <c r="AD496" s="20" t="s">
        <v>4859</v>
      </c>
      <c r="AE496" s="8" t="s">
        <v>223</v>
      </c>
      <c r="AF496" s="8" t="s">
        <v>224</v>
      </c>
    </row>
    <row r="497" customFormat="false" ht="15" hidden="false" customHeight="false" outlineLevel="0" collapsed="false">
      <c r="A497" s="8" t="s">
        <v>4860</v>
      </c>
      <c r="B497" s="8" t="s">
        <v>4861</v>
      </c>
      <c r="C497" s="8"/>
      <c r="D497" s="8" t="s">
        <v>4833</v>
      </c>
      <c r="E497" s="8"/>
      <c r="F497" s="8" t="s">
        <v>71</v>
      </c>
      <c r="G497" s="8" t="s">
        <v>4813</v>
      </c>
      <c r="H497" s="8" t="s">
        <v>89</v>
      </c>
      <c r="I497" s="8" t="s">
        <v>208</v>
      </c>
      <c r="J497" s="8" t="n">
        <v>2</v>
      </c>
      <c r="K497" s="8" t="n">
        <v>3</v>
      </c>
      <c r="L497" s="18" t="n">
        <f aca="false">INDEX('All Items'!$Q:$Q,MATCH($A497,'All Items'!$A:$A,0))</f>
        <v>7.4</v>
      </c>
      <c r="M497" s="8" t="s">
        <v>1934</v>
      </c>
      <c r="N497" s="8" t="s">
        <v>3491</v>
      </c>
      <c r="O497" s="8" t="s">
        <v>2009</v>
      </c>
      <c r="P497" s="8" t="s">
        <v>2932</v>
      </c>
      <c r="Q497" s="8" t="s">
        <v>4585</v>
      </c>
      <c r="R497" s="8" t="s">
        <v>4862</v>
      </c>
      <c r="S497" s="19" t="s">
        <v>4863</v>
      </c>
      <c r="T497" s="8" t="s">
        <v>4864</v>
      </c>
      <c r="U497" s="8" t="s">
        <v>4585</v>
      </c>
      <c r="V497" s="8" t="n">
        <f aca="false">COUNTA(M497:R497)</f>
        <v>6</v>
      </c>
      <c r="W497" s="8" t="s">
        <v>218</v>
      </c>
      <c r="X497" s="8" t="s">
        <v>259</v>
      </c>
      <c r="Y497" s="8" t="s">
        <v>218</v>
      </c>
      <c r="Z497" s="8"/>
      <c r="AA497" s="8" t="s">
        <v>4865</v>
      </c>
      <c r="AB497" s="20"/>
      <c r="AC497" s="20"/>
      <c r="AD497" s="20"/>
      <c r="AE497" s="8" t="s">
        <v>237</v>
      </c>
      <c r="AF497" s="8" t="s">
        <v>224</v>
      </c>
    </row>
    <row r="498" customFormat="false" ht="15" hidden="false" customHeight="false" outlineLevel="0" collapsed="false">
      <c r="A498" s="8" t="s">
        <v>4866</v>
      </c>
      <c r="B498" s="8" t="s">
        <v>4867</v>
      </c>
      <c r="C498" s="8"/>
      <c r="D498" s="8" t="s">
        <v>4868</v>
      </c>
      <c r="E498" s="8"/>
      <c r="F498" s="8" t="s">
        <v>71</v>
      </c>
      <c r="G498" s="8" t="s">
        <v>4869</v>
      </c>
      <c r="H498" s="8" t="s">
        <v>81</v>
      </c>
      <c r="I498" s="8" t="s">
        <v>208</v>
      </c>
      <c r="J498" s="8" t="n">
        <v>2</v>
      </c>
      <c r="K498" s="8" t="n">
        <v>3</v>
      </c>
      <c r="L498" s="18" t="n">
        <f aca="false">INDEX('All Items'!$Q:$Q,MATCH($A498,'All Items'!$A:$A,0))</f>
        <v>6.9</v>
      </c>
      <c r="M498" s="8" t="s">
        <v>4870</v>
      </c>
      <c r="N498" s="8" t="s">
        <v>4871</v>
      </c>
      <c r="O498" s="8" t="s">
        <v>4872</v>
      </c>
      <c r="P498" s="8" t="s">
        <v>4873</v>
      </c>
      <c r="Q498" s="8" t="s">
        <v>4874</v>
      </c>
      <c r="R498" s="8"/>
      <c r="S498" s="19" t="s">
        <v>4875</v>
      </c>
      <c r="T498" s="8" t="s">
        <v>4876</v>
      </c>
      <c r="U498" s="8"/>
      <c r="V498" s="8" t="n">
        <f aca="false">COUNTA(M498:R498)</f>
        <v>5</v>
      </c>
      <c r="W498" s="8" t="s">
        <v>218</v>
      </c>
      <c r="X498" s="8" t="s">
        <v>259</v>
      </c>
      <c r="Y498" s="8" t="s">
        <v>259</v>
      </c>
      <c r="Z498" s="8" t="s">
        <v>4877</v>
      </c>
      <c r="AA498" s="8" t="s">
        <v>4878</v>
      </c>
      <c r="AB498" s="20"/>
      <c r="AC498" s="20"/>
      <c r="AD498" s="20"/>
      <c r="AE498" s="8" t="s">
        <v>237</v>
      </c>
      <c r="AF498" s="8" t="s">
        <v>224</v>
      </c>
    </row>
    <row r="499" customFormat="false" ht="15" hidden="false" customHeight="false" outlineLevel="0" collapsed="false">
      <c r="A499" s="8" t="s">
        <v>4879</v>
      </c>
      <c r="B499" s="8" t="s">
        <v>4880</v>
      </c>
      <c r="C499" s="8"/>
      <c r="D499" s="8" t="s">
        <v>4868</v>
      </c>
      <c r="E499" s="8"/>
      <c r="F499" s="8" t="s">
        <v>71</v>
      </c>
      <c r="G499" s="8" t="s">
        <v>4869</v>
      </c>
      <c r="H499" s="8" t="s">
        <v>79</v>
      </c>
      <c r="I499" s="8" t="s">
        <v>208</v>
      </c>
      <c r="J499" s="8" t="n">
        <v>2</v>
      </c>
      <c r="K499" s="8" t="n">
        <v>3</v>
      </c>
      <c r="L499" s="18" t="n">
        <f aca="false">INDEX('All Items'!$Q:$Q,MATCH($A499,'All Items'!$A:$A,0))</f>
        <v>7.15</v>
      </c>
      <c r="M499" s="8" t="s">
        <v>214</v>
      </c>
      <c r="N499" s="8" t="s">
        <v>4881</v>
      </c>
      <c r="O499" s="8" t="s">
        <v>4882</v>
      </c>
      <c r="P499" s="8" t="s">
        <v>3793</v>
      </c>
      <c r="Q499" s="8" t="s">
        <v>4883</v>
      </c>
      <c r="R499" s="8" t="s">
        <v>4874</v>
      </c>
      <c r="S499" s="19" t="s">
        <v>4884</v>
      </c>
      <c r="T499" s="8" t="s">
        <v>4885</v>
      </c>
      <c r="U499" s="8"/>
      <c r="V499" s="8" t="n">
        <f aca="false">COUNTA(M499:R499)</f>
        <v>6</v>
      </c>
      <c r="W499" s="8" t="s">
        <v>218</v>
      </c>
      <c r="X499" s="8" t="s">
        <v>259</v>
      </c>
      <c r="Y499" s="8" t="s">
        <v>259</v>
      </c>
      <c r="Z499" s="8" t="s">
        <v>4886</v>
      </c>
      <c r="AA499" s="8" t="s">
        <v>4887</v>
      </c>
      <c r="AB499" s="20"/>
      <c r="AC499" s="20"/>
      <c r="AD499" s="20"/>
      <c r="AE499" s="8" t="s">
        <v>237</v>
      </c>
      <c r="AF499" s="8" t="s">
        <v>224</v>
      </c>
    </row>
    <row r="500" customFormat="false" ht="15" hidden="false" customHeight="false" outlineLevel="0" collapsed="false">
      <c r="A500" s="8" t="s">
        <v>4888</v>
      </c>
      <c r="B500" s="8" t="s">
        <v>4889</v>
      </c>
      <c r="C500" s="8"/>
      <c r="D500" s="8" t="s">
        <v>4890</v>
      </c>
      <c r="E500" s="8"/>
      <c r="F500" s="8" t="s">
        <v>71</v>
      </c>
      <c r="G500" s="8" t="s">
        <v>4869</v>
      </c>
      <c r="H500" s="8" t="s">
        <v>82</v>
      </c>
      <c r="I500" s="8" t="s">
        <v>227</v>
      </c>
      <c r="J500" s="8" t="n">
        <v>3</v>
      </c>
      <c r="K500" s="8" t="n">
        <v>4</v>
      </c>
      <c r="L500" s="18" t="n">
        <f aca="false">INDEX('All Items'!$Q:$Q,MATCH($A500,'All Items'!$A:$A,0))</f>
        <v>8.7</v>
      </c>
      <c r="M500" s="8" t="s">
        <v>324</v>
      </c>
      <c r="N500" s="8" t="s">
        <v>1313</v>
      </c>
      <c r="O500" s="8" t="s">
        <v>4891</v>
      </c>
      <c r="P500" s="8" t="s">
        <v>4892</v>
      </c>
      <c r="Q500" s="8" t="s">
        <v>4881</v>
      </c>
      <c r="R500" s="8" t="s">
        <v>4893</v>
      </c>
      <c r="S500" s="19" t="s">
        <v>4894</v>
      </c>
      <c r="T500" s="8" t="s">
        <v>4895</v>
      </c>
      <c r="U500" s="8"/>
      <c r="V500" s="8" t="n">
        <f aca="false">COUNTA(M500:R500)</f>
        <v>6</v>
      </c>
      <c r="W500" s="8" t="s">
        <v>218</v>
      </c>
      <c r="X500" s="8" t="s">
        <v>259</v>
      </c>
      <c r="Y500" s="8" t="s">
        <v>218</v>
      </c>
      <c r="Z500" s="8"/>
      <c r="AA500" s="8" t="s">
        <v>4896</v>
      </c>
      <c r="AB500" s="20" t="s">
        <v>4897</v>
      </c>
      <c r="AC500" s="20" t="s">
        <v>1174</v>
      </c>
      <c r="AD500" s="20" t="s">
        <v>4898</v>
      </c>
      <c r="AE500" s="8" t="s">
        <v>223</v>
      </c>
      <c r="AF500" s="8" t="s">
        <v>224</v>
      </c>
    </row>
    <row r="501" customFormat="false" ht="15" hidden="false" customHeight="false" outlineLevel="0" collapsed="false">
      <c r="A501" s="8" t="s">
        <v>4899</v>
      </c>
      <c r="B501" s="8" t="s">
        <v>4900</v>
      </c>
      <c r="C501" s="8"/>
      <c r="D501" s="8" t="s">
        <v>4901</v>
      </c>
      <c r="E501" s="8"/>
      <c r="F501" s="8" t="s">
        <v>70</v>
      </c>
      <c r="G501" s="8" t="s">
        <v>4902</v>
      </c>
      <c r="H501" s="8" t="s">
        <v>87</v>
      </c>
      <c r="I501" s="8" t="s">
        <v>227</v>
      </c>
      <c r="J501" s="8" t="n">
        <v>1</v>
      </c>
      <c r="K501" s="8" t="n">
        <v>3</v>
      </c>
      <c r="L501" s="18" t="n">
        <f aca="false">INDEX('All Items'!$Q:$Q,MATCH($A501,'All Items'!$A:$A,0))</f>
        <v>7.4</v>
      </c>
      <c r="M501" s="8" t="s">
        <v>2715</v>
      </c>
      <c r="N501" s="8" t="s">
        <v>4903</v>
      </c>
      <c r="O501" s="8" t="s">
        <v>4904</v>
      </c>
      <c r="P501" s="8" t="s">
        <v>1031</v>
      </c>
      <c r="Q501" s="8" t="s">
        <v>4905</v>
      </c>
      <c r="R501" s="8" t="s">
        <v>4906</v>
      </c>
      <c r="S501" s="19" t="s">
        <v>4907</v>
      </c>
      <c r="T501" s="8" t="s">
        <v>4908</v>
      </c>
      <c r="U501" s="8"/>
      <c r="V501" s="8" t="n">
        <f aca="false">COUNTA(M501:R501)</f>
        <v>6</v>
      </c>
      <c r="W501" s="8" t="s">
        <v>218</v>
      </c>
      <c r="X501" s="8" t="s">
        <v>259</v>
      </c>
      <c r="Y501" s="8" t="s">
        <v>218</v>
      </c>
      <c r="Z501" s="8"/>
      <c r="AA501" s="8" t="s">
        <v>4909</v>
      </c>
      <c r="AB501" s="20" t="s">
        <v>4910</v>
      </c>
      <c r="AC501" s="20" t="s">
        <v>1837</v>
      </c>
      <c r="AD501" s="20" t="s">
        <v>4911</v>
      </c>
      <c r="AE501" s="8" t="s">
        <v>223</v>
      </c>
      <c r="AF501" s="8" t="s">
        <v>224</v>
      </c>
    </row>
    <row r="502" customFormat="false" ht="15" hidden="false" customHeight="false" outlineLevel="0" collapsed="false">
      <c r="A502" s="8" t="s">
        <v>4912</v>
      </c>
      <c r="B502" s="8" t="s">
        <v>4913</v>
      </c>
      <c r="C502" s="8"/>
      <c r="D502" s="8" t="s">
        <v>4901</v>
      </c>
      <c r="E502" s="8"/>
      <c r="F502" s="8" t="s">
        <v>70</v>
      </c>
      <c r="G502" s="8" t="s">
        <v>4902</v>
      </c>
      <c r="H502" s="8" t="s">
        <v>79</v>
      </c>
      <c r="I502" s="8" t="s">
        <v>208</v>
      </c>
      <c r="J502" s="8" t="n">
        <v>2</v>
      </c>
      <c r="K502" s="8" t="n">
        <v>3</v>
      </c>
      <c r="L502" s="18" t="n">
        <f aca="false">INDEX('All Items'!$Q:$Q,MATCH($A502,'All Items'!$A:$A,0))</f>
        <v>6.9</v>
      </c>
      <c r="M502" s="8" t="s">
        <v>4914</v>
      </c>
      <c r="N502" s="8" t="s">
        <v>1782</v>
      </c>
      <c r="O502" s="8" t="s">
        <v>4906</v>
      </c>
      <c r="P502" s="8" t="s">
        <v>2571</v>
      </c>
      <c r="Q502" s="8" t="s">
        <v>4915</v>
      </c>
      <c r="R502" s="8" t="s">
        <v>4916</v>
      </c>
      <c r="S502" s="19" t="s">
        <v>4917</v>
      </c>
      <c r="T502" s="8" t="s">
        <v>1782</v>
      </c>
      <c r="U502" s="8"/>
      <c r="V502" s="8" t="n">
        <f aca="false">COUNTA(M502:R502)</f>
        <v>6</v>
      </c>
      <c r="W502" s="8" t="s">
        <v>218</v>
      </c>
      <c r="X502" s="8" t="s">
        <v>259</v>
      </c>
      <c r="Y502" s="8" t="s">
        <v>218</v>
      </c>
      <c r="Z502" s="8"/>
      <c r="AA502" s="8" t="s">
        <v>4918</v>
      </c>
      <c r="AB502" s="20" t="s">
        <v>4919</v>
      </c>
      <c r="AC502" s="20" t="s">
        <v>516</v>
      </c>
      <c r="AD502" s="20" t="s">
        <v>4920</v>
      </c>
      <c r="AE502" s="8" t="s">
        <v>223</v>
      </c>
      <c r="AF502" s="8" t="s">
        <v>224</v>
      </c>
    </row>
    <row r="503" customFormat="false" ht="15" hidden="false" customHeight="false" outlineLevel="0" collapsed="false">
      <c r="A503" s="8" t="s">
        <v>4921</v>
      </c>
      <c r="B503" s="8" t="s">
        <v>4922</v>
      </c>
      <c r="C503" s="8"/>
      <c r="D503" s="8" t="s">
        <v>4923</v>
      </c>
      <c r="E503" s="8"/>
      <c r="F503" s="8" t="s">
        <v>71</v>
      </c>
      <c r="G503" s="8" t="s">
        <v>3829</v>
      </c>
      <c r="H503" s="8" t="s">
        <v>78</v>
      </c>
      <c r="I503" s="8" t="s">
        <v>208</v>
      </c>
      <c r="J503" s="8" t="n">
        <v>1</v>
      </c>
      <c r="K503" s="8" t="n">
        <v>4</v>
      </c>
      <c r="L503" s="18" t="n">
        <f aca="false">INDEX('All Items'!$Q:$Q,MATCH($A503,'All Items'!$A:$A,0))</f>
        <v>8.7</v>
      </c>
      <c r="M503" s="8" t="s">
        <v>251</v>
      </c>
      <c r="N503" s="8" t="s">
        <v>3849</v>
      </c>
      <c r="O503" s="8" t="s">
        <v>4473</v>
      </c>
      <c r="P503" s="8" t="s">
        <v>574</v>
      </c>
      <c r="Q503" s="8" t="s">
        <v>4924</v>
      </c>
      <c r="R503" s="8" t="s">
        <v>4925</v>
      </c>
      <c r="S503" s="19" t="s">
        <v>4926</v>
      </c>
      <c r="T503" s="8" t="s">
        <v>4927</v>
      </c>
      <c r="U503" s="8"/>
      <c r="V503" s="8" t="n">
        <f aca="false">COUNTA(M503:R503)</f>
        <v>6</v>
      </c>
      <c r="W503" s="8" t="s">
        <v>218</v>
      </c>
      <c r="X503" s="8" t="s">
        <v>259</v>
      </c>
      <c r="Y503" s="8" t="s">
        <v>259</v>
      </c>
      <c r="Z503" s="8" t="s">
        <v>4928</v>
      </c>
      <c r="AA503" s="8" t="s">
        <v>4929</v>
      </c>
      <c r="AB503" s="20"/>
      <c r="AC503" s="20"/>
      <c r="AD503" s="20"/>
      <c r="AE503" s="8" t="s">
        <v>237</v>
      </c>
      <c r="AF503" s="8" t="s">
        <v>224</v>
      </c>
    </row>
    <row r="504" customFormat="false" ht="15" hidden="false" customHeight="false" outlineLevel="0" collapsed="false">
      <c r="A504" s="8" t="s">
        <v>4930</v>
      </c>
      <c r="B504" s="8" t="s">
        <v>4931</v>
      </c>
      <c r="C504" s="8" t="s">
        <v>4932</v>
      </c>
      <c r="D504" s="8" t="s">
        <v>4923</v>
      </c>
      <c r="E504" s="8"/>
      <c r="F504" s="8" t="s">
        <v>71</v>
      </c>
      <c r="G504" s="8" t="s">
        <v>3829</v>
      </c>
      <c r="H504" s="8" t="s">
        <v>89</v>
      </c>
      <c r="I504" s="8" t="s">
        <v>227</v>
      </c>
      <c r="J504" s="8" t="n">
        <v>1</v>
      </c>
      <c r="K504" s="8" t="n">
        <v>4</v>
      </c>
      <c r="L504" s="18" t="n">
        <f aca="false">INDEX('All Items'!$Q:$Q,MATCH($A504,'All Items'!$A:$A,0))</f>
        <v>8.7</v>
      </c>
      <c r="M504" s="8" t="s">
        <v>274</v>
      </c>
      <c r="N504" s="8" t="s">
        <v>4933</v>
      </c>
      <c r="O504" s="8" t="s">
        <v>2047</v>
      </c>
      <c r="P504" s="8" t="s">
        <v>4414</v>
      </c>
      <c r="Q504" s="8" t="s">
        <v>4934</v>
      </c>
      <c r="R504" s="8" t="s">
        <v>4935</v>
      </c>
      <c r="S504" s="19" t="s">
        <v>4936</v>
      </c>
      <c r="T504" s="8" t="s">
        <v>4937</v>
      </c>
      <c r="U504" s="8" t="s">
        <v>4935</v>
      </c>
      <c r="V504" s="8" t="n">
        <f aca="false">COUNTA(M504:R504)</f>
        <v>6</v>
      </c>
      <c r="W504" s="8" t="s">
        <v>218</v>
      </c>
      <c r="X504" s="8" t="s">
        <v>259</v>
      </c>
      <c r="Y504" s="8" t="s">
        <v>218</v>
      </c>
      <c r="Z504" s="8"/>
      <c r="AA504" s="8" t="s">
        <v>4938</v>
      </c>
      <c r="AB504" s="20" t="s">
        <v>4939</v>
      </c>
      <c r="AC504" s="20" t="s">
        <v>221</v>
      </c>
      <c r="AD504" s="20" t="s">
        <v>4940</v>
      </c>
      <c r="AE504" s="8" t="s">
        <v>223</v>
      </c>
      <c r="AF504" s="8" t="s">
        <v>224</v>
      </c>
    </row>
    <row r="505" customFormat="false" ht="15" hidden="false" customHeight="false" outlineLevel="0" collapsed="false">
      <c r="A505" s="8" t="s">
        <v>4941</v>
      </c>
      <c r="B505" s="8" t="s">
        <v>4942</v>
      </c>
      <c r="C505" s="8"/>
      <c r="D505" s="8" t="s">
        <v>4923</v>
      </c>
      <c r="E505" s="8"/>
      <c r="F505" s="8" t="s">
        <v>71</v>
      </c>
      <c r="G505" s="8" t="s">
        <v>3829</v>
      </c>
      <c r="H505" s="8" t="s">
        <v>81</v>
      </c>
      <c r="I505" s="8" t="s">
        <v>208</v>
      </c>
      <c r="J505" s="8" t="n">
        <v>1</v>
      </c>
      <c r="K505" s="8" t="n">
        <v>3</v>
      </c>
      <c r="L505" s="18" t="n">
        <f aca="false">INDEX('All Items'!$Q:$Q,MATCH($A505,'All Items'!$A:$A,0))</f>
        <v>7.4</v>
      </c>
      <c r="M505" s="8" t="s">
        <v>4933</v>
      </c>
      <c r="N505" s="8" t="s">
        <v>4943</v>
      </c>
      <c r="O505" s="8" t="s">
        <v>4944</v>
      </c>
      <c r="P505" s="8" t="s">
        <v>4945</v>
      </c>
      <c r="Q505" s="8" t="s">
        <v>4946</v>
      </c>
      <c r="R505" s="8" t="s">
        <v>4925</v>
      </c>
      <c r="S505" s="19" t="s">
        <v>4947</v>
      </c>
      <c r="T505" s="8" t="s">
        <v>4948</v>
      </c>
      <c r="U505" s="8"/>
      <c r="V505" s="8" t="n">
        <f aca="false">COUNTA(M505:R505)</f>
        <v>6</v>
      </c>
      <c r="W505" s="8" t="s">
        <v>218</v>
      </c>
      <c r="X505" s="8" t="s">
        <v>259</v>
      </c>
      <c r="Y505" s="8" t="s">
        <v>218</v>
      </c>
      <c r="Z505" s="8"/>
      <c r="AA505" s="8" t="s">
        <v>4949</v>
      </c>
      <c r="AB505" s="20" t="s">
        <v>4950</v>
      </c>
      <c r="AC505" s="20" t="s">
        <v>1174</v>
      </c>
      <c r="AD505" s="20" t="s">
        <v>4951</v>
      </c>
      <c r="AE505" s="8" t="s">
        <v>223</v>
      </c>
      <c r="AF505" s="8" t="s">
        <v>224</v>
      </c>
    </row>
    <row r="506" customFormat="false" ht="15" hidden="false" customHeight="false" outlineLevel="0" collapsed="false">
      <c r="A506" s="8" t="s">
        <v>4952</v>
      </c>
      <c r="B506" s="8" t="s">
        <v>4953</v>
      </c>
      <c r="C506" s="8"/>
      <c r="D506" s="8" t="s">
        <v>4923</v>
      </c>
      <c r="E506" s="8"/>
      <c r="F506" s="8" t="s">
        <v>71</v>
      </c>
      <c r="G506" s="8" t="s">
        <v>3829</v>
      </c>
      <c r="H506" s="8" t="s">
        <v>81</v>
      </c>
      <c r="I506" s="8" t="s">
        <v>208</v>
      </c>
      <c r="J506" s="8" t="n">
        <v>1</v>
      </c>
      <c r="K506" s="8" t="n">
        <v>4</v>
      </c>
      <c r="L506" s="18" t="n">
        <f aca="false">INDEX('All Items'!$Q:$Q,MATCH($A506,'All Items'!$A:$A,0))</f>
        <v>8.7</v>
      </c>
      <c r="M506" s="8" t="s">
        <v>274</v>
      </c>
      <c r="N506" s="8" t="s">
        <v>4214</v>
      </c>
      <c r="O506" s="8" t="s">
        <v>4943</v>
      </c>
      <c r="P506" s="8" t="s">
        <v>4944</v>
      </c>
      <c r="Q506" s="8" t="s">
        <v>4954</v>
      </c>
      <c r="R506" s="8" t="s">
        <v>4925</v>
      </c>
      <c r="S506" s="19" t="s">
        <v>4955</v>
      </c>
      <c r="T506" s="8" t="s">
        <v>4956</v>
      </c>
      <c r="U506" s="8"/>
      <c r="V506" s="8" t="n">
        <f aca="false">COUNTA(M506:R506)</f>
        <v>6</v>
      </c>
      <c r="W506" s="8" t="s">
        <v>218</v>
      </c>
      <c r="X506" s="8" t="s">
        <v>259</v>
      </c>
      <c r="Y506" s="8" t="s">
        <v>259</v>
      </c>
      <c r="Z506" s="8" t="s">
        <v>4957</v>
      </c>
      <c r="AA506" s="8" t="s">
        <v>4958</v>
      </c>
      <c r="AB506" s="20" t="s">
        <v>4959</v>
      </c>
      <c r="AC506" s="20" t="s">
        <v>1174</v>
      </c>
      <c r="AD506" s="20" t="s">
        <v>4960</v>
      </c>
      <c r="AE506" s="8" t="s">
        <v>223</v>
      </c>
      <c r="AF506" s="8" t="s">
        <v>224</v>
      </c>
    </row>
    <row r="507" customFormat="false" ht="15" hidden="false" customHeight="false" outlineLevel="0" collapsed="false">
      <c r="A507" s="8" t="s">
        <v>4961</v>
      </c>
      <c r="B507" s="8" t="s">
        <v>4962</v>
      </c>
      <c r="C507" s="8"/>
      <c r="D507" s="8" t="s">
        <v>4923</v>
      </c>
      <c r="E507" s="8"/>
      <c r="F507" s="8" t="s">
        <v>71</v>
      </c>
      <c r="G507" s="8" t="s">
        <v>3829</v>
      </c>
      <c r="H507" s="8" t="s">
        <v>79</v>
      </c>
      <c r="I507" s="8" t="s">
        <v>227</v>
      </c>
      <c r="J507" s="8" t="n">
        <v>2</v>
      </c>
      <c r="K507" s="8" t="n">
        <v>3</v>
      </c>
      <c r="L507" s="18" t="n">
        <f aca="false">INDEX('All Items'!$Q:$Q,MATCH($A507,'All Items'!$A:$A,0))</f>
        <v>7.4</v>
      </c>
      <c r="M507" s="8" t="s">
        <v>4724</v>
      </c>
      <c r="N507" s="8" t="s">
        <v>4891</v>
      </c>
      <c r="O507" s="8" t="s">
        <v>4934</v>
      </c>
      <c r="P507" s="8" t="s">
        <v>1969</v>
      </c>
      <c r="Q507" s="8" t="s">
        <v>4963</v>
      </c>
      <c r="R507" s="8" t="s">
        <v>4925</v>
      </c>
      <c r="S507" s="19" t="s">
        <v>4964</v>
      </c>
      <c r="T507" s="8" t="s">
        <v>4965</v>
      </c>
      <c r="U507" s="8"/>
      <c r="V507" s="8" t="n">
        <f aca="false">COUNTA(M507:R507)</f>
        <v>6</v>
      </c>
      <c r="W507" s="8" t="s">
        <v>218</v>
      </c>
      <c r="X507" s="8" t="s">
        <v>259</v>
      </c>
      <c r="Y507" s="8" t="s">
        <v>218</v>
      </c>
      <c r="Z507" s="8"/>
      <c r="AA507" s="8" t="s">
        <v>4966</v>
      </c>
      <c r="AB507" s="20"/>
      <c r="AC507" s="20"/>
      <c r="AD507" s="20"/>
      <c r="AE507" s="8" t="s">
        <v>237</v>
      </c>
      <c r="AF507" s="8" t="s">
        <v>224</v>
      </c>
    </row>
    <row r="508" customFormat="false" ht="15" hidden="false" customHeight="false" outlineLevel="0" collapsed="false">
      <c r="A508" s="8" t="s">
        <v>4967</v>
      </c>
      <c r="B508" s="8" t="s">
        <v>4968</v>
      </c>
      <c r="C508" s="8"/>
      <c r="D508" s="8" t="s">
        <v>4923</v>
      </c>
      <c r="E508" s="8"/>
      <c r="F508" s="8" t="s">
        <v>71</v>
      </c>
      <c r="G508" s="8" t="s">
        <v>3829</v>
      </c>
      <c r="H508" s="8" t="s">
        <v>88</v>
      </c>
      <c r="I508" s="8" t="s">
        <v>227</v>
      </c>
      <c r="J508" s="8" t="n">
        <v>1</v>
      </c>
      <c r="K508" s="8" t="n">
        <v>4</v>
      </c>
      <c r="L508" s="18" t="n">
        <f aca="false">INDEX('All Items'!$Q:$Q,MATCH($A508,'All Items'!$A:$A,0))</f>
        <v>8.2</v>
      </c>
      <c r="M508" s="8" t="s">
        <v>2047</v>
      </c>
      <c r="N508" s="8" t="s">
        <v>4969</v>
      </c>
      <c r="O508" s="8" t="s">
        <v>4970</v>
      </c>
      <c r="P508" s="8" t="s">
        <v>4072</v>
      </c>
      <c r="Q508" s="8" t="s">
        <v>3984</v>
      </c>
      <c r="R508" s="8" t="s">
        <v>4971</v>
      </c>
      <c r="S508" s="19" t="s">
        <v>4972</v>
      </c>
      <c r="T508" s="8" t="s">
        <v>4973</v>
      </c>
      <c r="U508" s="8"/>
      <c r="V508" s="8" t="n">
        <f aca="false">COUNTA(M508:R508)</f>
        <v>6</v>
      </c>
      <c r="W508" s="8" t="s">
        <v>218</v>
      </c>
      <c r="X508" s="8" t="s">
        <v>259</v>
      </c>
      <c r="Y508" s="8" t="s">
        <v>218</v>
      </c>
      <c r="Z508" s="8"/>
      <c r="AA508" s="8" t="s">
        <v>4974</v>
      </c>
      <c r="AB508" s="20"/>
      <c r="AC508" s="20"/>
      <c r="AD508" s="20"/>
      <c r="AE508" s="8" t="s">
        <v>237</v>
      </c>
      <c r="AF508" s="8" t="s">
        <v>224</v>
      </c>
    </row>
    <row r="509" customFormat="false" ht="15" hidden="false" customHeight="false" outlineLevel="0" collapsed="false">
      <c r="A509" s="8" t="s">
        <v>4975</v>
      </c>
      <c r="B509" s="8" t="s">
        <v>4976</v>
      </c>
      <c r="C509" s="8"/>
      <c r="D509" s="8" t="s">
        <v>4923</v>
      </c>
      <c r="E509" s="8"/>
      <c r="F509" s="8" t="s">
        <v>71</v>
      </c>
      <c r="G509" s="8" t="s">
        <v>3829</v>
      </c>
      <c r="H509" s="8" t="s">
        <v>79</v>
      </c>
      <c r="I509" s="8" t="s">
        <v>273</v>
      </c>
      <c r="J509" s="8" t="n">
        <v>2</v>
      </c>
      <c r="K509" s="8" t="n">
        <v>3</v>
      </c>
      <c r="L509" s="18" t="n">
        <f aca="false">INDEX('All Items'!$Q:$Q,MATCH($A509,'All Items'!$A:$A,0))</f>
        <v>7.4</v>
      </c>
      <c r="M509" s="8" t="s">
        <v>275</v>
      </c>
      <c r="N509" s="8" t="s">
        <v>4724</v>
      </c>
      <c r="O509" s="8" t="s">
        <v>388</v>
      </c>
      <c r="P509" s="8" t="s">
        <v>4977</v>
      </c>
      <c r="Q509" s="8" t="s">
        <v>4978</v>
      </c>
      <c r="R509" s="8" t="s">
        <v>4925</v>
      </c>
      <c r="S509" s="19" t="s">
        <v>4979</v>
      </c>
      <c r="T509" s="8" t="s">
        <v>4980</v>
      </c>
      <c r="U509" s="8"/>
      <c r="V509" s="8" t="n">
        <f aca="false">COUNTA(M509:R509)</f>
        <v>6</v>
      </c>
      <c r="W509" s="8" t="s">
        <v>218</v>
      </c>
      <c r="X509" s="8" t="s">
        <v>259</v>
      </c>
      <c r="Y509" s="8" t="s">
        <v>259</v>
      </c>
      <c r="Z509" s="8" t="s">
        <v>4981</v>
      </c>
      <c r="AA509" s="8" t="s">
        <v>4982</v>
      </c>
      <c r="AB509" s="20" t="s">
        <v>4983</v>
      </c>
      <c r="AC509" s="20" t="s">
        <v>1174</v>
      </c>
      <c r="AD509" s="20" t="s">
        <v>4984</v>
      </c>
      <c r="AE509" s="8" t="s">
        <v>223</v>
      </c>
      <c r="AF509" s="8" t="s">
        <v>224</v>
      </c>
    </row>
    <row r="510" customFormat="false" ht="15" hidden="false" customHeight="false" outlineLevel="0" collapsed="false">
      <c r="A510" s="8" t="s">
        <v>4985</v>
      </c>
      <c r="B510" s="8" t="s">
        <v>4986</v>
      </c>
      <c r="C510" s="8"/>
      <c r="D510" s="8" t="s">
        <v>4987</v>
      </c>
      <c r="E510" s="8"/>
      <c r="F510" s="8" t="s">
        <v>70</v>
      </c>
      <c r="G510" s="8" t="s">
        <v>4902</v>
      </c>
      <c r="H510" s="8" t="s">
        <v>80</v>
      </c>
      <c r="I510" s="8" t="s">
        <v>227</v>
      </c>
      <c r="J510" s="8" t="n">
        <v>1</v>
      </c>
      <c r="K510" s="8" t="n">
        <v>4</v>
      </c>
      <c r="L510" s="18" t="n">
        <f aca="false">INDEX('All Items'!$Q:$Q,MATCH($A510,'All Items'!$A:$A,0))</f>
        <v>8.7</v>
      </c>
      <c r="M510" s="8" t="s">
        <v>214</v>
      </c>
      <c r="N510" s="8" t="s">
        <v>4988</v>
      </c>
      <c r="O510" s="8" t="s">
        <v>4989</v>
      </c>
      <c r="P510" s="8" t="s">
        <v>463</v>
      </c>
      <c r="Q510" s="8" t="s">
        <v>4990</v>
      </c>
      <c r="R510" s="8" t="s">
        <v>4991</v>
      </c>
      <c r="S510" s="19" t="s">
        <v>4992</v>
      </c>
      <c r="T510" s="8" t="s">
        <v>4993</v>
      </c>
      <c r="U510" s="8"/>
      <c r="V510" s="8" t="n">
        <f aca="false">COUNTA(M510:R510)</f>
        <v>6</v>
      </c>
      <c r="W510" s="8" t="s">
        <v>218</v>
      </c>
      <c r="X510" s="8" t="s">
        <v>259</v>
      </c>
      <c r="Y510" s="8" t="s">
        <v>259</v>
      </c>
      <c r="Z510" s="8" t="s">
        <v>4994</v>
      </c>
      <c r="AA510" s="8" t="s">
        <v>4995</v>
      </c>
      <c r="AB510" s="20"/>
      <c r="AC510" s="20"/>
      <c r="AD510" s="20"/>
      <c r="AE510" s="8" t="s">
        <v>237</v>
      </c>
      <c r="AF510" s="8" t="s">
        <v>224</v>
      </c>
    </row>
    <row r="511" customFormat="false" ht="15" hidden="false" customHeight="false" outlineLevel="0" collapsed="false">
      <c r="A511" s="8" t="s">
        <v>4996</v>
      </c>
      <c r="B511" s="8" t="s">
        <v>4997</v>
      </c>
      <c r="C511" s="8"/>
      <c r="D511" s="8" t="s">
        <v>4987</v>
      </c>
      <c r="E511" s="8"/>
      <c r="F511" s="8" t="s">
        <v>70</v>
      </c>
      <c r="G511" s="8" t="s">
        <v>4902</v>
      </c>
      <c r="H511" s="8" t="s">
        <v>81</v>
      </c>
      <c r="I511" s="8" t="s">
        <v>208</v>
      </c>
      <c r="J511" s="8" t="n">
        <v>1</v>
      </c>
      <c r="K511" s="8" t="n">
        <v>4</v>
      </c>
      <c r="L511" s="18" t="n">
        <f aca="false">INDEX('All Items'!$Q:$Q,MATCH($A511,'All Items'!$A:$A,0))</f>
        <v>8.45</v>
      </c>
      <c r="M511" s="8" t="s">
        <v>274</v>
      </c>
      <c r="N511" s="8" t="s">
        <v>4998</v>
      </c>
      <c r="O511" s="8" t="s">
        <v>854</v>
      </c>
      <c r="P511" s="8" t="s">
        <v>4954</v>
      </c>
      <c r="Q511" s="8" t="s">
        <v>4991</v>
      </c>
      <c r="R511" s="8"/>
      <c r="S511" s="19" t="s">
        <v>4999</v>
      </c>
      <c r="T511" s="8" t="s">
        <v>5000</v>
      </c>
      <c r="U511" s="8"/>
      <c r="V511" s="8" t="n">
        <f aca="false">COUNTA(M511:R511)</f>
        <v>5</v>
      </c>
      <c r="W511" s="8" t="s">
        <v>218</v>
      </c>
      <c r="X511" s="8" t="s">
        <v>259</v>
      </c>
      <c r="Y511" s="8" t="s">
        <v>259</v>
      </c>
      <c r="Z511" s="8" t="s">
        <v>5001</v>
      </c>
      <c r="AA511" s="8" t="s">
        <v>5002</v>
      </c>
      <c r="AB511" s="20"/>
      <c r="AC511" s="20"/>
      <c r="AD511" s="20"/>
      <c r="AE511" s="8" t="s">
        <v>237</v>
      </c>
      <c r="AF511" s="8" t="s">
        <v>224</v>
      </c>
    </row>
    <row r="512" customFormat="false" ht="15" hidden="false" customHeight="false" outlineLevel="0" collapsed="false">
      <c r="A512" s="8" t="s">
        <v>5003</v>
      </c>
      <c r="B512" s="8" t="s">
        <v>5004</v>
      </c>
      <c r="C512" s="8"/>
      <c r="D512" s="8" t="s">
        <v>4987</v>
      </c>
      <c r="E512" s="8"/>
      <c r="F512" s="8" t="s">
        <v>70</v>
      </c>
      <c r="G512" s="8" t="s">
        <v>4902</v>
      </c>
      <c r="H512" s="8" t="s">
        <v>78</v>
      </c>
      <c r="I512" s="8" t="s">
        <v>208</v>
      </c>
      <c r="J512" s="8" t="n">
        <v>2</v>
      </c>
      <c r="K512" s="8" t="n">
        <v>3</v>
      </c>
      <c r="L512" s="18" t="n">
        <f aca="false">INDEX('All Items'!$Q:$Q,MATCH($A512,'All Items'!$A:$A,0))</f>
        <v>7.4</v>
      </c>
      <c r="M512" s="8" t="s">
        <v>5005</v>
      </c>
      <c r="N512" s="8" t="s">
        <v>5006</v>
      </c>
      <c r="O512" s="8" t="s">
        <v>5007</v>
      </c>
      <c r="P512" s="8" t="s">
        <v>5008</v>
      </c>
      <c r="Q512" s="8" t="s">
        <v>5009</v>
      </c>
      <c r="R512" s="8" t="s">
        <v>5010</v>
      </c>
      <c r="S512" s="19" t="s">
        <v>5011</v>
      </c>
      <c r="T512" s="8" t="s">
        <v>5012</v>
      </c>
      <c r="U512" s="8"/>
      <c r="V512" s="8" t="n">
        <f aca="false">COUNTA(M512:R512)</f>
        <v>6</v>
      </c>
      <c r="W512" s="8" t="s">
        <v>218</v>
      </c>
      <c r="X512" s="8" t="s">
        <v>259</v>
      </c>
      <c r="Y512" s="8" t="s">
        <v>218</v>
      </c>
      <c r="Z512" s="8"/>
      <c r="AA512" s="8" t="s">
        <v>5013</v>
      </c>
      <c r="AB512" s="20" t="s">
        <v>5014</v>
      </c>
      <c r="AC512" s="20" t="s">
        <v>221</v>
      </c>
      <c r="AD512" s="20" t="s">
        <v>5015</v>
      </c>
      <c r="AE512" s="8" t="s">
        <v>223</v>
      </c>
      <c r="AF512" s="8" t="s">
        <v>224</v>
      </c>
    </row>
    <row r="513" customFormat="false" ht="15" hidden="false" customHeight="false" outlineLevel="0" collapsed="false">
      <c r="A513" s="8" t="s">
        <v>5016</v>
      </c>
      <c r="B513" s="8" t="s">
        <v>5017</v>
      </c>
      <c r="C513" s="8"/>
      <c r="D513" s="8" t="s">
        <v>4987</v>
      </c>
      <c r="E513" s="8"/>
      <c r="F513" s="8" t="s">
        <v>70</v>
      </c>
      <c r="G513" s="8" t="s">
        <v>4902</v>
      </c>
      <c r="H513" s="8" t="s">
        <v>78</v>
      </c>
      <c r="I513" s="8" t="s">
        <v>208</v>
      </c>
      <c r="J513" s="8" t="n">
        <v>2</v>
      </c>
      <c r="K513" s="8" t="n">
        <v>3</v>
      </c>
      <c r="L513" s="18" t="n">
        <f aca="false">INDEX('All Items'!$Q:$Q,MATCH($A513,'All Items'!$A:$A,0))</f>
        <v>7.4</v>
      </c>
      <c r="M513" s="8" t="s">
        <v>5018</v>
      </c>
      <c r="N513" s="8" t="s">
        <v>5019</v>
      </c>
      <c r="O513" s="8" t="s">
        <v>5020</v>
      </c>
      <c r="P513" s="8" t="s">
        <v>5021</v>
      </c>
      <c r="Q513" s="8" t="s">
        <v>4473</v>
      </c>
      <c r="R513" s="8" t="s">
        <v>4991</v>
      </c>
      <c r="S513" s="19" t="s">
        <v>5022</v>
      </c>
      <c r="T513" s="8" t="s">
        <v>5023</v>
      </c>
      <c r="U513" s="8"/>
      <c r="V513" s="8" t="n">
        <f aca="false">COUNTA(M513:R513)</f>
        <v>6</v>
      </c>
      <c r="W513" s="8" t="s">
        <v>218</v>
      </c>
      <c r="X513" s="8" t="s">
        <v>259</v>
      </c>
      <c r="Y513" s="8" t="s">
        <v>218</v>
      </c>
      <c r="Z513" s="8"/>
      <c r="AA513" s="8" t="s">
        <v>5024</v>
      </c>
      <c r="AB513" s="20"/>
      <c r="AC513" s="20"/>
      <c r="AD513" s="20"/>
      <c r="AE513" s="8" t="s">
        <v>237</v>
      </c>
      <c r="AF513" s="8" t="s">
        <v>224</v>
      </c>
    </row>
    <row r="514" customFormat="false" ht="15" hidden="false" customHeight="false" outlineLevel="0" collapsed="false">
      <c r="A514" s="8" t="s">
        <v>5025</v>
      </c>
      <c r="B514" s="8" t="s">
        <v>5026</v>
      </c>
      <c r="C514" s="8"/>
      <c r="D514" s="8" t="s">
        <v>4987</v>
      </c>
      <c r="E514" s="8"/>
      <c r="F514" s="8" t="s">
        <v>70</v>
      </c>
      <c r="G514" s="8" t="s">
        <v>4902</v>
      </c>
      <c r="H514" s="8" t="s">
        <v>81</v>
      </c>
      <c r="I514" s="8" t="s">
        <v>208</v>
      </c>
      <c r="J514" s="8" t="n">
        <v>2</v>
      </c>
      <c r="K514" s="8" t="n">
        <v>3</v>
      </c>
      <c r="L514" s="18" t="n">
        <f aca="false">INDEX('All Items'!$Q:$Q,MATCH($A514,'All Items'!$A:$A,0))</f>
        <v>7.4</v>
      </c>
      <c r="M514" s="8" t="s">
        <v>274</v>
      </c>
      <c r="N514" s="8" t="s">
        <v>3906</v>
      </c>
      <c r="O514" s="8" t="s">
        <v>5027</v>
      </c>
      <c r="P514" s="8" t="s">
        <v>4473</v>
      </c>
      <c r="Q514" s="8" t="s">
        <v>5028</v>
      </c>
      <c r="R514" s="8" t="s">
        <v>4991</v>
      </c>
      <c r="S514" s="19" t="s">
        <v>5029</v>
      </c>
      <c r="T514" s="8" t="s">
        <v>5030</v>
      </c>
      <c r="U514" s="8"/>
      <c r="V514" s="8" t="n">
        <f aca="false">COUNTA(M514:R514)</f>
        <v>6</v>
      </c>
      <c r="W514" s="8" t="s">
        <v>218</v>
      </c>
      <c r="X514" s="8" t="s">
        <v>259</v>
      </c>
      <c r="Y514" s="8" t="s">
        <v>218</v>
      </c>
      <c r="Z514" s="8"/>
      <c r="AA514" s="8" t="s">
        <v>5031</v>
      </c>
      <c r="AB514" s="20" t="s">
        <v>5032</v>
      </c>
      <c r="AC514" s="20" t="s">
        <v>1174</v>
      </c>
      <c r="AD514" s="20" t="s">
        <v>5033</v>
      </c>
      <c r="AE514" s="8" t="s">
        <v>223</v>
      </c>
      <c r="AF514" s="8" t="s">
        <v>224</v>
      </c>
    </row>
    <row r="515" customFormat="false" ht="15" hidden="false" customHeight="false" outlineLevel="0" collapsed="false">
      <c r="A515" s="8" t="s">
        <v>5034</v>
      </c>
      <c r="B515" s="8" t="s">
        <v>5035</v>
      </c>
      <c r="C515" s="8" t="s">
        <v>5036</v>
      </c>
      <c r="D515" s="8" t="s">
        <v>4987</v>
      </c>
      <c r="E515" s="8"/>
      <c r="F515" s="8" t="s">
        <v>70</v>
      </c>
      <c r="G515" s="8" t="s">
        <v>4902</v>
      </c>
      <c r="H515" s="8" t="s">
        <v>84</v>
      </c>
      <c r="I515" s="8" t="s">
        <v>273</v>
      </c>
      <c r="J515" s="8" t="n">
        <v>2</v>
      </c>
      <c r="K515" s="8" t="n">
        <v>4</v>
      </c>
      <c r="L515" s="18" t="n">
        <f aca="false">INDEX('All Items'!$Q:$Q,MATCH($A515,'All Items'!$A:$A,0))</f>
        <v>8.2</v>
      </c>
      <c r="M515" s="8" t="s">
        <v>5037</v>
      </c>
      <c r="N515" s="8" t="s">
        <v>463</v>
      </c>
      <c r="O515" s="8" t="s">
        <v>2126</v>
      </c>
      <c r="P515" s="8" t="s">
        <v>5038</v>
      </c>
      <c r="Q515" s="8" t="s">
        <v>5039</v>
      </c>
      <c r="R515" s="8" t="s">
        <v>5040</v>
      </c>
      <c r="S515" s="19" t="s">
        <v>5041</v>
      </c>
      <c r="T515" s="8" t="s">
        <v>5042</v>
      </c>
      <c r="U515" s="8"/>
      <c r="V515" s="8" t="n">
        <f aca="false">COUNTA(M515:R515)</f>
        <v>6</v>
      </c>
      <c r="W515" s="8" t="s">
        <v>218</v>
      </c>
      <c r="X515" s="8" t="s">
        <v>259</v>
      </c>
      <c r="Y515" s="8" t="s">
        <v>218</v>
      </c>
      <c r="Z515" s="8"/>
      <c r="AA515" s="8" t="s">
        <v>5043</v>
      </c>
      <c r="AB515" s="20"/>
      <c r="AC515" s="20"/>
      <c r="AD515" s="20"/>
      <c r="AE515" s="8" t="s">
        <v>237</v>
      </c>
      <c r="AF515" s="8" t="s">
        <v>224</v>
      </c>
    </row>
    <row r="516" customFormat="false" ht="15" hidden="false" customHeight="false" outlineLevel="0" collapsed="false">
      <c r="A516" s="8" t="s">
        <v>5044</v>
      </c>
      <c r="B516" s="8" t="s">
        <v>5045</v>
      </c>
      <c r="C516" s="8"/>
      <c r="D516" s="8" t="s">
        <v>5046</v>
      </c>
      <c r="E516" s="8"/>
      <c r="F516" s="8" t="s">
        <v>72</v>
      </c>
      <c r="G516" s="8" t="s">
        <v>5047</v>
      </c>
      <c r="H516" s="8" t="s">
        <v>78</v>
      </c>
      <c r="I516" s="8" t="s">
        <v>208</v>
      </c>
      <c r="J516" s="8" t="n">
        <v>1</v>
      </c>
      <c r="K516" s="8" t="n">
        <v>5</v>
      </c>
      <c r="L516" s="18" t="n">
        <f aca="false">INDEX('All Items'!$Q:$Q,MATCH($A516,'All Items'!$A:$A,0))</f>
        <v>10</v>
      </c>
      <c r="M516" s="8" t="s">
        <v>3500</v>
      </c>
      <c r="N516" s="8" t="s">
        <v>3275</v>
      </c>
      <c r="O516" s="8" t="s">
        <v>754</v>
      </c>
      <c r="P516" s="8" t="s">
        <v>5048</v>
      </c>
      <c r="Q516" s="8" t="s">
        <v>5049</v>
      </c>
      <c r="R516" s="8" t="s">
        <v>5050</v>
      </c>
      <c r="S516" s="19" t="s">
        <v>5051</v>
      </c>
      <c r="T516" s="8" t="s">
        <v>5052</v>
      </c>
      <c r="U516" s="8"/>
      <c r="V516" s="8" t="n">
        <f aca="false">COUNTA(M516:R516)</f>
        <v>6</v>
      </c>
      <c r="W516" s="8" t="s">
        <v>218</v>
      </c>
      <c r="X516" s="8" t="s">
        <v>259</v>
      </c>
      <c r="Y516" s="8" t="s">
        <v>259</v>
      </c>
      <c r="Z516" s="8" t="s">
        <v>5053</v>
      </c>
      <c r="AA516" s="8" t="s">
        <v>5054</v>
      </c>
      <c r="AB516" s="20" t="s">
        <v>5055</v>
      </c>
      <c r="AC516" s="20" t="s">
        <v>1174</v>
      </c>
      <c r="AD516" s="20" t="s">
        <v>5056</v>
      </c>
      <c r="AE516" s="8" t="s">
        <v>223</v>
      </c>
      <c r="AF516" s="8" t="s">
        <v>224</v>
      </c>
    </row>
    <row r="517" customFormat="false" ht="15" hidden="false" customHeight="false" outlineLevel="0" collapsed="false">
      <c r="A517" s="8" t="s">
        <v>5057</v>
      </c>
      <c r="B517" s="8" t="s">
        <v>5058</v>
      </c>
      <c r="C517" s="8"/>
      <c r="D517" s="8" t="s">
        <v>5046</v>
      </c>
      <c r="E517" s="8"/>
      <c r="F517" s="8" t="s">
        <v>72</v>
      </c>
      <c r="G517" s="8" t="s">
        <v>5047</v>
      </c>
      <c r="H517" s="8" t="s">
        <v>81</v>
      </c>
      <c r="I517" s="8" t="s">
        <v>208</v>
      </c>
      <c r="J517" s="8" t="n">
        <v>1</v>
      </c>
      <c r="K517" s="8" t="n">
        <v>5</v>
      </c>
      <c r="L517" s="18" t="n">
        <f aca="false">INDEX('All Items'!$Q:$Q,MATCH($A517,'All Items'!$A:$A,0))</f>
        <v>10</v>
      </c>
      <c r="M517" s="8" t="s">
        <v>1669</v>
      </c>
      <c r="N517" s="8" t="s">
        <v>2612</v>
      </c>
      <c r="O517" s="8" t="s">
        <v>754</v>
      </c>
      <c r="P517" s="8" t="s">
        <v>5059</v>
      </c>
      <c r="Q517" s="8" t="s">
        <v>5060</v>
      </c>
      <c r="R517" s="8" t="s">
        <v>5050</v>
      </c>
      <c r="S517" s="19" t="s">
        <v>5061</v>
      </c>
      <c r="T517" s="8" t="s">
        <v>5062</v>
      </c>
      <c r="U517" s="8"/>
      <c r="V517" s="8" t="n">
        <f aca="false">COUNTA(M517:R517)</f>
        <v>6</v>
      </c>
      <c r="W517" s="8" t="s">
        <v>218</v>
      </c>
      <c r="X517" s="8" t="s">
        <v>259</v>
      </c>
      <c r="Y517" s="8" t="s">
        <v>259</v>
      </c>
      <c r="Z517" s="8" t="s">
        <v>5053</v>
      </c>
      <c r="AA517" s="8" t="s">
        <v>5063</v>
      </c>
      <c r="AB517" s="20" t="s">
        <v>5064</v>
      </c>
      <c r="AC517" s="20" t="s">
        <v>5065</v>
      </c>
      <c r="AD517" s="20" t="s">
        <v>5066</v>
      </c>
      <c r="AE517" s="8" t="s">
        <v>223</v>
      </c>
      <c r="AF517" s="8" t="s">
        <v>224</v>
      </c>
    </row>
    <row r="518" customFormat="false" ht="15" hidden="false" customHeight="false" outlineLevel="0" collapsed="false">
      <c r="A518" s="8" t="s">
        <v>5067</v>
      </c>
      <c r="B518" s="8" t="s">
        <v>5068</v>
      </c>
      <c r="C518" s="8"/>
      <c r="D518" s="8" t="s">
        <v>5046</v>
      </c>
      <c r="E518" s="8"/>
      <c r="F518" s="8" t="s">
        <v>72</v>
      </c>
      <c r="G518" s="8" t="s">
        <v>5047</v>
      </c>
      <c r="H518" s="8" t="s">
        <v>79</v>
      </c>
      <c r="I518" s="8" t="s">
        <v>208</v>
      </c>
      <c r="J518" s="8" t="n">
        <v>1</v>
      </c>
      <c r="K518" s="8" t="n">
        <v>5</v>
      </c>
      <c r="L518" s="18" t="n">
        <f aca="false">INDEX('All Items'!$Q:$Q,MATCH($A518,'All Items'!$A:$A,0))</f>
        <v>10</v>
      </c>
      <c r="M518" s="8" t="s">
        <v>214</v>
      </c>
      <c r="N518" s="8" t="s">
        <v>3870</v>
      </c>
      <c r="O518" s="8" t="s">
        <v>5069</v>
      </c>
      <c r="P518" s="8" t="s">
        <v>5070</v>
      </c>
      <c r="Q518" s="8" t="s">
        <v>5071</v>
      </c>
      <c r="R518" s="8"/>
      <c r="S518" s="19" t="s">
        <v>5072</v>
      </c>
      <c r="T518" s="8" t="s">
        <v>5073</v>
      </c>
      <c r="U518" s="8" t="s">
        <v>5071</v>
      </c>
      <c r="V518" s="8" t="n">
        <f aca="false">COUNTA(M518:R518)</f>
        <v>5</v>
      </c>
      <c r="W518" s="8" t="s">
        <v>218</v>
      </c>
      <c r="X518" s="8" t="s">
        <v>259</v>
      </c>
      <c r="Y518" s="8" t="s">
        <v>218</v>
      </c>
      <c r="Z518" s="8"/>
      <c r="AA518" s="8" t="s">
        <v>5074</v>
      </c>
      <c r="AB518" s="20"/>
      <c r="AC518" s="20"/>
      <c r="AD518" s="20"/>
      <c r="AE518" s="8" t="s">
        <v>237</v>
      </c>
      <c r="AF518" s="8" t="s">
        <v>224</v>
      </c>
    </row>
    <row r="519" customFormat="false" ht="15" hidden="false" customHeight="false" outlineLevel="0" collapsed="false">
      <c r="A519" s="8" t="s">
        <v>5075</v>
      </c>
      <c r="B519" s="8" t="s">
        <v>5076</v>
      </c>
      <c r="C519" s="8"/>
      <c r="D519" s="8" t="s">
        <v>5046</v>
      </c>
      <c r="E519" s="8"/>
      <c r="F519" s="8" t="s">
        <v>72</v>
      </c>
      <c r="G519" s="8" t="s">
        <v>5047</v>
      </c>
      <c r="H519" s="8" t="s">
        <v>78</v>
      </c>
      <c r="I519" s="8" t="s">
        <v>227</v>
      </c>
      <c r="J519" s="8" t="n">
        <v>1</v>
      </c>
      <c r="K519" s="8" t="n">
        <v>5</v>
      </c>
      <c r="L519" s="18" t="n">
        <f aca="false">INDEX('All Items'!$Q:$Q,MATCH($A519,'All Items'!$A:$A,0))</f>
        <v>10</v>
      </c>
      <c r="M519" s="8" t="s">
        <v>1363</v>
      </c>
      <c r="N519" s="8" t="s">
        <v>412</v>
      </c>
      <c r="O519" s="8" t="s">
        <v>5077</v>
      </c>
      <c r="P519" s="8" t="s">
        <v>5078</v>
      </c>
      <c r="Q519" s="8" t="s">
        <v>5079</v>
      </c>
      <c r="R519" s="8" t="s">
        <v>5050</v>
      </c>
      <c r="S519" s="19" t="s">
        <v>5080</v>
      </c>
      <c r="T519" s="8" t="s">
        <v>5081</v>
      </c>
      <c r="U519" s="8"/>
      <c r="V519" s="8" t="n">
        <f aca="false">COUNTA(M519:R519)</f>
        <v>6</v>
      </c>
      <c r="W519" s="8" t="s">
        <v>218</v>
      </c>
      <c r="X519" s="8" t="s">
        <v>259</v>
      </c>
      <c r="Y519" s="8" t="s">
        <v>259</v>
      </c>
      <c r="Z519" s="8" t="s">
        <v>5082</v>
      </c>
      <c r="AA519" s="8" t="s">
        <v>5083</v>
      </c>
      <c r="AB519" s="20" t="s">
        <v>5084</v>
      </c>
      <c r="AC519" s="20" t="s">
        <v>221</v>
      </c>
      <c r="AD519" s="20" t="s">
        <v>5085</v>
      </c>
      <c r="AE519" s="8" t="s">
        <v>223</v>
      </c>
      <c r="AF519" s="8" t="s">
        <v>224</v>
      </c>
    </row>
    <row r="520" customFormat="false" ht="15" hidden="false" customHeight="false" outlineLevel="0" collapsed="false">
      <c r="A520" s="8" t="s">
        <v>5086</v>
      </c>
      <c r="B520" s="8" t="s">
        <v>5087</v>
      </c>
      <c r="C520" s="8"/>
      <c r="D520" s="8" t="s">
        <v>5046</v>
      </c>
      <c r="E520" s="8"/>
      <c r="F520" s="8" t="s">
        <v>72</v>
      </c>
      <c r="G520" s="8" t="s">
        <v>5047</v>
      </c>
      <c r="H520" s="8" t="s">
        <v>78</v>
      </c>
      <c r="I520" s="8" t="s">
        <v>208</v>
      </c>
      <c r="J520" s="8" t="n">
        <v>1</v>
      </c>
      <c r="K520" s="8" t="n">
        <v>4</v>
      </c>
      <c r="L520" s="18" t="n">
        <f aca="false">INDEX('All Items'!$Q:$Q,MATCH($A520,'All Items'!$A:$A,0))</f>
        <v>8.45</v>
      </c>
      <c r="M520" s="8" t="s">
        <v>4355</v>
      </c>
      <c r="N520" s="8" t="s">
        <v>5088</v>
      </c>
      <c r="O520" s="8" t="s">
        <v>5089</v>
      </c>
      <c r="P520" s="8" t="s">
        <v>5090</v>
      </c>
      <c r="Q520" s="8" t="s">
        <v>3635</v>
      </c>
      <c r="R520" s="8"/>
      <c r="S520" s="19" t="s">
        <v>5091</v>
      </c>
      <c r="T520" s="8" t="s">
        <v>5092</v>
      </c>
      <c r="U520" s="8" t="s">
        <v>3635</v>
      </c>
      <c r="V520" s="8" t="n">
        <f aca="false">COUNTA(M520:R520)</f>
        <v>5</v>
      </c>
      <c r="W520" s="8" t="s">
        <v>218</v>
      </c>
      <c r="X520" s="8" t="s">
        <v>259</v>
      </c>
      <c r="Y520" s="8" t="s">
        <v>218</v>
      </c>
      <c r="Z520" s="8"/>
      <c r="AA520" s="8" t="s">
        <v>5093</v>
      </c>
      <c r="AB520" s="20"/>
      <c r="AC520" s="20"/>
      <c r="AD520" s="20"/>
      <c r="AE520" s="8" t="s">
        <v>237</v>
      </c>
      <c r="AF520" s="8" t="s">
        <v>224</v>
      </c>
    </row>
    <row r="521" customFormat="false" ht="15" hidden="false" customHeight="false" outlineLevel="0" collapsed="false">
      <c r="A521" s="8" t="s">
        <v>5094</v>
      </c>
      <c r="B521" s="8" t="s">
        <v>5095</v>
      </c>
      <c r="C521" s="8"/>
      <c r="D521" s="8" t="s">
        <v>5046</v>
      </c>
      <c r="E521" s="8"/>
      <c r="F521" s="8" t="s">
        <v>72</v>
      </c>
      <c r="G521" s="8" t="s">
        <v>5047</v>
      </c>
      <c r="H521" s="8" t="s">
        <v>78</v>
      </c>
      <c r="I521" s="8" t="s">
        <v>208</v>
      </c>
      <c r="J521" s="8" t="n">
        <v>2</v>
      </c>
      <c r="K521" s="8" t="n">
        <v>4</v>
      </c>
      <c r="L521" s="18" t="n">
        <f aca="false">INDEX('All Items'!$Q:$Q,MATCH($A521,'All Items'!$A:$A,0))</f>
        <v>8.7</v>
      </c>
      <c r="M521" s="8" t="s">
        <v>5096</v>
      </c>
      <c r="N521" s="8" t="s">
        <v>5089</v>
      </c>
      <c r="O521" s="8" t="s">
        <v>5097</v>
      </c>
      <c r="P521" s="8" t="s">
        <v>5098</v>
      </c>
      <c r="Q521" s="8" t="s">
        <v>5090</v>
      </c>
      <c r="R521" s="8" t="s">
        <v>5099</v>
      </c>
      <c r="S521" s="19" t="s">
        <v>5100</v>
      </c>
      <c r="T521" s="8" t="s">
        <v>5101</v>
      </c>
      <c r="U521" s="8" t="s">
        <v>5102</v>
      </c>
      <c r="V521" s="8" t="n">
        <f aca="false">COUNTA(M521:R521)</f>
        <v>6</v>
      </c>
      <c r="W521" s="8" t="s">
        <v>218</v>
      </c>
      <c r="X521" s="8" t="s">
        <v>259</v>
      </c>
      <c r="Y521" s="8" t="s">
        <v>218</v>
      </c>
      <c r="Z521" s="8"/>
      <c r="AA521" s="8" t="s">
        <v>5103</v>
      </c>
      <c r="AB521" s="20"/>
      <c r="AC521" s="20"/>
      <c r="AD521" s="20"/>
      <c r="AE521" s="8" t="s">
        <v>237</v>
      </c>
      <c r="AF521" s="8" t="s">
        <v>224</v>
      </c>
    </row>
    <row r="522" customFormat="false" ht="15" hidden="false" customHeight="false" outlineLevel="0" collapsed="false">
      <c r="A522" s="8" t="s">
        <v>5104</v>
      </c>
      <c r="B522" s="8" t="s">
        <v>5105</v>
      </c>
      <c r="C522" s="8"/>
      <c r="D522" s="8" t="s">
        <v>5046</v>
      </c>
      <c r="E522" s="8"/>
      <c r="F522" s="8" t="s">
        <v>72</v>
      </c>
      <c r="G522" s="8" t="s">
        <v>5047</v>
      </c>
      <c r="H522" s="8" t="s">
        <v>83</v>
      </c>
      <c r="I522" s="8" t="s">
        <v>208</v>
      </c>
      <c r="J522" s="8" t="n">
        <v>2</v>
      </c>
      <c r="K522" s="8" t="n">
        <v>3</v>
      </c>
      <c r="L522" s="18" t="n">
        <f aca="false">INDEX('All Items'!$Q:$Q,MATCH($A522,'All Items'!$A:$A,0))</f>
        <v>7.4</v>
      </c>
      <c r="M522" s="8" t="s">
        <v>345</v>
      </c>
      <c r="N522" s="8" t="s">
        <v>4152</v>
      </c>
      <c r="O522" s="8" t="s">
        <v>3211</v>
      </c>
      <c r="P522" s="8" t="s">
        <v>5106</v>
      </c>
      <c r="Q522" s="8" t="s">
        <v>5107</v>
      </c>
      <c r="R522" s="8" t="s">
        <v>5108</v>
      </c>
      <c r="S522" s="19" t="s">
        <v>5109</v>
      </c>
      <c r="T522" s="8" t="s">
        <v>5110</v>
      </c>
      <c r="U522" s="8"/>
      <c r="V522" s="8" t="n">
        <f aca="false">COUNTA(M522:R522)</f>
        <v>6</v>
      </c>
      <c r="W522" s="8" t="s">
        <v>218</v>
      </c>
      <c r="X522" s="8" t="s">
        <v>259</v>
      </c>
      <c r="Y522" s="8" t="s">
        <v>218</v>
      </c>
      <c r="Z522" s="8"/>
      <c r="AA522" s="8" t="s">
        <v>5111</v>
      </c>
      <c r="AB522" s="20"/>
      <c r="AC522" s="20"/>
      <c r="AD522" s="20"/>
      <c r="AE522" s="8" t="s">
        <v>237</v>
      </c>
      <c r="AF522" s="8" t="s">
        <v>224</v>
      </c>
    </row>
    <row r="523" customFormat="false" ht="15" hidden="false" customHeight="false" outlineLevel="0" collapsed="false">
      <c r="A523" s="8" t="s">
        <v>5112</v>
      </c>
      <c r="B523" s="8" t="s">
        <v>5113</v>
      </c>
      <c r="C523" s="8"/>
      <c r="D523" s="8" t="s">
        <v>5046</v>
      </c>
      <c r="E523" s="8"/>
      <c r="F523" s="8" t="s">
        <v>72</v>
      </c>
      <c r="G523" s="8" t="s">
        <v>5047</v>
      </c>
      <c r="H523" s="8" t="s">
        <v>78</v>
      </c>
      <c r="I523" s="8" t="s">
        <v>208</v>
      </c>
      <c r="J523" s="8" t="n">
        <v>2</v>
      </c>
      <c r="K523" s="8" t="n">
        <v>4</v>
      </c>
      <c r="L523" s="18" t="n">
        <f aca="false">INDEX('All Items'!$Q:$Q,MATCH($A523,'All Items'!$A:$A,0))</f>
        <v>8.45</v>
      </c>
      <c r="M523" s="8" t="s">
        <v>356</v>
      </c>
      <c r="N523" s="8" t="s">
        <v>5114</v>
      </c>
      <c r="O523" s="8" t="s">
        <v>5115</v>
      </c>
      <c r="P523" s="8" t="s">
        <v>5116</v>
      </c>
      <c r="Q523" s="8" t="s">
        <v>5117</v>
      </c>
      <c r="R523" s="8" t="s">
        <v>5118</v>
      </c>
      <c r="S523" s="19" t="s">
        <v>5119</v>
      </c>
      <c r="T523" s="8" t="s">
        <v>5120</v>
      </c>
      <c r="U523" s="8"/>
      <c r="V523" s="8" t="n">
        <f aca="false">COUNTA(M523:R523)</f>
        <v>6</v>
      </c>
      <c r="W523" s="8" t="s">
        <v>218</v>
      </c>
      <c r="X523" s="8" t="s">
        <v>259</v>
      </c>
      <c r="Y523" s="8" t="s">
        <v>218</v>
      </c>
      <c r="Z523" s="8"/>
      <c r="AA523" s="8" t="s">
        <v>5121</v>
      </c>
      <c r="AB523" s="20"/>
      <c r="AC523" s="20"/>
      <c r="AD523" s="20"/>
      <c r="AE523" s="8" t="s">
        <v>237</v>
      </c>
      <c r="AF523" s="8" t="s">
        <v>224</v>
      </c>
    </row>
    <row r="524" customFormat="false" ht="15" hidden="false" customHeight="false" outlineLevel="0" collapsed="false">
      <c r="A524" s="8" t="s">
        <v>5122</v>
      </c>
      <c r="B524" s="8" t="s">
        <v>5123</v>
      </c>
      <c r="C524" s="8"/>
      <c r="D524" s="8" t="s">
        <v>5046</v>
      </c>
      <c r="E524" s="8"/>
      <c r="F524" s="8" t="s">
        <v>72</v>
      </c>
      <c r="G524" s="8" t="s">
        <v>5047</v>
      </c>
      <c r="H524" s="8" t="s">
        <v>80</v>
      </c>
      <c r="I524" s="8" t="s">
        <v>227</v>
      </c>
      <c r="J524" s="8" t="n">
        <v>1</v>
      </c>
      <c r="K524" s="8" t="n">
        <v>5</v>
      </c>
      <c r="L524" s="18" t="n">
        <f aca="false">INDEX('All Items'!$Q:$Q,MATCH($A524,'All Items'!$A:$A,0))</f>
        <v>9.75</v>
      </c>
      <c r="M524" s="8" t="s">
        <v>214</v>
      </c>
      <c r="N524" s="8" t="s">
        <v>3285</v>
      </c>
      <c r="O524" s="8" t="s">
        <v>5124</v>
      </c>
      <c r="P524" s="8" t="s">
        <v>5125</v>
      </c>
      <c r="Q524" s="8" t="s">
        <v>5050</v>
      </c>
      <c r="R524" s="8" t="s">
        <v>4224</v>
      </c>
      <c r="S524" s="19" t="s">
        <v>5126</v>
      </c>
      <c r="T524" s="8" t="s">
        <v>5127</v>
      </c>
      <c r="U524" s="8" t="s">
        <v>5128</v>
      </c>
      <c r="V524" s="8" t="n">
        <f aca="false">COUNTA(M524:R524)</f>
        <v>6</v>
      </c>
      <c r="W524" s="8" t="s">
        <v>218</v>
      </c>
      <c r="X524" s="8" t="s">
        <v>259</v>
      </c>
      <c r="Y524" s="8" t="s">
        <v>259</v>
      </c>
      <c r="Z524" s="8" t="s">
        <v>5129</v>
      </c>
      <c r="AA524" s="8" t="s">
        <v>5130</v>
      </c>
      <c r="AB524" s="20" t="s">
        <v>5131</v>
      </c>
      <c r="AC524" s="20" t="s">
        <v>1837</v>
      </c>
      <c r="AD524" s="20" t="s">
        <v>5132</v>
      </c>
      <c r="AE524" s="8" t="s">
        <v>223</v>
      </c>
      <c r="AF524" s="8" t="s">
        <v>224</v>
      </c>
    </row>
    <row r="525" customFormat="false" ht="15" hidden="false" customHeight="false" outlineLevel="0" collapsed="false">
      <c r="A525" s="8" t="s">
        <v>5133</v>
      </c>
      <c r="B525" s="8" t="s">
        <v>5134</v>
      </c>
      <c r="C525" s="8"/>
      <c r="D525" s="8" t="s">
        <v>5046</v>
      </c>
      <c r="E525" s="8"/>
      <c r="F525" s="8" t="s">
        <v>72</v>
      </c>
      <c r="G525" s="8" t="s">
        <v>5047</v>
      </c>
      <c r="H525" s="8" t="s">
        <v>82</v>
      </c>
      <c r="I525" s="8" t="s">
        <v>1030</v>
      </c>
      <c r="J525" s="8" t="n">
        <v>1</v>
      </c>
      <c r="K525" s="8" t="n">
        <v>5</v>
      </c>
      <c r="L525" s="18" t="n">
        <f aca="false">INDEX('All Items'!$Q:$Q,MATCH($A525,'All Items'!$A:$A,0))</f>
        <v>10</v>
      </c>
      <c r="M525" s="8" t="s">
        <v>214</v>
      </c>
      <c r="N525" s="8" t="s">
        <v>1313</v>
      </c>
      <c r="O525" s="8" t="s">
        <v>5135</v>
      </c>
      <c r="P525" s="8" t="s">
        <v>5136</v>
      </c>
      <c r="Q525" s="8" t="s">
        <v>5137</v>
      </c>
      <c r="R525" s="8" t="s">
        <v>5050</v>
      </c>
      <c r="S525" s="19" t="s">
        <v>5138</v>
      </c>
      <c r="T525" s="8" t="s">
        <v>5139</v>
      </c>
      <c r="U525" s="8"/>
      <c r="V525" s="8" t="n">
        <f aca="false">COUNTA(M525:R525)</f>
        <v>6</v>
      </c>
      <c r="W525" s="8" t="s">
        <v>218</v>
      </c>
      <c r="X525" s="8" t="s">
        <v>259</v>
      </c>
      <c r="Y525" s="8" t="s">
        <v>259</v>
      </c>
      <c r="Z525" s="8" t="s">
        <v>5140</v>
      </c>
      <c r="AA525" s="8" t="s">
        <v>5141</v>
      </c>
      <c r="AB525" s="20" t="s">
        <v>5142</v>
      </c>
      <c r="AC525" s="20" t="s">
        <v>527</v>
      </c>
      <c r="AD525" s="20" t="s">
        <v>5143</v>
      </c>
      <c r="AE525" s="8" t="s">
        <v>223</v>
      </c>
      <c r="AF525" s="8" t="s">
        <v>224</v>
      </c>
    </row>
    <row r="526" customFormat="false" ht="15" hidden="false" customHeight="false" outlineLevel="0" collapsed="false">
      <c r="A526" s="8" t="s">
        <v>5144</v>
      </c>
      <c r="B526" s="8" t="s">
        <v>5145</v>
      </c>
      <c r="C526" s="8"/>
      <c r="D526" s="8" t="s">
        <v>5046</v>
      </c>
      <c r="E526" s="8"/>
      <c r="F526" s="8" t="s">
        <v>72</v>
      </c>
      <c r="G526" s="8" t="s">
        <v>5047</v>
      </c>
      <c r="H526" s="8" t="s">
        <v>78</v>
      </c>
      <c r="I526" s="8" t="s">
        <v>208</v>
      </c>
      <c r="J526" s="8" t="n">
        <v>1</v>
      </c>
      <c r="K526" s="8" t="n">
        <v>5</v>
      </c>
      <c r="L526" s="18" t="n">
        <f aca="false">INDEX('All Items'!$Q:$Q,MATCH($A526,'All Items'!$A:$A,0))</f>
        <v>9.75</v>
      </c>
      <c r="M526" s="8" t="s">
        <v>4355</v>
      </c>
      <c r="N526" s="8" t="s">
        <v>5146</v>
      </c>
      <c r="O526" s="8" t="s">
        <v>5147</v>
      </c>
      <c r="P526" s="8" t="s">
        <v>5148</v>
      </c>
      <c r="Q526" s="8" t="s">
        <v>5149</v>
      </c>
      <c r="R526" s="8" t="s">
        <v>5150</v>
      </c>
      <c r="S526" s="19" t="s">
        <v>5151</v>
      </c>
      <c r="T526" s="8" t="s">
        <v>5152</v>
      </c>
      <c r="U526" s="8" t="s">
        <v>5153</v>
      </c>
      <c r="V526" s="8" t="n">
        <f aca="false">COUNTA(M526:R526)</f>
        <v>6</v>
      </c>
      <c r="W526" s="8" t="s">
        <v>218</v>
      </c>
      <c r="X526" s="8" t="s">
        <v>259</v>
      </c>
      <c r="Y526" s="8" t="s">
        <v>259</v>
      </c>
      <c r="Z526" s="8" t="s">
        <v>5154</v>
      </c>
      <c r="AA526" s="8" t="s">
        <v>5155</v>
      </c>
      <c r="AB526" s="20" t="s">
        <v>5156</v>
      </c>
      <c r="AC526" s="20" t="s">
        <v>527</v>
      </c>
      <c r="AD526" s="20" t="s">
        <v>5157</v>
      </c>
      <c r="AE526" s="8" t="s">
        <v>223</v>
      </c>
      <c r="AF526" s="8" t="s">
        <v>224</v>
      </c>
    </row>
    <row r="527" customFormat="false" ht="15" hidden="false" customHeight="false" outlineLevel="0" collapsed="false">
      <c r="A527" s="8" t="s">
        <v>5158</v>
      </c>
      <c r="B527" s="8" t="s">
        <v>5159</v>
      </c>
      <c r="C527" s="8"/>
      <c r="D527" s="8" t="s">
        <v>5046</v>
      </c>
      <c r="E527" s="8"/>
      <c r="F527" s="8" t="s">
        <v>72</v>
      </c>
      <c r="G527" s="8" t="s">
        <v>5047</v>
      </c>
      <c r="H527" s="8" t="s">
        <v>80</v>
      </c>
      <c r="I527" s="8" t="s">
        <v>1030</v>
      </c>
      <c r="J527" s="8" t="n">
        <v>1</v>
      </c>
      <c r="K527" s="8" t="n">
        <v>5</v>
      </c>
      <c r="L527" s="18" t="n">
        <f aca="false">INDEX('All Items'!$Q:$Q,MATCH($A527,'All Items'!$A:$A,0))</f>
        <v>9.5</v>
      </c>
      <c r="M527" s="8" t="s">
        <v>1313</v>
      </c>
      <c r="N527" s="8" t="s">
        <v>5160</v>
      </c>
      <c r="O527" s="8" t="s">
        <v>3118</v>
      </c>
      <c r="P527" s="8" t="s">
        <v>1758</v>
      </c>
      <c r="Q527" s="8" t="s">
        <v>5161</v>
      </c>
      <c r="R527" s="8"/>
      <c r="S527" s="19" t="s">
        <v>5162</v>
      </c>
      <c r="T527" s="8" t="s">
        <v>5163</v>
      </c>
      <c r="U527" s="8"/>
      <c r="V527" s="8" t="n">
        <f aca="false">COUNTA(M527:R527)</f>
        <v>5</v>
      </c>
      <c r="W527" s="8" t="s">
        <v>218</v>
      </c>
      <c r="X527" s="8" t="s">
        <v>259</v>
      </c>
      <c r="Y527" s="8" t="s">
        <v>218</v>
      </c>
      <c r="Z527" s="8"/>
      <c r="AA527" s="8" t="s">
        <v>5164</v>
      </c>
      <c r="AB527" s="20"/>
      <c r="AC527" s="20"/>
      <c r="AD527" s="20"/>
      <c r="AE527" s="8" t="s">
        <v>237</v>
      </c>
      <c r="AF527" s="8" t="s">
        <v>224</v>
      </c>
    </row>
    <row r="528" customFormat="false" ht="15" hidden="false" customHeight="false" outlineLevel="0" collapsed="false">
      <c r="A528" s="8" t="s">
        <v>5165</v>
      </c>
      <c r="B528" s="8" t="s">
        <v>5166</v>
      </c>
      <c r="C528" s="8"/>
      <c r="D528" s="8" t="s">
        <v>5046</v>
      </c>
      <c r="E528" s="8"/>
      <c r="F528" s="8" t="s">
        <v>72</v>
      </c>
      <c r="G528" s="8" t="s">
        <v>5047</v>
      </c>
      <c r="H528" s="8" t="s">
        <v>80</v>
      </c>
      <c r="I528" s="8" t="s">
        <v>1030</v>
      </c>
      <c r="J528" s="8" t="n">
        <v>1</v>
      </c>
      <c r="K528" s="8" t="n">
        <v>5</v>
      </c>
      <c r="L528" s="18" t="n">
        <f aca="false">INDEX('All Items'!$Q:$Q,MATCH($A528,'All Items'!$A:$A,0))</f>
        <v>10</v>
      </c>
      <c r="M528" s="8" t="s">
        <v>214</v>
      </c>
      <c r="N528" s="8" t="s">
        <v>1313</v>
      </c>
      <c r="O528" s="8" t="s">
        <v>3937</v>
      </c>
      <c r="P528" s="8" t="s">
        <v>5167</v>
      </c>
      <c r="Q528" s="8" t="s">
        <v>5168</v>
      </c>
      <c r="R528" s="8" t="s">
        <v>5050</v>
      </c>
      <c r="S528" s="19" t="s">
        <v>5169</v>
      </c>
      <c r="T528" s="8" t="s">
        <v>5170</v>
      </c>
      <c r="U528" s="8"/>
      <c r="V528" s="8" t="n">
        <f aca="false">COUNTA(M528:R528)</f>
        <v>6</v>
      </c>
      <c r="W528" s="8" t="s">
        <v>218</v>
      </c>
      <c r="X528" s="8" t="s">
        <v>259</v>
      </c>
      <c r="Y528" s="8" t="s">
        <v>218</v>
      </c>
      <c r="Z528" s="8"/>
      <c r="AA528" s="8" t="s">
        <v>5171</v>
      </c>
      <c r="AB528" s="20"/>
      <c r="AC528" s="20"/>
      <c r="AD528" s="20"/>
      <c r="AE528" s="8" t="s">
        <v>237</v>
      </c>
      <c r="AF528" s="8" t="s">
        <v>224</v>
      </c>
    </row>
    <row r="529" customFormat="false" ht="15" hidden="false" customHeight="false" outlineLevel="0" collapsed="false">
      <c r="A529" s="8" t="s">
        <v>5172</v>
      </c>
      <c r="B529" s="8" t="s">
        <v>5173</v>
      </c>
      <c r="C529" s="8"/>
      <c r="D529" s="8" t="s">
        <v>5046</v>
      </c>
      <c r="E529" s="8"/>
      <c r="F529" s="8" t="s">
        <v>72</v>
      </c>
      <c r="G529" s="8" t="s">
        <v>5047</v>
      </c>
      <c r="H529" s="8" t="s">
        <v>80</v>
      </c>
      <c r="I529" s="8" t="s">
        <v>1030</v>
      </c>
      <c r="J529" s="8" t="n">
        <v>1</v>
      </c>
      <c r="K529" s="8" t="n">
        <v>5</v>
      </c>
      <c r="L529" s="18" t="n">
        <f aca="false">INDEX('All Items'!$Q:$Q,MATCH($A529,'All Items'!$A:$A,0))</f>
        <v>9.5</v>
      </c>
      <c r="M529" s="8" t="s">
        <v>214</v>
      </c>
      <c r="N529" s="8" t="s">
        <v>3949</v>
      </c>
      <c r="O529" s="8" t="s">
        <v>5174</v>
      </c>
      <c r="P529" s="8" t="s">
        <v>5050</v>
      </c>
      <c r="Q529" s="8" t="s">
        <v>3958</v>
      </c>
      <c r="R529" s="8"/>
      <c r="S529" s="19" t="s">
        <v>5175</v>
      </c>
      <c r="T529" s="8" t="s">
        <v>5176</v>
      </c>
      <c r="U529" s="8" t="s">
        <v>5177</v>
      </c>
      <c r="V529" s="8" t="n">
        <f aca="false">COUNTA(M529:R529)</f>
        <v>5</v>
      </c>
      <c r="W529" s="8" t="s">
        <v>218</v>
      </c>
      <c r="X529" s="8" t="s">
        <v>259</v>
      </c>
      <c r="Y529" s="8" t="s">
        <v>218</v>
      </c>
      <c r="Z529" s="8"/>
      <c r="AA529" s="8" t="s">
        <v>5178</v>
      </c>
      <c r="AB529" s="20"/>
      <c r="AC529" s="20"/>
      <c r="AD529" s="20"/>
      <c r="AE529" s="8" t="s">
        <v>237</v>
      </c>
      <c r="AF529" s="8" t="s">
        <v>224</v>
      </c>
    </row>
    <row r="530" customFormat="false" ht="15" hidden="false" customHeight="false" outlineLevel="0" collapsed="false">
      <c r="A530" s="8" t="s">
        <v>5179</v>
      </c>
      <c r="B530" s="8" t="s">
        <v>5180</v>
      </c>
      <c r="C530" s="8"/>
      <c r="D530" s="8" t="s">
        <v>5046</v>
      </c>
      <c r="E530" s="8"/>
      <c r="F530" s="8" t="s">
        <v>72</v>
      </c>
      <c r="G530" s="8" t="s">
        <v>5047</v>
      </c>
      <c r="H530" s="8" t="s">
        <v>83</v>
      </c>
      <c r="I530" s="8" t="s">
        <v>208</v>
      </c>
      <c r="J530" s="8" t="n">
        <v>2</v>
      </c>
      <c r="K530" s="8" t="n">
        <v>3</v>
      </c>
      <c r="L530" s="18" t="n">
        <f aca="false">INDEX('All Items'!$Q:$Q,MATCH($A530,'All Items'!$A:$A,0))</f>
        <v>7.4</v>
      </c>
      <c r="M530" s="8" t="s">
        <v>3870</v>
      </c>
      <c r="N530" s="8" t="s">
        <v>5181</v>
      </c>
      <c r="O530" s="8" t="s">
        <v>5182</v>
      </c>
      <c r="P530" s="8" t="s">
        <v>2585</v>
      </c>
      <c r="Q530" s="8" t="s">
        <v>5183</v>
      </c>
      <c r="R530" s="8" t="s">
        <v>5184</v>
      </c>
      <c r="S530" s="19" t="s">
        <v>5185</v>
      </c>
      <c r="T530" s="8" t="s">
        <v>5186</v>
      </c>
      <c r="U530" s="8"/>
      <c r="V530" s="8" t="n">
        <f aca="false">COUNTA(M530:R530)</f>
        <v>6</v>
      </c>
      <c r="W530" s="8" t="s">
        <v>218</v>
      </c>
      <c r="X530" s="8" t="s">
        <v>259</v>
      </c>
      <c r="Y530" s="8" t="s">
        <v>218</v>
      </c>
      <c r="Z530" s="8"/>
      <c r="AA530" s="8" t="s">
        <v>5187</v>
      </c>
      <c r="AB530" s="20" t="s">
        <v>5188</v>
      </c>
      <c r="AC530" s="20" t="s">
        <v>1174</v>
      </c>
      <c r="AD530" s="20" t="s">
        <v>5189</v>
      </c>
      <c r="AE530" s="8" t="s">
        <v>223</v>
      </c>
      <c r="AF530" s="8" t="s">
        <v>224</v>
      </c>
    </row>
    <row r="531" customFormat="false" ht="15" hidden="false" customHeight="false" outlineLevel="0" collapsed="false">
      <c r="A531" s="8" t="s">
        <v>5190</v>
      </c>
      <c r="B531" s="8" t="s">
        <v>5191</v>
      </c>
      <c r="C531" s="8"/>
      <c r="D531" s="8" t="s">
        <v>5046</v>
      </c>
      <c r="E531" s="8"/>
      <c r="F531" s="8" t="s">
        <v>72</v>
      </c>
      <c r="G531" s="8" t="s">
        <v>5047</v>
      </c>
      <c r="H531" s="8" t="s">
        <v>85</v>
      </c>
      <c r="I531" s="8" t="s">
        <v>208</v>
      </c>
      <c r="J531" s="8" t="n">
        <v>2</v>
      </c>
      <c r="K531" s="8" t="n">
        <v>3</v>
      </c>
      <c r="L531" s="18" t="n">
        <f aca="false">INDEX('All Items'!$Q:$Q,MATCH($A531,'All Items'!$A:$A,0))</f>
        <v>7.4</v>
      </c>
      <c r="M531" s="8" t="s">
        <v>3870</v>
      </c>
      <c r="N531" s="8" t="s">
        <v>356</v>
      </c>
      <c r="O531" s="8" t="s">
        <v>5182</v>
      </c>
      <c r="P531" s="8" t="s">
        <v>2585</v>
      </c>
      <c r="Q531" s="8" t="s">
        <v>5192</v>
      </c>
      <c r="R531" s="8" t="s">
        <v>5184</v>
      </c>
      <c r="S531" s="19" t="s">
        <v>5193</v>
      </c>
      <c r="T531" s="8" t="s">
        <v>5194</v>
      </c>
      <c r="U531" s="8"/>
      <c r="V531" s="8" t="n">
        <f aca="false">COUNTA(M531:R531)</f>
        <v>6</v>
      </c>
      <c r="W531" s="8" t="s">
        <v>218</v>
      </c>
      <c r="X531" s="8" t="s">
        <v>259</v>
      </c>
      <c r="Y531" s="8" t="s">
        <v>218</v>
      </c>
      <c r="Z531" s="8"/>
      <c r="AA531" s="8" t="s">
        <v>5195</v>
      </c>
      <c r="AB531" s="20"/>
      <c r="AC531" s="20"/>
      <c r="AD531" s="20"/>
      <c r="AE531" s="8" t="s">
        <v>237</v>
      </c>
      <c r="AF531" s="8" t="s">
        <v>224</v>
      </c>
    </row>
    <row r="532" customFormat="false" ht="15" hidden="false" customHeight="false" outlineLevel="0" collapsed="false">
      <c r="A532" s="8" t="s">
        <v>5196</v>
      </c>
      <c r="B532" s="8" t="s">
        <v>5197</v>
      </c>
      <c r="C532" s="8"/>
      <c r="D532" s="8" t="s">
        <v>5046</v>
      </c>
      <c r="E532" s="8"/>
      <c r="F532" s="8" t="s">
        <v>72</v>
      </c>
      <c r="G532" s="8" t="s">
        <v>5047</v>
      </c>
      <c r="H532" s="8" t="s">
        <v>78</v>
      </c>
      <c r="I532" s="8" t="s">
        <v>208</v>
      </c>
      <c r="J532" s="8" t="n">
        <v>2</v>
      </c>
      <c r="K532" s="8" t="n">
        <v>3</v>
      </c>
      <c r="L532" s="18" t="n">
        <f aca="false">INDEX('All Items'!$Q:$Q,MATCH($A532,'All Items'!$A:$A,0))</f>
        <v>7.4</v>
      </c>
      <c r="M532" s="8" t="s">
        <v>3870</v>
      </c>
      <c r="N532" s="8" t="s">
        <v>2932</v>
      </c>
      <c r="O532" s="8" t="s">
        <v>5198</v>
      </c>
      <c r="P532" s="8" t="s">
        <v>5199</v>
      </c>
      <c r="Q532" s="8" t="s">
        <v>5200</v>
      </c>
      <c r="R532" s="8" t="s">
        <v>5201</v>
      </c>
      <c r="S532" s="19" t="s">
        <v>5202</v>
      </c>
      <c r="T532" s="8" t="s">
        <v>5203</v>
      </c>
      <c r="U532" s="8" t="s">
        <v>5201</v>
      </c>
      <c r="V532" s="8" t="n">
        <f aca="false">COUNTA(M532:R532)</f>
        <v>6</v>
      </c>
      <c r="W532" s="8" t="s">
        <v>218</v>
      </c>
      <c r="X532" s="8" t="s">
        <v>259</v>
      </c>
      <c r="Y532" s="8" t="s">
        <v>218</v>
      </c>
      <c r="Z532" s="8"/>
      <c r="AA532" s="8" t="s">
        <v>5204</v>
      </c>
      <c r="AB532" s="20"/>
      <c r="AC532" s="20"/>
      <c r="AD532" s="20"/>
      <c r="AE532" s="8" t="s">
        <v>237</v>
      </c>
      <c r="AF532" s="8" t="s">
        <v>224</v>
      </c>
    </row>
    <row r="533" customFormat="false" ht="15" hidden="false" customHeight="false" outlineLevel="0" collapsed="false">
      <c r="A533" s="8" t="s">
        <v>5205</v>
      </c>
      <c r="B533" s="8" t="s">
        <v>5206</v>
      </c>
      <c r="C533" s="8"/>
      <c r="D533" s="8" t="s">
        <v>5207</v>
      </c>
      <c r="E533" s="8"/>
      <c r="F533" s="8" t="s">
        <v>72</v>
      </c>
      <c r="G533" s="8" t="s">
        <v>5047</v>
      </c>
      <c r="H533" s="8" t="s">
        <v>89</v>
      </c>
      <c r="I533" s="8" t="s">
        <v>208</v>
      </c>
      <c r="J533" s="8" t="n">
        <v>1</v>
      </c>
      <c r="K533" s="8" t="n">
        <v>5</v>
      </c>
      <c r="L533" s="18" t="n">
        <f aca="false">INDEX('All Items'!$Q:$Q,MATCH($A533,'All Items'!$A:$A,0))</f>
        <v>10</v>
      </c>
      <c r="M533" s="8" t="s">
        <v>3509</v>
      </c>
      <c r="N533" s="8" t="s">
        <v>4122</v>
      </c>
      <c r="O533" s="8" t="s">
        <v>3850</v>
      </c>
      <c r="P533" s="8" t="s">
        <v>5208</v>
      </c>
      <c r="Q533" s="8" t="s">
        <v>5209</v>
      </c>
      <c r="R533" s="8" t="s">
        <v>5210</v>
      </c>
      <c r="S533" s="19" t="s">
        <v>5211</v>
      </c>
      <c r="T533" s="8" t="s">
        <v>5212</v>
      </c>
      <c r="U533" s="8" t="s">
        <v>5209</v>
      </c>
      <c r="V533" s="8" t="n">
        <f aca="false">COUNTA(M533:R533)</f>
        <v>6</v>
      </c>
      <c r="W533" s="8" t="s">
        <v>218</v>
      </c>
      <c r="X533" s="8" t="s">
        <v>259</v>
      </c>
      <c r="Y533" s="8" t="s">
        <v>259</v>
      </c>
      <c r="Z533" s="8" t="s">
        <v>5213</v>
      </c>
      <c r="AA533" s="8" t="s">
        <v>5214</v>
      </c>
      <c r="AB533" s="20" t="s">
        <v>5215</v>
      </c>
      <c r="AC533" s="20" t="s">
        <v>384</v>
      </c>
      <c r="AD533" s="20" t="s">
        <v>5216</v>
      </c>
      <c r="AE533" s="8" t="s">
        <v>223</v>
      </c>
      <c r="AF533" s="8" t="s">
        <v>224</v>
      </c>
    </row>
    <row r="534" customFormat="false" ht="15" hidden="false" customHeight="false" outlineLevel="0" collapsed="false">
      <c r="A534" s="8" t="s">
        <v>5217</v>
      </c>
      <c r="B534" s="8" t="s">
        <v>5218</v>
      </c>
      <c r="C534" s="8"/>
      <c r="D534" s="8" t="s">
        <v>5046</v>
      </c>
      <c r="E534" s="8"/>
      <c r="F534" s="8" t="s">
        <v>72</v>
      </c>
      <c r="G534" s="8" t="s">
        <v>5047</v>
      </c>
      <c r="H534" s="8" t="s">
        <v>80</v>
      </c>
      <c r="I534" s="8" t="s">
        <v>1030</v>
      </c>
      <c r="J534" s="8" t="n">
        <v>2</v>
      </c>
      <c r="K534" s="8" t="n">
        <v>3</v>
      </c>
      <c r="L534" s="18" t="n">
        <f aca="false">INDEX('All Items'!$Q:$Q,MATCH($A534,'All Items'!$A:$A,0))</f>
        <v>7.4</v>
      </c>
      <c r="M534" s="8" t="s">
        <v>5160</v>
      </c>
      <c r="N534" s="8" t="s">
        <v>2494</v>
      </c>
      <c r="O534" s="8" t="s">
        <v>5219</v>
      </c>
      <c r="P534" s="8" t="s">
        <v>5220</v>
      </c>
      <c r="Q534" s="8" t="s">
        <v>5221</v>
      </c>
      <c r="R534" s="8" t="s">
        <v>5222</v>
      </c>
      <c r="S534" s="19" t="s">
        <v>5223</v>
      </c>
      <c r="T534" s="8" t="s">
        <v>5224</v>
      </c>
      <c r="U534" s="8" t="s">
        <v>5225</v>
      </c>
      <c r="V534" s="8" t="n">
        <f aca="false">COUNTA(M534:R534)</f>
        <v>6</v>
      </c>
      <c r="W534" s="8" t="s">
        <v>218</v>
      </c>
      <c r="X534" s="8" t="s">
        <v>259</v>
      </c>
      <c r="Y534" s="8" t="s">
        <v>218</v>
      </c>
      <c r="Z534" s="8"/>
      <c r="AA534" s="8" t="s">
        <v>5226</v>
      </c>
      <c r="AB534" s="20"/>
      <c r="AC534" s="20"/>
      <c r="AD534" s="20"/>
      <c r="AE534" s="8" t="s">
        <v>237</v>
      </c>
      <c r="AF534" s="8" t="s">
        <v>224</v>
      </c>
    </row>
    <row r="535" customFormat="false" ht="15" hidden="false" customHeight="false" outlineLevel="0" collapsed="false">
      <c r="A535" s="8" t="s">
        <v>5227</v>
      </c>
      <c r="B535" s="8" t="s">
        <v>5228</v>
      </c>
      <c r="C535" s="8"/>
      <c r="D535" s="8" t="s">
        <v>5046</v>
      </c>
      <c r="E535" s="8"/>
      <c r="F535" s="8" t="s">
        <v>72</v>
      </c>
      <c r="G535" s="8" t="s">
        <v>5047</v>
      </c>
      <c r="H535" s="8" t="s">
        <v>81</v>
      </c>
      <c r="I535" s="8" t="s">
        <v>208</v>
      </c>
      <c r="J535" s="8" t="n">
        <v>3</v>
      </c>
      <c r="K535" s="8" t="n">
        <v>4</v>
      </c>
      <c r="L535" s="18" t="n">
        <f aca="false">INDEX('All Items'!$Q:$Q,MATCH($A535,'All Items'!$A:$A,0))</f>
        <v>8.7</v>
      </c>
      <c r="M535" s="8" t="s">
        <v>5229</v>
      </c>
      <c r="N535" s="8" t="s">
        <v>477</v>
      </c>
      <c r="O535" s="8" t="s">
        <v>1669</v>
      </c>
      <c r="P535" s="8" t="s">
        <v>5059</v>
      </c>
      <c r="Q535" s="8" t="s">
        <v>5230</v>
      </c>
      <c r="R535" s="8" t="s">
        <v>5231</v>
      </c>
      <c r="S535" s="19" t="s">
        <v>5232</v>
      </c>
      <c r="T535" s="8" t="s">
        <v>5233</v>
      </c>
      <c r="U535" s="8"/>
      <c r="V535" s="8" t="n">
        <f aca="false">COUNTA(M535:R535)</f>
        <v>6</v>
      </c>
      <c r="W535" s="8" t="s">
        <v>218</v>
      </c>
      <c r="X535" s="8" t="s">
        <v>259</v>
      </c>
      <c r="Y535" s="8" t="s">
        <v>218</v>
      </c>
      <c r="Z535" s="8"/>
      <c r="AA535" s="8" t="s">
        <v>5234</v>
      </c>
      <c r="AB535" s="20"/>
      <c r="AC535" s="20"/>
      <c r="AD535" s="20"/>
      <c r="AE535" s="8" t="s">
        <v>237</v>
      </c>
      <c r="AF535" s="8" t="s">
        <v>224</v>
      </c>
    </row>
    <row r="536" customFormat="false" ht="15" hidden="false" customHeight="false" outlineLevel="0" collapsed="false">
      <c r="A536" s="8" t="s">
        <v>5235</v>
      </c>
      <c r="B536" s="8" t="s">
        <v>5236</v>
      </c>
      <c r="C536" s="8"/>
      <c r="D536" s="8" t="s">
        <v>5046</v>
      </c>
      <c r="E536" s="8"/>
      <c r="F536" s="8" t="s">
        <v>72</v>
      </c>
      <c r="G536" s="8" t="s">
        <v>5047</v>
      </c>
      <c r="H536" s="8" t="s">
        <v>82</v>
      </c>
      <c r="I536" s="8" t="s">
        <v>208</v>
      </c>
      <c r="J536" s="8" t="n">
        <v>3</v>
      </c>
      <c r="K536" s="8" t="n">
        <v>3</v>
      </c>
      <c r="L536" s="18" t="n">
        <f aca="false">INDEX('All Items'!$Q:$Q,MATCH($A536,'All Items'!$A:$A,0))</f>
        <v>7.4</v>
      </c>
      <c r="M536" s="8" t="s">
        <v>5070</v>
      </c>
      <c r="N536" s="8" t="s">
        <v>5135</v>
      </c>
      <c r="O536" s="8" t="s">
        <v>5237</v>
      </c>
      <c r="P536" s="8" t="s">
        <v>5238</v>
      </c>
      <c r="Q536" s="8" t="s">
        <v>2822</v>
      </c>
      <c r="R536" s="8" t="s">
        <v>5239</v>
      </c>
      <c r="S536" s="19" t="s">
        <v>5240</v>
      </c>
      <c r="T536" s="8" t="s">
        <v>5241</v>
      </c>
      <c r="U536" s="8" t="s">
        <v>5242</v>
      </c>
      <c r="V536" s="8" t="n">
        <f aca="false">COUNTA(M536:R536)</f>
        <v>6</v>
      </c>
      <c r="W536" s="8" t="s">
        <v>218</v>
      </c>
      <c r="X536" s="8" t="s">
        <v>259</v>
      </c>
      <c r="Y536" s="8" t="s">
        <v>218</v>
      </c>
      <c r="Z536" s="8"/>
      <c r="AA536" s="8" t="s">
        <v>5243</v>
      </c>
      <c r="AB536" s="20"/>
      <c r="AC536" s="20"/>
      <c r="AD536" s="20"/>
      <c r="AE536" s="8" t="s">
        <v>237</v>
      </c>
      <c r="AF536" s="8" t="s">
        <v>224</v>
      </c>
    </row>
    <row r="537" customFormat="false" ht="15" hidden="false" customHeight="false" outlineLevel="0" collapsed="false">
      <c r="A537" s="8" t="s">
        <v>5244</v>
      </c>
      <c r="B537" s="8" t="s">
        <v>5245</v>
      </c>
      <c r="C537" s="8"/>
      <c r="D537" s="8" t="s">
        <v>5046</v>
      </c>
      <c r="E537" s="8"/>
      <c r="F537" s="8" t="s">
        <v>72</v>
      </c>
      <c r="G537" s="8" t="s">
        <v>5047</v>
      </c>
      <c r="H537" s="8" t="s">
        <v>78</v>
      </c>
      <c r="I537" s="8" t="s">
        <v>208</v>
      </c>
      <c r="J537" s="8" t="n">
        <v>2</v>
      </c>
      <c r="K537" s="8" t="n">
        <v>4</v>
      </c>
      <c r="L537" s="18" t="n">
        <f aca="false">INDEX('All Items'!$Q:$Q,MATCH($A537,'All Items'!$A:$A,0))</f>
        <v>8.7</v>
      </c>
      <c r="M537" s="8" t="s">
        <v>3277</v>
      </c>
      <c r="N537" s="8" t="s">
        <v>5006</v>
      </c>
      <c r="O537" s="8" t="s">
        <v>3831</v>
      </c>
      <c r="P537" s="8" t="s">
        <v>5246</v>
      </c>
      <c r="Q537" s="8" t="s">
        <v>5247</v>
      </c>
      <c r="R537" s="8"/>
      <c r="S537" s="19" t="s">
        <v>5248</v>
      </c>
      <c r="T537" s="8" t="s">
        <v>5249</v>
      </c>
      <c r="U537" s="8"/>
      <c r="V537" s="8" t="n">
        <f aca="false">COUNTA(M537:R537)</f>
        <v>5</v>
      </c>
      <c r="W537" s="8" t="s">
        <v>218</v>
      </c>
      <c r="X537" s="8" t="s">
        <v>259</v>
      </c>
      <c r="Y537" s="8" t="s">
        <v>218</v>
      </c>
      <c r="Z537" s="8"/>
      <c r="AA537" s="8" t="s">
        <v>5250</v>
      </c>
      <c r="AB537" s="20" t="s">
        <v>5251</v>
      </c>
      <c r="AC537" s="20" t="s">
        <v>221</v>
      </c>
      <c r="AD537" s="20" t="s">
        <v>5252</v>
      </c>
      <c r="AE537" s="8" t="s">
        <v>223</v>
      </c>
      <c r="AF537" s="8" t="s">
        <v>224</v>
      </c>
    </row>
    <row r="538" customFormat="false" ht="15" hidden="false" customHeight="false" outlineLevel="0" collapsed="false">
      <c r="A538" s="8" t="s">
        <v>5253</v>
      </c>
      <c r="B538" s="8" t="s">
        <v>5254</v>
      </c>
      <c r="C538" s="8"/>
      <c r="D538" s="8" t="s">
        <v>5255</v>
      </c>
      <c r="E538" s="8"/>
      <c r="F538" s="8" t="s">
        <v>72</v>
      </c>
      <c r="G538" s="8" t="s">
        <v>5047</v>
      </c>
      <c r="H538" s="8" t="s">
        <v>78</v>
      </c>
      <c r="I538" s="8" t="s">
        <v>227</v>
      </c>
      <c r="J538" s="8" t="n">
        <v>1</v>
      </c>
      <c r="K538" s="8" t="n">
        <v>3</v>
      </c>
      <c r="L538" s="18" t="n">
        <f aca="false">INDEX('All Items'!$Q:$Q,MATCH($A538,'All Items'!$A:$A,0))</f>
        <v>6.9</v>
      </c>
      <c r="M538" s="8" t="s">
        <v>4214</v>
      </c>
      <c r="N538" s="8" t="s">
        <v>5256</v>
      </c>
      <c r="O538" s="8" t="s">
        <v>5257</v>
      </c>
      <c r="P538" s="8" t="s">
        <v>5258</v>
      </c>
      <c r="Q538" s="8" t="s">
        <v>5259</v>
      </c>
      <c r="R538" s="8"/>
      <c r="S538" s="19" t="s">
        <v>5260</v>
      </c>
      <c r="T538" s="8" t="s">
        <v>5261</v>
      </c>
      <c r="U538" s="8"/>
      <c r="V538" s="8" t="n">
        <f aca="false">COUNTA(M538:R538)</f>
        <v>5</v>
      </c>
      <c r="W538" s="8" t="s">
        <v>218</v>
      </c>
      <c r="X538" s="8" t="s">
        <v>259</v>
      </c>
      <c r="Y538" s="8" t="s">
        <v>218</v>
      </c>
      <c r="Z538" s="8"/>
      <c r="AA538" s="8" t="s">
        <v>5262</v>
      </c>
      <c r="AB538" s="20"/>
      <c r="AC538" s="20"/>
      <c r="AD538" s="20"/>
      <c r="AE538" s="8" t="s">
        <v>237</v>
      </c>
      <c r="AF538" s="8" t="s">
        <v>224</v>
      </c>
    </row>
    <row r="539" customFormat="false" ht="15" hidden="false" customHeight="false" outlineLevel="0" collapsed="false">
      <c r="A539" s="8" t="s">
        <v>5263</v>
      </c>
      <c r="B539" s="8" t="s">
        <v>5264</v>
      </c>
      <c r="C539" s="8"/>
      <c r="D539" s="8" t="s">
        <v>5207</v>
      </c>
      <c r="E539" s="8"/>
      <c r="F539" s="8" t="s">
        <v>72</v>
      </c>
      <c r="G539" s="8" t="s">
        <v>5047</v>
      </c>
      <c r="H539" s="8" t="s">
        <v>81</v>
      </c>
      <c r="I539" s="8" t="s">
        <v>208</v>
      </c>
      <c r="J539" s="8" t="n">
        <v>1</v>
      </c>
      <c r="K539" s="8" t="n">
        <v>4</v>
      </c>
      <c r="L539" s="18" t="n">
        <f aca="false">INDEX('All Items'!$Q:$Q,MATCH($A539,'All Items'!$A:$A,0))</f>
        <v>8.45</v>
      </c>
      <c r="M539" s="8" t="s">
        <v>5265</v>
      </c>
      <c r="N539" s="8" t="s">
        <v>2426</v>
      </c>
      <c r="O539" s="8" t="s">
        <v>5266</v>
      </c>
      <c r="P539" s="8" t="s">
        <v>5267</v>
      </c>
      <c r="Q539" s="8" t="s">
        <v>5268</v>
      </c>
      <c r="R539" s="8"/>
      <c r="S539" s="19" t="s">
        <v>5269</v>
      </c>
      <c r="T539" s="8" t="s">
        <v>5270</v>
      </c>
      <c r="U539" s="8"/>
      <c r="V539" s="8" t="n">
        <f aca="false">COUNTA(M539:R539)</f>
        <v>5</v>
      </c>
      <c r="W539" s="8" t="s">
        <v>218</v>
      </c>
      <c r="X539" s="8" t="s">
        <v>259</v>
      </c>
      <c r="Y539" s="8" t="s">
        <v>218</v>
      </c>
      <c r="Z539" s="8"/>
      <c r="AA539" s="8" t="s">
        <v>5271</v>
      </c>
      <c r="AB539" s="20"/>
      <c r="AC539" s="20"/>
      <c r="AD539" s="20"/>
      <c r="AE539" s="8" t="s">
        <v>237</v>
      </c>
      <c r="AF539" s="8" t="s">
        <v>224</v>
      </c>
    </row>
    <row r="540" customFormat="false" ht="15" hidden="false" customHeight="false" outlineLevel="0" collapsed="false">
      <c r="A540" s="8" t="s">
        <v>5272</v>
      </c>
      <c r="B540" s="8" t="s">
        <v>5273</v>
      </c>
      <c r="C540" s="8"/>
      <c r="D540" s="8" t="s">
        <v>5207</v>
      </c>
      <c r="E540" s="8"/>
      <c r="F540" s="8" t="s">
        <v>72</v>
      </c>
      <c r="G540" s="8" t="s">
        <v>5047</v>
      </c>
      <c r="H540" s="8" t="s">
        <v>88</v>
      </c>
      <c r="I540" s="8" t="s">
        <v>273</v>
      </c>
      <c r="J540" s="8" t="n">
        <v>1</v>
      </c>
      <c r="K540" s="8" t="n">
        <v>5</v>
      </c>
      <c r="L540" s="18" t="n">
        <f aca="false">INDEX('All Items'!$Q:$Q,MATCH($A540,'All Items'!$A:$A,0))</f>
        <v>9.5</v>
      </c>
      <c r="M540" s="8" t="s">
        <v>552</v>
      </c>
      <c r="N540" s="8" t="s">
        <v>274</v>
      </c>
      <c r="O540" s="8" t="s">
        <v>5274</v>
      </c>
      <c r="P540" s="8" t="s">
        <v>5275</v>
      </c>
      <c r="Q540" s="8" t="s">
        <v>5276</v>
      </c>
      <c r="R540" s="8"/>
      <c r="S540" s="19" t="s">
        <v>5277</v>
      </c>
      <c r="T540" s="8" t="s">
        <v>5278</v>
      </c>
      <c r="U540" s="8"/>
      <c r="V540" s="8" t="n">
        <f aca="false">COUNTA(M540:R540)</f>
        <v>5</v>
      </c>
      <c r="W540" s="8" t="s">
        <v>218</v>
      </c>
      <c r="X540" s="8" t="s">
        <v>259</v>
      </c>
      <c r="Y540" s="8" t="s">
        <v>218</v>
      </c>
      <c r="Z540" s="8"/>
      <c r="AA540" s="8" t="s">
        <v>5279</v>
      </c>
      <c r="AB540" s="20" t="s">
        <v>5280</v>
      </c>
      <c r="AC540" s="20" t="s">
        <v>1174</v>
      </c>
      <c r="AD540" s="20" t="s">
        <v>5281</v>
      </c>
      <c r="AE540" s="8" t="s">
        <v>223</v>
      </c>
      <c r="AF540" s="8" t="s">
        <v>224</v>
      </c>
    </row>
    <row r="541" customFormat="false" ht="15" hidden="false" customHeight="false" outlineLevel="0" collapsed="false">
      <c r="A541" s="8" t="s">
        <v>5282</v>
      </c>
      <c r="B541" s="8" t="s">
        <v>5283</v>
      </c>
      <c r="C541" s="8"/>
      <c r="D541" s="8" t="s">
        <v>5207</v>
      </c>
      <c r="E541" s="8"/>
      <c r="F541" s="8" t="s">
        <v>72</v>
      </c>
      <c r="G541" s="8" t="s">
        <v>5047</v>
      </c>
      <c r="H541" s="8" t="s">
        <v>78</v>
      </c>
      <c r="I541" s="8" t="s">
        <v>208</v>
      </c>
      <c r="J541" s="8" t="n">
        <v>1</v>
      </c>
      <c r="K541" s="8" t="n">
        <v>4</v>
      </c>
      <c r="L541" s="18" t="n">
        <f aca="false">INDEX('All Items'!$Q:$Q,MATCH($A541,'All Items'!$A:$A,0))</f>
        <v>8.7</v>
      </c>
      <c r="M541" s="8" t="s">
        <v>3275</v>
      </c>
      <c r="N541" s="8" t="s">
        <v>5284</v>
      </c>
      <c r="O541" s="8" t="s">
        <v>2790</v>
      </c>
      <c r="P541" s="8" t="s">
        <v>5285</v>
      </c>
      <c r="Q541" s="8" t="s">
        <v>213</v>
      </c>
      <c r="R541" s="8" t="s">
        <v>5276</v>
      </c>
      <c r="S541" s="19" t="s">
        <v>5286</v>
      </c>
      <c r="T541" s="8" t="s">
        <v>5287</v>
      </c>
      <c r="U541" s="8"/>
      <c r="V541" s="8" t="n">
        <f aca="false">COUNTA(M541:R541)</f>
        <v>6</v>
      </c>
      <c r="W541" s="8" t="s">
        <v>218</v>
      </c>
      <c r="X541" s="8" t="s">
        <v>259</v>
      </c>
      <c r="Y541" s="8" t="s">
        <v>218</v>
      </c>
      <c r="Z541" s="8"/>
      <c r="AA541" s="8" t="s">
        <v>5288</v>
      </c>
      <c r="AB541" s="20"/>
      <c r="AC541" s="20"/>
      <c r="AD541" s="20"/>
      <c r="AE541" s="8" t="s">
        <v>237</v>
      </c>
      <c r="AF541" s="8" t="s">
        <v>224</v>
      </c>
    </row>
    <row r="542" customFormat="false" ht="15" hidden="false" customHeight="false" outlineLevel="0" collapsed="false">
      <c r="A542" s="8" t="s">
        <v>5289</v>
      </c>
      <c r="B542" s="8" t="s">
        <v>5290</v>
      </c>
      <c r="C542" s="8"/>
      <c r="D542" s="8" t="s">
        <v>5207</v>
      </c>
      <c r="E542" s="8"/>
      <c r="F542" s="8" t="s">
        <v>72</v>
      </c>
      <c r="G542" s="8" t="s">
        <v>5047</v>
      </c>
      <c r="H542" s="8" t="s">
        <v>78</v>
      </c>
      <c r="I542" s="8" t="s">
        <v>208</v>
      </c>
      <c r="J542" s="8" t="n">
        <v>2</v>
      </c>
      <c r="K542" s="8" t="n">
        <v>3</v>
      </c>
      <c r="L542" s="18" t="n">
        <f aca="false">INDEX('All Items'!$Q:$Q,MATCH($A542,'All Items'!$A:$A,0))</f>
        <v>7.4</v>
      </c>
      <c r="M542" s="8" t="s">
        <v>2548</v>
      </c>
      <c r="N542" s="8" t="s">
        <v>1521</v>
      </c>
      <c r="O542" s="8" t="s">
        <v>5167</v>
      </c>
      <c r="P542" s="8" t="s">
        <v>5291</v>
      </c>
      <c r="Q542" s="8" t="s">
        <v>5292</v>
      </c>
      <c r="R542" s="8" t="s">
        <v>5293</v>
      </c>
      <c r="S542" s="19" t="s">
        <v>5294</v>
      </c>
      <c r="T542" s="8" t="s">
        <v>5295</v>
      </c>
      <c r="U542" s="8"/>
      <c r="V542" s="8" t="n">
        <f aca="false">COUNTA(M542:R542)</f>
        <v>6</v>
      </c>
      <c r="W542" s="8" t="s">
        <v>218</v>
      </c>
      <c r="X542" s="8" t="s">
        <v>259</v>
      </c>
      <c r="Y542" s="8" t="s">
        <v>218</v>
      </c>
      <c r="Z542" s="8"/>
      <c r="AA542" s="8" t="s">
        <v>5296</v>
      </c>
      <c r="AB542" s="20"/>
      <c r="AC542" s="20"/>
      <c r="AD542" s="20"/>
      <c r="AE542" s="8" t="s">
        <v>237</v>
      </c>
      <c r="AF542" s="8" t="s">
        <v>224</v>
      </c>
    </row>
    <row r="543" customFormat="false" ht="15" hidden="false" customHeight="false" outlineLevel="0" collapsed="false">
      <c r="A543" s="8" t="s">
        <v>5297</v>
      </c>
      <c r="B543" s="8" t="s">
        <v>5298</v>
      </c>
      <c r="C543" s="8"/>
      <c r="D543" s="8" t="s">
        <v>5207</v>
      </c>
      <c r="E543" s="8"/>
      <c r="F543" s="8" t="s">
        <v>72</v>
      </c>
      <c r="G543" s="8" t="s">
        <v>5047</v>
      </c>
      <c r="H543" s="8" t="s">
        <v>78</v>
      </c>
      <c r="I543" s="8" t="s">
        <v>208</v>
      </c>
      <c r="J543" s="8" t="n">
        <v>1</v>
      </c>
      <c r="K543" s="8" t="n">
        <v>4</v>
      </c>
      <c r="L543" s="18" t="n">
        <f aca="false">INDEX('All Items'!$Q:$Q,MATCH($A543,'All Items'!$A:$A,0))</f>
        <v>8.7</v>
      </c>
      <c r="M543" s="8" t="s">
        <v>5299</v>
      </c>
      <c r="N543" s="8" t="s">
        <v>5300</v>
      </c>
      <c r="O543" s="8" t="s">
        <v>5301</v>
      </c>
      <c r="P543" s="8" t="s">
        <v>5302</v>
      </c>
      <c r="Q543" s="8" t="s">
        <v>5303</v>
      </c>
      <c r="R543" s="8" t="s">
        <v>5276</v>
      </c>
      <c r="S543" s="19" t="s">
        <v>5304</v>
      </c>
      <c r="T543" s="8" t="s">
        <v>5305</v>
      </c>
      <c r="U543" s="8"/>
      <c r="V543" s="8" t="n">
        <f aca="false">COUNTA(M543:R543)</f>
        <v>6</v>
      </c>
      <c r="W543" s="8" t="s">
        <v>218</v>
      </c>
      <c r="X543" s="8" t="s">
        <v>259</v>
      </c>
      <c r="Y543" s="8" t="s">
        <v>218</v>
      </c>
      <c r="Z543" s="8"/>
      <c r="AA543" s="8" t="s">
        <v>5306</v>
      </c>
      <c r="AB543" s="20"/>
      <c r="AC543" s="20"/>
      <c r="AD543" s="20"/>
      <c r="AE543" s="8" t="s">
        <v>237</v>
      </c>
      <c r="AF543" s="8" t="s">
        <v>224</v>
      </c>
    </row>
    <row r="544" customFormat="false" ht="15" hidden="false" customHeight="false" outlineLevel="0" collapsed="false">
      <c r="A544" s="8" t="s">
        <v>5307</v>
      </c>
      <c r="B544" s="8" t="s">
        <v>5308</v>
      </c>
      <c r="C544" s="8"/>
      <c r="D544" s="8" t="s">
        <v>5207</v>
      </c>
      <c r="E544" s="8"/>
      <c r="F544" s="8" t="s">
        <v>72</v>
      </c>
      <c r="G544" s="8" t="s">
        <v>5047</v>
      </c>
      <c r="H544" s="8" t="s">
        <v>79</v>
      </c>
      <c r="I544" s="8" t="s">
        <v>227</v>
      </c>
      <c r="J544" s="8" t="n">
        <v>1</v>
      </c>
      <c r="K544" s="8" t="n">
        <v>5</v>
      </c>
      <c r="L544" s="18" t="n">
        <f aca="false">INDEX('All Items'!$Q:$Q,MATCH($A544,'All Items'!$A:$A,0))</f>
        <v>9.75</v>
      </c>
      <c r="M544" s="8" t="s">
        <v>5309</v>
      </c>
      <c r="N544" s="8" t="s">
        <v>5310</v>
      </c>
      <c r="O544" s="8" t="s">
        <v>5311</v>
      </c>
      <c r="P544" s="8" t="s">
        <v>4422</v>
      </c>
      <c r="Q544" s="8" t="s">
        <v>5312</v>
      </c>
      <c r="R544" s="8" t="s">
        <v>5276</v>
      </c>
      <c r="S544" s="19" t="s">
        <v>5313</v>
      </c>
      <c r="T544" s="8" t="s">
        <v>5314</v>
      </c>
      <c r="U544" s="8"/>
      <c r="V544" s="8" t="n">
        <f aca="false">COUNTA(M544:R544)</f>
        <v>6</v>
      </c>
      <c r="W544" s="8" t="s">
        <v>218</v>
      </c>
      <c r="X544" s="8" t="s">
        <v>259</v>
      </c>
      <c r="Y544" s="8" t="s">
        <v>218</v>
      </c>
      <c r="Z544" s="8"/>
      <c r="AA544" s="8" t="s">
        <v>5315</v>
      </c>
      <c r="AB544" s="20"/>
      <c r="AC544" s="20"/>
      <c r="AD544" s="20"/>
      <c r="AE544" s="8" t="s">
        <v>237</v>
      </c>
      <c r="AF544" s="8" t="s">
        <v>224</v>
      </c>
    </row>
    <row r="545" customFormat="false" ht="15" hidden="false" customHeight="false" outlineLevel="0" collapsed="false">
      <c r="A545" s="8" t="s">
        <v>5316</v>
      </c>
      <c r="B545" s="8" t="s">
        <v>5317</v>
      </c>
      <c r="C545" s="8"/>
      <c r="D545" s="8" t="s">
        <v>5207</v>
      </c>
      <c r="E545" s="8"/>
      <c r="F545" s="8" t="s">
        <v>72</v>
      </c>
      <c r="G545" s="8" t="s">
        <v>5047</v>
      </c>
      <c r="H545" s="8" t="s">
        <v>78</v>
      </c>
      <c r="I545" s="8" t="s">
        <v>208</v>
      </c>
      <c r="J545" s="8" t="n">
        <v>1</v>
      </c>
      <c r="K545" s="8" t="n">
        <v>5</v>
      </c>
      <c r="L545" s="18" t="n">
        <f aca="false">INDEX('All Items'!$Q:$Q,MATCH($A545,'All Items'!$A:$A,0))</f>
        <v>10</v>
      </c>
      <c r="M545" s="8" t="s">
        <v>5309</v>
      </c>
      <c r="N545" s="8" t="s">
        <v>4776</v>
      </c>
      <c r="O545" s="8" t="s">
        <v>1307</v>
      </c>
      <c r="P545" s="8" t="s">
        <v>5318</v>
      </c>
      <c r="Q545" s="8" t="s">
        <v>5319</v>
      </c>
      <c r="R545" s="8" t="s">
        <v>5320</v>
      </c>
      <c r="S545" s="19" t="s">
        <v>5321</v>
      </c>
      <c r="T545" s="8" t="s">
        <v>5322</v>
      </c>
      <c r="U545" s="8"/>
      <c r="V545" s="8" t="n">
        <f aca="false">COUNTA(M545:R545)</f>
        <v>6</v>
      </c>
      <c r="W545" s="8" t="s">
        <v>218</v>
      </c>
      <c r="X545" s="8" t="s">
        <v>259</v>
      </c>
      <c r="Y545" s="8" t="s">
        <v>218</v>
      </c>
      <c r="Z545" s="8"/>
      <c r="AA545" s="8" t="s">
        <v>5323</v>
      </c>
      <c r="AB545" s="20"/>
      <c r="AC545" s="20"/>
      <c r="AD545" s="20"/>
      <c r="AE545" s="8" t="s">
        <v>237</v>
      </c>
      <c r="AF545" s="8" t="s">
        <v>224</v>
      </c>
    </row>
    <row r="546" customFormat="false" ht="15" hidden="false" customHeight="false" outlineLevel="0" collapsed="false">
      <c r="A546" s="8" t="s">
        <v>5324</v>
      </c>
      <c r="B546" s="8" t="s">
        <v>5325</v>
      </c>
      <c r="C546" s="8"/>
      <c r="D546" s="8" t="s">
        <v>5207</v>
      </c>
      <c r="E546" s="8"/>
      <c r="F546" s="8" t="s">
        <v>72</v>
      </c>
      <c r="G546" s="8" t="s">
        <v>5047</v>
      </c>
      <c r="H546" s="8" t="s">
        <v>83</v>
      </c>
      <c r="I546" s="8" t="s">
        <v>208</v>
      </c>
      <c r="J546" s="8" t="n">
        <v>2</v>
      </c>
      <c r="K546" s="8" t="n">
        <v>3</v>
      </c>
      <c r="L546" s="18" t="n">
        <f aca="false">INDEX('All Items'!$Q:$Q,MATCH($A546,'All Items'!$A:$A,0))</f>
        <v>7.4</v>
      </c>
      <c r="M546" s="8" t="s">
        <v>4933</v>
      </c>
      <c r="N546" s="8" t="s">
        <v>2672</v>
      </c>
      <c r="O546" s="8" t="s">
        <v>1008</v>
      </c>
      <c r="P546" s="8" t="s">
        <v>5326</v>
      </c>
      <c r="Q546" s="8" t="s">
        <v>5327</v>
      </c>
      <c r="R546" s="8" t="s">
        <v>5276</v>
      </c>
      <c r="S546" s="19" t="s">
        <v>5328</v>
      </c>
      <c r="T546" s="8" t="s">
        <v>5329</v>
      </c>
      <c r="U546" s="8"/>
      <c r="V546" s="8" t="n">
        <f aca="false">COUNTA(M546:R546)</f>
        <v>6</v>
      </c>
      <c r="W546" s="8" t="s">
        <v>218</v>
      </c>
      <c r="X546" s="8" t="s">
        <v>259</v>
      </c>
      <c r="Y546" s="8" t="s">
        <v>218</v>
      </c>
      <c r="Z546" s="8"/>
      <c r="AA546" s="8" t="s">
        <v>5330</v>
      </c>
      <c r="AB546" s="20" t="s">
        <v>5331</v>
      </c>
      <c r="AC546" s="20" t="s">
        <v>384</v>
      </c>
      <c r="AD546" s="20" t="s">
        <v>5332</v>
      </c>
      <c r="AE546" s="8" t="s">
        <v>223</v>
      </c>
      <c r="AF546" s="8" t="s">
        <v>224</v>
      </c>
    </row>
    <row r="547" customFormat="false" ht="15" hidden="false" customHeight="false" outlineLevel="0" collapsed="false">
      <c r="A547" s="8" t="s">
        <v>5333</v>
      </c>
      <c r="B547" s="8" t="s">
        <v>5334</v>
      </c>
      <c r="C547" s="8"/>
      <c r="D547" s="8" t="s">
        <v>5207</v>
      </c>
      <c r="E547" s="8"/>
      <c r="F547" s="8" t="s">
        <v>72</v>
      </c>
      <c r="G547" s="8" t="s">
        <v>5047</v>
      </c>
      <c r="H547" s="8" t="s">
        <v>82</v>
      </c>
      <c r="I547" s="8" t="s">
        <v>1030</v>
      </c>
      <c r="J547" s="8" t="n">
        <v>2</v>
      </c>
      <c r="K547" s="8" t="n">
        <v>3</v>
      </c>
      <c r="L547" s="18" t="n">
        <f aca="false">INDEX('All Items'!$Q:$Q,MATCH($A547,'All Items'!$A:$A,0))</f>
        <v>7.15</v>
      </c>
      <c r="M547" s="8" t="s">
        <v>5284</v>
      </c>
      <c r="N547" s="8" t="s">
        <v>3138</v>
      </c>
      <c r="O547" s="8" t="s">
        <v>5309</v>
      </c>
      <c r="P547" s="8" t="s">
        <v>5335</v>
      </c>
      <c r="Q547" s="8" t="s">
        <v>5336</v>
      </c>
      <c r="R547" s="8" t="s">
        <v>5337</v>
      </c>
      <c r="S547" s="19" t="s">
        <v>5338</v>
      </c>
      <c r="T547" s="8" t="s">
        <v>5339</v>
      </c>
      <c r="U547" s="8"/>
      <c r="V547" s="8" t="n">
        <f aca="false">COUNTA(M547:R547)</f>
        <v>6</v>
      </c>
      <c r="W547" s="8" t="s">
        <v>218</v>
      </c>
      <c r="X547" s="8" t="s">
        <v>259</v>
      </c>
      <c r="Y547" s="8" t="s">
        <v>218</v>
      </c>
      <c r="Z547" s="8"/>
      <c r="AA547" s="8" t="s">
        <v>5340</v>
      </c>
      <c r="AB547" s="20" t="s">
        <v>5341</v>
      </c>
      <c r="AC547" s="20" t="s">
        <v>221</v>
      </c>
      <c r="AD547" s="20" t="s">
        <v>5342</v>
      </c>
      <c r="AE547" s="8" t="s">
        <v>223</v>
      </c>
      <c r="AF547" s="8" t="s">
        <v>224</v>
      </c>
    </row>
    <row r="548" customFormat="false" ht="15" hidden="false" customHeight="false" outlineLevel="0" collapsed="false">
      <c r="A548" s="8" t="s">
        <v>5343</v>
      </c>
      <c r="B548" s="8" t="s">
        <v>5344</v>
      </c>
      <c r="C548" s="8"/>
      <c r="D548" s="8" t="s">
        <v>5207</v>
      </c>
      <c r="E548" s="8"/>
      <c r="F548" s="8" t="s">
        <v>72</v>
      </c>
      <c r="G548" s="8" t="s">
        <v>5047</v>
      </c>
      <c r="H548" s="8" t="s">
        <v>78</v>
      </c>
      <c r="I548" s="8" t="s">
        <v>208</v>
      </c>
      <c r="J548" s="8" t="n">
        <v>2</v>
      </c>
      <c r="K548" s="8" t="n">
        <v>3</v>
      </c>
      <c r="L548" s="18" t="n">
        <f aca="false">INDEX('All Items'!$Q:$Q,MATCH($A548,'All Items'!$A:$A,0))</f>
        <v>7.4</v>
      </c>
      <c r="M548" s="8" t="s">
        <v>5345</v>
      </c>
      <c r="N548" s="8" t="s">
        <v>1297</v>
      </c>
      <c r="O548" s="8" t="s">
        <v>5346</v>
      </c>
      <c r="P548" s="8" t="s">
        <v>5265</v>
      </c>
      <c r="Q548" s="8" t="s">
        <v>5347</v>
      </c>
      <c r="R548" s="8" t="s">
        <v>5348</v>
      </c>
      <c r="S548" s="19" t="s">
        <v>5349</v>
      </c>
      <c r="T548" s="8" t="s">
        <v>5350</v>
      </c>
      <c r="U548" s="8"/>
      <c r="V548" s="8" t="n">
        <f aca="false">COUNTA(M548:R548)</f>
        <v>6</v>
      </c>
      <c r="W548" s="8" t="s">
        <v>218</v>
      </c>
      <c r="X548" s="8" t="s">
        <v>259</v>
      </c>
      <c r="Y548" s="8" t="s">
        <v>218</v>
      </c>
      <c r="Z548" s="8"/>
      <c r="AA548" s="8" t="s">
        <v>5351</v>
      </c>
      <c r="AB548" s="20"/>
      <c r="AC548" s="20"/>
      <c r="AD548" s="20"/>
      <c r="AE548" s="8" t="s">
        <v>237</v>
      </c>
      <c r="AF548" s="8" t="s">
        <v>224</v>
      </c>
    </row>
    <row r="549" customFormat="false" ht="15" hidden="false" customHeight="false" outlineLevel="0" collapsed="false">
      <c r="A549" s="8" t="s">
        <v>5352</v>
      </c>
      <c r="B549" s="8" t="s">
        <v>5353</v>
      </c>
      <c r="C549" s="8"/>
      <c r="D549" s="8" t="s">
        <v>5207</v>
      </c>
      <c r="E549" s="8"/>
      <c r="F549" s="8" t="s">
        <v>72</v>
      </c>
      <c r="G549" s="8" t="s">
        <v>5047</v>
      </c>
      <c r="H549" s="8" t="s">
        <v>81</v>
      </c>
      <c r="I549" s="8" t="s">
        <v>227</v>
      </c>
      <c r="J549" s="8" t="n">
        <v>2</v>
      </c>
      <c r="K549" s="8" t="n">
        <v>3</v>
      </c>
      <c r="L549" s="18" t="n">
        <f aca="false">INDEX('All Items'!$Q:$Q,MATCH($A549,'All Items'!$A:$A,0))</f>
        <v>7.15</v>
      </c>
      <c r="M549" s="8" t="s">
        <v>552</v>
      </c>
      <c r="N549" s="8" t="s">
        <v>2932</v>
      </c>
      <c r="O549" s="8" t="s">
        <v>5354</v>
      </c>
      <c r="P549" s="8" t="s">
        <v>5355</v>
      </c>
      <c r="Q549" s="8" t="s">
        <v>5356</v>
      </c>
      <c r="R549" s="8" t="s">
        <v>5357</v>
      </c>
      <c r="S549" s="19" t="s">
        <v>5358</v>
      </c>
      <c r="T549" s="8" t="s">
        <v>5359</v>
      </c>
      <c r="U549" s="8"/>
      <c r="V549" s="8" t="n">
        <f aca="false">COUNTA(M549:R549)</f>
        <v>6</v>
      </c>
      <c r="W549" s="8" t="s">
        <v>218</v>
      </c>
      <c r="X549" s="8" t="s">
        <v>259</v>
      </c>
      <c r="Y549" s="8" t="s">
        <v>218</v>
      </c>
      <c r="Z549" s="8"/>
      <c r="AA549" s="8" t="s">
        <v>5360</v>
      </c>
      <c r="AB549" s="20"/>
      <c r="AC549" s="20"/>
      <c r="AD549" s="20"/>
      <c r="AE549" s="8" t="s">
        <v>237</v>
      </c>
      <c r="AF549" s="8" t="s">
        <v>224</v>
      </c>
    </row>
    <row r="550" customFormat="false" ht="15" hidden="false" customHeight="false" outlineLevel="0" collapsed="false">
      <c r="A550" s="8" t="s">
        <v>5361</v>
      </c>
      <c r="B550" s="8" t="s">
        <v>5362</v>
      </c>
      <c r="C550" s="8"/>
      <c r="D550" s="8" t="s">
        <v>5207</v>
      </c>
      <c r="E550" s="8"/>
      <c r="F550" s="8" t="s">
        <v>72</v>
      </c>
      <c r="G550" s="8" t="s">
        <v>5047</v>
      </c>
      <c r="H550" s="8" t="s">
        <v>78</v>
      </c>
      <c r="I550" s="8" t="s">
        <v>208</v>
      </c>
      <c r="J550" s="8" t="n">
        <v>2</v>
      </c>
      <c r="K550" s="8" t="n">
        <v>3</v>
      </c>
      <c r="L550" s="18" t="n">
        <f aca="false">INDEX('All Items'!$Q:$Q,MATCH($A550,'All Items'!$A:$A,0))</f>
        <v>7.4</v>
      </c>
      <c r="M550" s="8" t="s">
        <v>3285</v>
      </c>
      <c r="N550" s="8" t="s">
        <v>5363</v>
      </c>
      <c r="O550" s="8" t="s">
        <v>5364</v>
      </c>
      <c r="P550" s="8" t="s">
        <v>5365</v>
      </c>
      <c r="Q550" s="8" t="s">
        <v>5366</v>
      </c>
      <c r="R550" s="8" t="s">
        <v>5367</v>
      </c>
      <c r="S550" s="19" t="s">
        <v>5368</v>
      </c>
      <c r="T550" s="8" t="s">
        <v>5369</v>
      </c>
      <c r="U550" s="8"/>
      <c r="V550" s="8" t="n">
        <f aca="false">COUNTA(M550:R550)</f>
        <v>6</v>
      </c>
      <c r="W550" s="8" t="s">
        <v>218</v>
      </c>
      <c r="X550" s="8" t="s">
        <v>259</v>
      </c>
      <c r="Y550" s="8" t="s">
        <v>218</v>
      </c>
      <c r="Z550" s="8"/>
      <c r="AA550" s="8" t="s">
        <v>5370</v>
      </c>
      <c r="AB550" s="20" t="s">
        <v>5371</v>
      </c>
      <c r="AC550" s="20" t="s">
        <v>1174</v>
      </c>
      <c r="AD550" s="20" t="s">
        <v>5372</v>
      </c>
      <c r="AE550" s="8" t="s">
        <v>223</v>
      </c>
      <c r="AF550" s="8" t="s">
        <v>224</v>
      </c>
    </row>
    <row r="551" customFormat="false" ht="15" hidden="false" customHeight="false" outlineLevel="0" collapsed="false">
      <c r="A551" s="8" t="s">
        <v>5373</v>
      </c>
      <c r="B551" s="8" t="s">
        <v>5374</v>
      </c>
      <c r="C551" s="8"/>
      <c r="D551" s="8" t="s">
        <v>5207</v>
      </c>
      <c r="E551" s="8"/>
      <c r="F551" s="8" t="s">
        <v>72</v>
      </c>
      <c r="G551" s="8" t="s">
        <v>5047</v>
      </c>
      <c r="H551" s="8" t="s">
        <v>78</v>
      </c>
      <c r="I551" s="8" t="s">
        <v>208</v>
      </c>
      <c r="J551" s="8" t="n">
        <v>2</v>
      </c>
      <c r="K551" s="8" t="n">
        <v>3</v>
      </c>
      <c r="L551" s="18" t="n">
        <f aca="false">INDEX('All Items'!$Q:$Q,MATCH($A551,'All Items'!$A:$A,0))</f>
        <v>7.15</v>
      </c>
      <c r="M551" s="8" t="s">
        <v>5375</v>
      </c>
      <c r="N551" s="8" t="s">
        <v>5300</v>
      </c>
      <c r="O551" s="8" t="s">
        <v>2158</v>
      </c>
      <c r="P551" s="8" t="s">
        <v>1008</v>
      </c>
      <c r="Q551" s="8" t="s">
        <v>5376</v>
      </c>
      <c r="R551" s="8" t="s">
        <v>5377</v>
      </c>
      <c r="S551" s="19" t="s">
        <v>5378</v>
      </c>
      <c r="T551" s="8" t="s">
        <v>5379</v>
      </c>
      <c r="U551" s="8"/>
      <c r="V551" s="8" t="n">
        <f aca="false">COUNTA(M551:R551)</f>
        <v>6</v>
      </c>
      <c r="W551" s="8" t="s">
        <v>218</v>
      </c>
      <c r="X551" s="8" t="s">
        <v>259</v>
      </c>
      <c r="Y551" s="8" t="s">
        <v>218</v>
      </c>
      <c r="Z551" s="8"/>
      <c r="AA551" s="8" t="s">
        <v>5380</v>
      </c>
      <c r="AB551" s="20" t="s">
        <v>5381</v>
      </c>
      <c r="AC551" s="20" t="s">
        <v>384</v>
      </c>
      <c r="AD551" s="20" t="s">
        <v>5382</v>
      </c>
      <c r="AE551" s="8" t="s">
        <v>223</v>
      </c>
      <c r="AF551" s="8" t="s">
        <v>224</v>
      </c>
    </row>
    <row r="552" customFormat="false" ht="15" hidden="false" customHeight="false" outlineLevel="0" collapsed="false">
      <c r="A552" s="8" t="s">
        <v>5383</v>
      </c>
      <c r="B552" s="8" t="s">
        <v>5384</v>
      </c>
      <c r="C552" s="8"/>
      <c r="D552" s="8" t="s">
        <v>5207</v>
      </c>
      <c r="E552" s="8"/>
      <c r="F552" s="8" t="s">
        <v>72</v>
      </c>
      <c r="G552" s="8" t="s">
        <v>5047</v>
      </c>
      <c r="H552" s="8" t="s">
        <v>82</v>
      </c>
      <c r="I552" s="8" t="s">
        <v>1030</v>
      </c>
      <c r="J552" s="8" t="n">
        <v>2</v>
      </c>
      <c r="K552" s="8" t="n">
        <v>3</v>
      </c>
      <c r="L552" s="18" t="n">
        <f aca="false">INDEX('All Items'!$Q:$Q,MATCH($A552,'All Items'!$A:$A,0))</f>
        <v>7.15</v>
      </c>
      <c r="M552" s="8" t="s">
        <v>5385</v>
      </c>
      <c r="N552" s="8" t="s">
        <v>5386</v>
      </c>
      <c r="O552" s="8" t="s">
        <v>5266</v>
      </c>
      <c r="P552" s="8" t="s">
        <v>3138</v>
      </c>
      <c r="Q552" s="8" t="s">
        <v>5387</v>
      </c>
      <c r="R552" s="8" t="s">
        <v>5337</v>
      </c>
      <c r="S552" s="19" t="s">
        <v>5388</v>
      </c>
      <c r="T552" s="8" t="s">
        <v>5389</v>
      </c>
      <c r="U552" s="8"/>
      <c r="V552" s="8" t="n">
        <f aca="false">COUNTA(M552:R552)</f>
        <v>6</v>
      </c>
      <c r="W552" s="8" t="s">
        <v>218</v>
      </c>
      <c r="X552" s="8" t="s">
        <v>259</v>
      </c>
      <c r="Y552" s="8" t="s">
        <v>218</v>
      </c>
      <c r="Z552" s="8"/>
      <c r="AA552" s="8" t="s">
        <v>5390</v>
      </c>
      <c r="AB552" s="20"/>
      <c r="AC552" s="20"/>
      <c r="AD552" s="20"/>
      <c r="AE552" s="8" t="s">
        <v>237</v>
      </c>
      <c r="AF552" s="8" t="s">
        <v>224</v>
      </c>
    </row>
    <row r="553" customFormat="false" ht="15" hidden="false" customHeight="false" outlineLevel="0" collapsed="false">
      <c r="A553" s="8" t="s">
        <v>5391</v>
      </c>
      <c r="B553" s="8" t="s">
        <v>5392</v>
      </c>
      <c r="C553" s="8"/>
      <c r="D553" s="8" t="s">
        <v>5207</v>
      </c>
      <c r="E553" s="8"/>
      <c r="F553" s="8" t="s">
        <v>72</v>
      </c>
      <c r="G553" s="8" t="s">
        <v>5047</v>
      </c>
      <c r="H553" s="8" t="s">
        <v>80</v>
      </c>
      <c r="I553" s="8" t="s">
        <v>1030</v>
      </c>
      <c r="J553" s="8" t="n">
        <v>2</v>
      </c>
      <c r="K553" s="8" t="n">
        <v>4</v>
      </c>
      <c r="L553" s="18" t="n">
        <f aca="false">INDEX('All Items'!$Q:$Q,MATCH($A553,'All Items'!$A:$A,0))</f>
        <v>8.7</v>
      </c>
      <c r="M553" s="8" t="s">
        <v>5219</v>
      </c>
      <c r="N553" s="8" t="s">
        <v>4528</v>
      </c>
      <c r="O553" s="8" t="s">
        <v>5393</v>
      </c>
      <c r="P553" s="8" t="s">
        <v>5394</v>
      </c>
      <c r="Q553" s="8" t="s">
        <v>5395</v>
      </c>
      <c r="R553" s="8" t="s">
        <v>5396</v>
      </c>
      <c r="S553" s="19" t="s">
        <v>5397</v>
      </c>
      <c r="T553" s="8" t="s">
        <v>5398</v>
      </c>
      <c r="U553" s="8" t="s">
        <v>5395</v>
      </c>
      <c r="V553" s="8" t="n">
        <f aca="false">COUNTA(M553:R553)</f>
        <v>6</v>
      </c>
      <c r="W553" s="8" t="s">
        <v>218</v>
      </c>
      <c r="X553" s="8" t="s">
        <v>259</v>
      </c>
      <c r="Y553" s="8" t="s">
        <v>259</v>
      </c>
      <c r="Z553" s="8" t="s">
        <v>5399</v>
      </c>
      <c r="AA553" s="8" t="s">
        <v>5400</v>
      </c>
      <c r="AB553" s="20" t="s">
        <v>5401</v>
      </c>
      <c r="AC553" s="20" t="s">
        <v>384</v>
      </c>
      <c r="AD553" s="20" t="s">
        <v>5402</v>
      </c>
      <c r="AE553" s="8" t="s">
        <v>223</v>
      </c>
      <c r="AF553" s="8" t="s">
        <v>224</v>
      </c>
    </row>
    <row r="554" customFormat="false" ht="15" hidden="false" customHeight="false" outlineLevel="0" collapsed="false">
      <c r="A554" s="8" t="s">
        <v>5403</v>
      </c>
      <c r="B554" s="8" t="s">
        <v>5404</v>
      </c>
      <c r="C554" s="8"/>
      <c r="D554" s="8" t="s">
        <v>5405</v>
      </c>
      <c r="E554" s="8"/>
      <c r="F554" s="8" t="s">
        <v>72</v>
      </c>
      <c r="G554" s="8" t="s">
        <v>5406</v>
      </c>
      <c r="H554" s="8" t="s">
        <v>78</v>
      </c>
      <c r="I554" s="8" t="s">
        <v>208</v>
      </c>
      <c r="J554" s="8" t="n">
        <v>1</v>
      </c>
      <c r="K554" s="8" t="n">
        <v>3</v>
      </c>
      <c r="L554" s="18" t="n">
        <f aca="false">INDEX('All Items'!$Q:$Q,MATCH($A554,'All Items'!$A:$A,0))</f>
        <v>7.4</v>
      </c>
      <c r="M554" s="8" t="s">
        <v>5407</v>
      </c>
      <c r="N554" s="8" t="s">
        <v>4714</v>
      </c>
      <c r="O554" s="8" t="s">
        <v>5408</v>
      </c>
      <c r="P554" s="8" t="s">
        <v>5409</v>
      </c>
      <c r="Q554" s="8" t="s">
        <v>5410</v>
      </c>
      <c r="R554" s="8" t="s">
        <v>213</v>
      </c>
      <c r="S554" s="19" t="s">
        <v>5411</v>
      </c>
      <c r="T554" s="8" t="s">
        <v>5412</v>
      </c>
      <c r="U554" s="8" t="s">
        <v>5413</v>
      </c>
      <c r="V554" s="8" t="n">
        <f aca="false">COUNTA(M554:R554)</f>
        <v>6</v>
      </c>
      <c r="W554" s="8" t="s">
        <v>218</v>
      </c>
      <c r="X554" s="8" t="s">
        <v>259</v>
      </c>
      <c r="Y554" s="8" t="s">
        <v>218</v>
      </c>
      <c r="Z554" s="8"/>
      <c r="AA554" s="8" t="s">
        <v>5414</v>
      </c>
      <c r="AB554" s="20"/>
      <c r="AC554" s="20"/>
      <c r="AD554" s="20"/>
      <c r="AE554" s="8" t="s">
        <v>237</v>
      </c>
      <c r="AF554" s="8" t="s">
        <v>224</v>
      </c>
    </row>
    <row r="555" customFormat="false" ht="15" hidden="false" customHeight="false" outlineLevel="0" collapsed="false">
      <c r="A555" s="8" t="s">
        <v>5415</v>
      </c>
      <c r="B555" s="8" t="s">
        <v>5416</v>
      </c>
      <c r="C555" s="8"/>
      <c r="D555" s="8" t="s">
        <v>5405</v>
      </c>
      <c r="E555" s="8"/>
      <c r="F555" s="8" t="s">
        <v>72</v>
      </c>
      <c r="G555" s="8" t="s">
        <v>5406</v>
      </c>
      <c r="H555" s="8" t="s">
        <v>82</v>
      </c>
      <c r="I555" s="8" t="s">
        <v>208</v>
      </c>
      <c r="J555" s="8" t="n">
        <v>2</v>
      </c>
      <c r="K555" s="8" t="n">
        <v>3</v>
      </c>
      <c r="L555" s="18" t="n">
        <f aca="false">INDEX('All Items'!$Q:$Q,MATCH($A555,'All Items'!$A:$A,0))</f>
        <v>7.15</v>
      </c>
      <c r="M555" s="8" t="s">
        <v>274</v>
      </c>
      <c r="N555" s="8" t="s">
        <v>5407</v>
      </c>
      <c r="O555" s="8" t="s">
        <v>4416</v>
      </c>
      <c r="P555" s="8" t="s">
        <v>5417</v>
      </c>
      <c r="Q555" s="8" t="s">
        <v>5418</v>
      </c>
      <c r="R555" s="8" t="s">
        <v>5419</v>
      </c>
      <c r="S555" s="19" t="s">
        <v>5420</v>
      </c>
      <c r="T555" s="8" t="s">
        <v>5421</v>
      </c>
      <c r="U555" s="8" t="s">
        <v>5419</v>
      </c>
      <c r="V555" s="8" t="n">
        <f aca="false">COUNTA(M555:R555)</f>
        <v>6</v>
      </c>
      <c r="W555" s="8" t="s">
        <v>218</v>
      </c>
      <c r="X555" s="8" t="s">
        <v>259</v>
      </c>
      <c r="Y555" s="8" t="s">
        <v>218</v>
      </c>
      <c r="Z555" s="8"/>
      <c r="AA555" s="8" t="s">
        <v>5422</v>
      </c>
      <c r="AB555" s="20"/>
      <c r="AC555" s="20"/>
      <c r="AD555" s="20"/>
      <c r="AE555" s="8" t="s">
        <v>237</v>
      </c>
      <c r="AF555" s="8" t="s">
        <v>224</v>
      </c>
    </row>
    <row r="556" customFormat="false" ht="15" hidden="false" customHeight="false" outlineLevel="0" collapsed="false">
      <c r="A556" s="8" t="s">
        <v>5423</v>
      </c>
      <c r="B556" s="8" t="s">
        <v>5424</v>
      </c>
      <c r="C556" s="8"/>
      <c r="D556" s="8" t="s">
        <v>5425</v>
      </c>
      <c r="E556" s="8"/>
      <c r="F556" s="8" t="s">
        <v>72</v>
      </c>
      <c r="G556" s="8" t="s">
        <v>5406</v>
      </c>
      <c r="H556" s="8" t="s">
        <v>78</v>
      </c>
      <c r="I556" s="8" t="s">
        <v>208</v>
      </c>
      <c r="J556" s="8" t="n">
        <v>2</v>
      </c>
      <c r="K556" s="8" t="n">
        <v>3</v>
      </c>
      <c r="L556" s="18" t="n">
        <f aca="false">INDEX('All Items'!$Q:$Q,MATCH($A556,'All Items'!$A:$A,0))</f>
        <v>7.15</v>
      </c>
      <c r="M556" s="8" t="s">
        <v>274</v>
      </c>
      <c r="N556" s="8" t="s">
        <v>4414</v>
      </c>
      <c r="O556" s="8" t="s">
        <v>356</v>
      </c>
      <c r="P556" s="8" t="s">
        <v>5426</v>
      </c>
      <c r="Q556" s="8" t="s">
        <v>5427</v>
      </c>
      <c r="R556" s="8" t="s">
        <v>5428</v>
      </c>
      <c r="S556" s="19" t="s">
        <v>5429</v>
      </c>
      <c r="T556" s="8" t="s">
        <v>5430</v>
      </c>
      <c r="U556" s="8"/>
      <c r="V556" s="8" t="n">
        <f aca="false">COUNTA(M556:R556)</f>
        <v>6</v>
      </c>
      <c r="W556" s="8" t="s">
        <v>218</v>
      </c>
      <c r="X556" s="8" t="s">
        <v>259</v>
      </c>
      <c r="Y556" s="8" t="s">
        <v>218</v>
      </c>
      <c r="Z556" s="8"/>
      <c r="AA556" s="8" t="s">
        <v>5431</v>
      </c>
      <c r="AB556" s="20" t="s">
        <v>5432</v>
      </c>
      <c r="AC556" s="20" t="s">
        <v>527</v>
      </c>
      <c r="AD556" s="20" t="s">
        <v>5433</v>
      </c>
      <c r="AE556" s="8" t="s">
        <v>223</v>
      </c>
      <c r="AF556" s="8" t="s">
        <v>224</v>
      </c>
    </row>
    <row r="557" customFormat="false" ht="15" hidden="false" customHeight="false" outlineLevel="0" collapsed="false">
      <c r="A557" s="8" t="s">
        <v>5434</v>
      </c>
      <c r="B557" s="8" t="s">
        <v>5435</v>
      </c>
      <c r="C557" s="8"/>
      <c r="D557" s="8" t="s">
        <v>5425</v>
      </c>
      <c r="E557" s="8"/>
      <c r="F557" s="8" t="s">
        <v>72</v>
      </c>
      <c r="G557" s="8" t="s">
        <v>5406</v>
      </c>
      <c r="H557" s="8" t="s">
        <v>78</v>
      </c>
      <c r="I557" s="8" t="s">
        <v>208</v>
      </c>
      <c r="J557" s="8" t="n">
        <v>2</v>
      </c>
      <c r="K557" s="8" t="n">
        <v>3</v>
      </c>
      <c r="L557" s="18" t="n">
        <f aca="false">INDEX('All Items'!$Q:$Q,MATCH($A557,'All Items'!$A:$A,0))</f>
        <v>7.4</v>
      </c>
      <c r="M557" s="8" t="s">
        <v>5436</v>
      </c>
      <c r="N557" s="8" t="s">
        <v>4165</v>
      </c>
      <c r="O557" s="8" t="s">
        <v>5437</v>
      </c>
      <c r="P557" s="8" t="s">
        <v>5438</v>
      </c>
      <c r="Q557" s="8" t="s">
        <v>5439</v>
      </c>
      <c r="R557" s="8" t="s">
        <v>5440</v>
      </c>
      <c r="S557" s="19" t="s">
        <v>5441</v>
      </c>
      <c r="T557" s="8" t="s">
        <v>5442</v>
      </c>
      <c r="U557" s="8" t="s">
        <v>5439</v>
      </c>
      <c r="V557" s="8" t="n">
        <f aca="false">COUNTA(M557:R557)</f>
        <v>6</v>
      </c>
      <c r="W557" s="8" t="s">
        <v>218</v>
      </c>
      <c r="X557" s="8" t="s">
        <v>259</v>
      </c>
      <c r="Y557" s="8" t="s">
        <v>218</v>
      </c>
      <c r="Z557" s="8"/>
      <c r="AA557" s="8" t="s">
        <v>5443</v>
      </c>
      <c r="AB557" s="20"/>
      <c r="AC557" s="20"/>
      <c r="AD557" s="20"/>
      <c r="AE557" s="8" t="s">
        <v>237</v>
      </c>
      <c r="AF557" s="8" t="s">
        <v>224</v>
      </c>
    </row>
    <row r="558" customFormat="false" ht="15" hidden="false" customHeight="false" outlineLevel="0" collapsed="false">
      <c r="A558" s="8" t="s">
        <v>5444</v>
      </c>
      <c r="B558" s="8" t="s">
        <v>5445</v>
      </c>
      <c r="C558" s="8"/>
      <c r="D558" s="8" t="s">
        <v>5446</v>
      </c>
      <c r="E558" s="8"/>
      <c r="F558" s="8" t="s">
        <v>72</v>
      </c>
      <c r="G558" s="8" t="s">
        <v>5447</v>
      </c>
      <c r="H558" s="8" t="s">
        <v>78</v>
      </c>
      <c r="I558" s="8" t="s">
        <v>208</v>
      </c>
      <c r="J558" s="8" t="n">
        <v>1</v>
      </c>
      <c r="K558" s="8" t="n">
        <v>3</v>
      </c>
      <c r="L558" s="18" t="n">
        <f aca="false">INDEX('All Items'!$Q:$Q,MATCH($A558,'All Items'!$A:$A,0))</f>
        <v>7.15</v>
      </c>
      <c r="M558" s="8" t="s">
        <v>552</v>
      </c>
      <c r="N558" s="8" t="s">
        <v>5448</v>
      </c>
      <c r="O558" s="8" t="s">
        <v>2891</v>
      </c>
      <c r="P558" s="8" t="s">
        <v>2863</v>
      </c>
      <c r="Q558" s="8" t="s">
        <v>5449</v>
      </c>
      <c r="R558" s="8" t="s">
        <v>5450</v>
      </c>
      <c r="S558" s="19" t="s">
        <v>5451</v>
      </c>
      <c r="T558" s="8" t="s">
        <v>5452</v>
      </c>
      <c r="U558" s="8"/>
      <c r="V558" s="8" t="n">
        <f aca="false">COUNTA(M558:R558)</f>
        <v>6</v>
      </c>
      <c r="W558" s="8" t="s">
        <v>218</v>
      </c>
      <c r="X558" s="8" t="s">
        <v>259</v>
      </c>
      <c r="Y558" s="8" t="s">
        <v>259</v>
      </c>
      <c r="Z558" s="8" t="s">
        <v>5453</v>
      </c>
      <c r="AA558" s="8" t="s">
        <v>5454</v>
      </c>
      <c r="AB558" s="20" t="s">
        <v>5455</v>
      </c>
      <c r="AC558" s="20" t="s">
        <v>221</v>
      </c>
      <c r="AD558" s="20" t="s">
        <v>5456</v>
      </c>
      <c r="AE558" s="8" t="s">
        <v>223</v>
      </c>
      <c r="AF558" s="8" t="s">
        <v>224</v>
      </c>
    </row>
    <row r="559" customFormat="false" ht="15" hidden="false" customHeight="false" outlineLevel="0" collapsed="false">
      <c r="A559" s="8" t="s">
        <v>5457</v>
      </c>
      <c r="B559" s="8" t="s">
        <v>5458</v>
      </c>
      <c r="C559" s="8"/>
      <c r="D559" s="8" t="s">
        <v>5446</v>
      </c>
      <c r="E559" s="8"/>
      <c r="F559" s="8" t="s">
        <v>72</v>
      </c>
      <c r="G559" s="8" t="s">
        <v>5447</v>
      </c>
      <c r="H559" s="8" t="s">
        <v>78</v>
      </c>
      <c r="I559" s="8" t="s">
        <v>208</v>
      </c>
      <c r="J559" s="8" t="n">
        <v>2</v>
      </c>
      <c r="K559" s="8" t="n">
        <v>3</v>
      </c>
      <c r="L559" s="18" t="n">
        <f aca="false">INDEX('All Items'!$Q:$Q,MATCH($A559,'All Items'!$A:$A,0))</f>
        <v>7.4</v>
      </c>
      <c r="M559" s="8" t="s">
        <v>274</v>
      </c>
      <c r="N559" s="8" t="s">
        <v>275</v>
      </c>
      <c r="O559" s="8" t="s">
        <v>4214</v>
      </c>
      <c r="P559" s="8" t="s">
        <v>4836</v>
      </c>
      <c r="Q559" s="8" t="s">
        <v>5459</v>
      </c>
      <c r="R559" s="8" t="s">
        <v>5460</v>
      </c>
      <c r="S559" s="19" t="s">
        <v>5461</v>
      </c>
      <c r="T559" s="8" t="s">
        <v>5462</v>
      </c>
      <c r="U559" s="8"/>
      <c r="V559" s="8" t="n">
        <f aca="false">COUNTA(M559:R559)</f>
        <v>6</v>
      </c>
      <c r="W559" s="8" t="s">
        <v>218</v>
      </c>
      <c r="X559" s="8" t="s">
        <v>259</v>
      </c>
      <c r="Y559" s="8" t="s">
        <v>218</v>
      </c>
      <c r="Z559" s="8"/>
      <c r="AA559" s="8" t="s">
        <v>5463</v>
      </c>
      <c r="AB559" s="20" t="s">
        <v>5464</v>
      </c>
      <c r="AC559" s="20" t="s">
        <v>516</v>
      </c>
      <c r="AD559" s="20" t="s">
        <v>5465</v>
      </c>
      <c r="AE559" s="8" t="s">
        <v>223</v>
      </c>
      <c r="AF559" s="8" t="s">
        <v>224</v>
      </c>
    </row>
    <row r="560" customFormat="false" ht="15" hidden="false" customHeight="false" outlineLevel="0" collapsed="false">
      <c r="A560" s="8" t="s">
        <v>5466</v>
      </c>
      <c r="B560" s="8" t="s">
        <v>5467</v>
      </c>
      <c r="C560" s="8"/>
      <c r="D560" s="8" t="s">
        <v>5446</v>
      </c>
      <c r="E560" s="8"/>
      <c r="F560" s="8" t="s">
        <v>72</v>
      </c>
      <c r="G560" s="8" t="s">
        <v>5447</v>
      </c>
      <c r="H560" s="8" t="s">
        <v>78</v>
      </c>
      <c r="I560" s="8" t="s">
        <v>208</v>
      </c>
      <c r="J560" s="8" t="n">
        <v>2</v>
      </c>
      <c r="K560" s="8" t="n">
        <v>3</v>
      </c>
      <c r="L560" s="18" t="n">
        <f aca="false">INDEX('All Items'!$Q:$Q,MATCH($A560,'All Items'!$A:$A,0))</f>
        <v>6.9</v>
      </c>
      <c r="M560" s="8" t="s">
        <v>2317</v>
      </c>
      <c r="N560" s="8" t="s">
        <v>4214</v>
      </c>
      <c r="O560" s="8" t="s">
        <v>5468</v>
      </c>
      <c r="P560" s="8" t="s">
        <v>5450</v>
      </c>
      <c r="Q560" s="8" t="s">
        <v>5469</v>
      </c>
      <c r="R560" s="8" t="s">
        <v>5470</v>
      </c>
      <c r="S560" s="19" t="s">
        <v>5471</v>
      </c>
      <c r="T560" s="8" t="s">
        <v>5472</v>
      </c>
      <c r="U560" s="8"/>
      <c r="V560" s="8" t="n">
        <f aca="false">COUNTA(M560:R560)</f>
        <v>6</v>
      </c>
      <c r="W560" s="8" t="s">
        <v>218</v>
      </c>
      <c r="X560" s="8" t="s">
        <v>259</v>
      </c>
      <c r="Y560" s="8" t="s">
        <v>218</v>
      </c>
      <c r="Z560" s="8"/>
      <c r="AA560" s="8" t="s">
        <v>5473</v>
      </c>
      <c r="AB560" s="20" t="s">
        <v>5474</v>
      </c>
      <c r="AC560" s="20" t="s">
        <v>1174</v>
      </c>
      <c r="AD560" s="20" t="s">
        <v>5475</v>
      </c>
      <c r="AE560" s="8" t="s">
        <v>223</v>
      </c>
      <c r="AF560" s="8" t="s">
        <v>224</v>
      </c>
    </row>
    <row r="561" customFormat="false" ht="15" hidden="false" customHeight="false" outlineLevel="0" collapsed="false">
      <c r="A561" s="8" t="s">
        <v>5476</v>
      </c>
      <c r="B561" s="8" t="s">
        <v>5477</v>
      </c>
      <c r="C561" s="8"/>
      <c r="D561" s="8" t="s">
        <v>5478</v>
      </c>
      <c r="E561" s="8"/>
      <c r="F561" s="8" t="s">
        <v>72</v>
      </c>
      <c r="G561" s="8" t="s">
        <v>5447</v>
      </c>
      <c r="H561" s="8" t="s">
        <v>78</v>
      </c>
      <c r="I561" s="8" t="s">
        <v>208</v>
      </c>
      <c r="J561" s="8" t="n">
        <v>1</v>
      </c>
      <c r="K561" s="8" t="n">
        <v>3</v>
      </c>
      <c r="L561" s="18" t="n">
        <f aca="false">INDEX('All Items'!$Q:$Q,MATCH($A561,'All Items'!$A:$A,0))</f>
        <v>7.4</v>
      </c>
      <c r="M561" s="8" t="s">
        <v>5479</v>
      </c>
      <c r="N561" s="8" t="s">
        <v>1008</v>
      </c>
      <c r="O561" s="8" t="s">
        <v>3277</v>
      </c>
      <c r="P561" s="8" t="s">
        <v>5480</v>
      </c>
      <c r="Q561" s="8" t="s">
        <v>5481</v>
      </c>
      <c r="R561" s="8" t="s">
        <v>5482</v>
      </c>
      <c r="S561" s="19" t="s">
        <v>5483</v>
      </c>
      <c r="T561" s="8" t="s">
        <v>5484</v>
      </c>
      <c r="U561" s="8"/>
      <c r="V561" s="8" t="n">
        <f aca="false">COUNTA(M561:R561)</f>
        <v>6</v>
      </c>
      <c r="W561" s="8" t="s">
        <v>218</v>
      </c>
      <c r="X561" s="8" t="s">
        <v>259</v>
      </c>
      <c r="Y561" s="8" t="s">
        <v>218</v>
      </c>
      <c r="Z561" s="8"/>
      <c r="AA561" s="8" t="s">
        <v>5485</v>
      </c>
      <c r="AB561" s="20"/>
      <c r="AC561" s="20"/>
      <c r="AD561" s="20"/>
      <c r="AE561" s="8" t="s">
        <v>237</v>
      </c>
      <c r="AF561" s="8" t="s">
        <v>224</v>
      </c>
    </row>
    <row r="562" customFormat="false" ht="15" hidden="false" customHeight="false" outlineLevel="0" collapsed="false">
      <c r="A562" s="8" t="s">
        <v>5486</v>
      </c>
      <c r="B562" s="8" t="s">
        <v>5487</v>
      </c>
      <c r="C562" s="8"/>
      <c r="D562" s="8" t="s">
        <v>5478</v>
      </c>
      <c r="E562" s="8"/>
      <c r="F562" s="8" t="s">
        <v>72</v>
      </c>
      <c r="G562" s="8" t="s">
        <v>5447</v>
      </c>
      <c r="H562" s="8" t="s">
        <v>79</v>
      </c>
      <c r="I562" s="8" t="s">
        <v>227</v>
      </c>
      <c r="J562" s="8" t="n">
        <v>1</v>
      </c>
      <c r="K562" s="8" t="n">
        <v>3</v>
      </c>
      <c r="L562" s="18" t="n">
        <f aca="false">INDEX('All Items'!$Q:$Q,MATCH($A562,'All Items'!$A:$A,0))</f>
        <v>7.4</v>
      </c>
      <c r="M562" s="8" t="s">
        <v>1313</v>
      </c>
      <c r="N562" s="8" t="s">
        <v>3850</v>
      </c>
      <c r="O562" s="8" t="s">
        <v>5488</v>
      </c>
      <c r="P562" s="8" t="s">
        <v>5489</v>
      </c>
      <c r="Q562" s="8" t="s">
        <v>5490</v>
      </c>
      <c r="R562" s="8" t="s">
        <v>5482</v>
      </c>
      <c r="S562" s="19" t="s">
        <v>5491</v>
      </c>
      <c r="T562" s="8" t="s">
        <v>5492</v>
      </c>
      <c r="U562" s="8"/>
      <c r="V562" s="8" t="n">
        <f aca="false">COUNTA(M562:R562)</f>
        <v>6</v>
      </c>
      <c r="W562" s="8" t="s">
        <v>218</v>
      </c>
      <c r="X562" s="8" t="s">
        <v>259</v>
      </c>
      <c r="Y562" s="8" t="s">
        <v>218</v>
      </c>
      <c r="Z562" s="8"/>
      <c r="AA562" s="8" t="s">
        <v>5493</v>
      </c>
      <c r="AB562" s="20" t="s">
        <v>5494</v>
      </c>
      <c r="AC562" s="20" t="s">
        <v>221</v>
      </c>
      <c r="AD562" s="20" t="s">
        <v>5495</v>
      </c>
      <c r="AE562" s="8" t="s">
        <v>223</v>
      </c>
      <c r="AF562" s="8" t="s">
        <v>224</v>
      </c>
    </row>
    <row r="563" customFormat="false" ht="15" hidden="false" customHeight="false" outlineLevel="0" collapsed="false">
      <c r="A563" s="8" t="s">
        <v>5496</v>
      </c>
      <c r="B563" s="8" t="s">
        <v>5497</v>
      </c>
      <c r="C563" s="8"/>
      <c r="D563" s="8" t="s">
        <v>5478</v>
      </c>
      <c r="E563" s="8"/>
      <c r="F563" s="8" t="s">
        <v>72</v>
      </c>
      <c r="G563" s="8" t="s">
        <v>5447</v>
      </c>
      <c r="H563" s="8" t="s">
        <v>78</v>
      </c>
      <c r="I563" s="8" t="s">
        <v>208</v>
      </c>
      <c r="J563" s="8" t="n">
        <v>2</v>
      </c>
      <c r="K563" s="8" t="n">
        <v>3</v>
      </c>
      <c r="L563" s="18" t="n">
        <f aca="false">INDEX('All Items'!$Q:$Q,MATCH($A563,'All Items'!$A:$A,0))</f>
        <v>7.4</v>
      </c>
      <c r="M563" s="8" t="s">
        <v>356</v>
      </c>
      <c r="N563" s="8" t="s">
        <v>995</v>
      </c>
      <c r="O563" s="8" t="s">
        <v>5498</v>
      </c>
      <c r="P563" s="8" t="s">
        <v>311</v>
      </c>
      <c r="Q563" s="8" t="s">
        <v>4145</v>
      </c>
      <c r="R563" s="8" t="s">
        <v>5499</v>
      </c>
      <c r="S563" s="19" t="s">
        <v>5500</v>
      </c>
      <c r="T563" s="8" t="s">
        <v>5501</v>
      </c>
      <c r="U563" s="8"/>
      <c r="V563" s="8" t="n">
        <f aca="false">COUNTA(M563:R563)</f>
        <v>6</v>
      </c>
      <c r="W563" s="8" t="s">
        <v>218</v>
      </c>
      <c r="X563" s="8" t="s">
        <v>259</v>
      </c>
      <c r="Y563" s="8" t="s">
        <v>218</v>
      </c>
      <c r="Z563" s="8"/>
      <c r="AA563" s="8" t="s">
        <v>5502</v>
      </c>
      <c r="AB563" s="20" t="s">
        <v>5503</v>
      </c>
      <c r="AC563" s="20" t="s">
        <v>221</v>
      </c>
      <c r="AD563" s="20" t="s">
        <v>5504</v>
      </c>
      <c r="AE563" s="8" t="s">
        <v>223</v>
      </c>
      <c r="AF563" s="8" t="s">
        <v>224</v>
      </c>
    </row>
    <row r="564" customFormat="false" ht="15" hidden="false" customHeight="false" outlineLevel="0" collapsed="false">
      <c r="A564" s="8" t="s">
        <v>5505</v>
      </c>
      <c r="B564" s="8" t="s">
        <v>5506</v>
      </c>
      <c r="C564" s="8"/>
      <c r="D564" s="8" t="s">
        <v>5478</v>
      </c>
      <c r="E564" s="8"/>
      <c r="F564" s="8" t="s">
        <v>72</v>
      </c>
      <c r="G564" s="8" t="s">
        <v>5447</v>
      </c>
      <c r="H564" s="8" t="s">
        <v>78</v>
      </c>
      <c r="I564" s="8" t="s">
        <v>208</v>
      </c>
      <c r="J564" s="8" t="n">
        <v>2</v>
      </c>
      <c r="K564" s="8" t="n">
        <v>3</v>
      </c>
      <c r="L564" s="18" t="n">
        <f aca="false">INDEX('All Items'!$Q:$Q,MATCH($A564,'All Items'!$A:$A,0))</f>
        <v>7.4</v>
      </c>
      <c r="M564" s="8" t="s">
        <v>5479</v>
      </c>
      <c r="N564" s="8" t="s">
        <v>285</v>
      </c>
      <c r="O564" s="8" t="s">
        <v>5507</v>
      </c>
      <c r="P564" s="8" t="s">
        <v>5508</v>
      </c>
      <c r="Q564" s="8" t="s">
        <v>5509</v>
      </c>
      <c r="R564" s="8" t="s">
        <v>5510</v>
      </c>
      <c r="S564" s="19" t="s">
        <v>5511</v>
      </c>
      <c r="T564" s="8" t="s">
        <v>5512</v>
      </c>
      <c r="U564" s="8"/>
      <c r="V564" s="8" t="n">
        <f aca="false">COUNTA(M564:R564)</f>
        <v>6</v>
      </c>
      <c r="W564" s="8" t="s">
        <v>218</v>
      </c>
      <c r="X564" s="8" t="s">
        <v>259</v>
      </c>
      <c r="Y564" s="8" t="s">
        <v>218</v>
      </c>
      <c r="Z564" s="8"/>
      <c r="AA564" s="8" t="s">
        <v>5513</v>
      </c>
      <c r="AB564" s="20"/>
      <c r="AC564" s="20"/>
      <c r="AD564" s="20"/>
      <c r="AE564" s="8" t="s">
        <v>237</v>
      </c>
      <c r="AF564" s="8" t="s">
        <v>224</v>
      </c>
    </row>
    <row r="565" customFormat="false" ht="15" hidden="false" customHeight="false" outlineLevel="0" collapsed="false">
      <c r="A565" s="8" t="s">
        <v>5514</v>
      </c>
      <c r="B565" s="8" t="s">
        <v>5515</v>
      </c>
      <c r="C565" s="8"/>
      <c r="D565" s="8" t="s">
        <v>5478</v>
      </c>
      <c r="E565" s="8"/>
      <c r="F565" s="8" t="s">
        <v>72</v>
      </c>
      <c r="G565" s="8" t="s">
        <v>5447</v>
      </c>
      <c r="H565" s="8" t="s">
        <v>84</v>
      </c>
      <c r="I565" s="8" t="s">
        <v>227</v>
      </c>
      <c r="J565" s="8" t="n">
        <v>1</v>
      </c>
      <c r="K565" s="8" t="n">
        <v>3</v>
      </c>
      <c r="L565" s="18" t="n">
        <f aca="false">INDEX('All Items'!$Q:$Q,MATCH($A565,'All Items'!$A:$A,0))</f>
        <v>7.15</v>
      </c>
      <c r="M565" s="8" t="s">
        <v>214</v>
      </c>
      <c r="N565" s="8" t="s">
        <v>5516</v>
      </c>
      <c r="O565" s="8" t="s">
        <v>3937</v>
      </c>
      <c r="P565" s="8" t="s">
        <v>2494</v>
      </c>
      <c r="Q565" s="8" t="s">
        <v>5517</v>
      </c>
      <c r="R565" s="8" t="s">
        <v>5518</v>
      </c>
      <c r="S565" s="19" t="s">
        <v>5519</v>
      </c>
      <c r="T565" s="8" t="s">
        <v>5520</v>
      </c>
      <c r="U565" s="8"/>
      <c r="V565" s="8" t="n">
        <f aca="false">COUNTA(M565:R565)</f>
        <v>6</v>
      </c>
      <c r="W565" s="8" t="s">
        <v>218</v>
      </c>
      <c r="X565" s="8" t="s">
        <v>259</v>
      </c>
      <c r="Y565" s="8" t="s">
        <v>218</v>
      </c>
      <c r="Z565" s="8"/>
      <c r="AA565" s="8" t="s">
        <v>5521</v>
      </c>
      <c r="AB565" s="20"/>
      <c r="AC565" s="20"/>
      <c r="AD565" s="20"/>
      <c r="AE565" s="8" t="s">
        <v>237</v>
      </c>
      <c r="AF565" s="8" t="s">
        <v>224</v>
      </c>
    </row>
    <row r="566" customFormat="false" ht="15" hidden="false" customHeight="false" outlineLevel="0" collapsed="false">
      <c r="A566" s="8" t="s">
        <v>5522</v>
      </c>
      <c r="B566" s="8" t="s">
        <v>5523</v>
      </c>
      <c r="C566" s="8"/>
      <c r="D566" s="8" t="s">
        <v>5478</v>
      </c>
      <c r="E566" s="8"/>
      <c r="F566" s="8" t="s">
        <v>72</v>
      </c>
      <c r="G566" s="8" t="s">
        <v>5447</v>
      </c>
      <c r="H566" s="8" t="s">
        <v>79</v>
      </c>
      <c r="I566" s="8" t="s">
        <v>208</v>
      </c>
      <c r="J566" s="8" t="n">
        <v>2</v>
      </c>
      <c r="K566" s="8" t="n">
        <v>3</v>
      </c>
      <c r="L566" s="18" t="n">
        <f aca="false">INDEX('All Items'!$Q:$Q,MATCH($A566,'All Items'!$A:$A,0))</f>
        <v>7.4</v>
      </c>
      <c r="M566" s="8" t="s">
        <v>5524</v>
      </c>
      <c r="N566" s="8" t="s">
        <v>412</v>
      </c>
      <c r="O566" s="8" t="s">
        <v>2057</v>
      </c>
      <c r="P566" s="8" t="s">
        <v>5525</v>
      </c>
      <c r="Q566" s="8" t="s">
        <v>5526</v>
      </c>
      <c r="R566" s="8" t="s">
        <v>5482</v>
      </c>
      <c r="S566" s="19" t="s">
        <v>5527</v>
      </c>
      <c r="T566" s="8" t="s">
        <v>5528</v>
      </c>
      <c r="U566" s="8"/>
      <c r="V566" s="8" t="n">
        <f aca="false">COUNTA(M566:R566)</f>
        <v>6</v>
      </c>
      <c r="W566" s="8" t="s">
        <v>218</v>
      </c>
      <c r="X566" s="8" t="s">
        <v>259</v>
      </c>
      <c r="Y566" s="8" t="s">
        <v>218</v>
      </c>
      <c r="Z566" s="8"/>
      <c r="AA566" s="8" t="s">
        <v>5529</v>
      </c>
      <c r="AB566" s="20" t="s">
        <v>5530</v>
      </c>
      <c r="AC566" s="20" t="s">
        <v>384</v>
      </c>
      <c r="AD566" s="20" t="s">
        <v>5531</v>
      </c>
      <c r="AE566" s="8" t="s">
        <v>223</v>
      </c>
      <c r="AF566" s="8" t="s">
        <v>224</v>
      </c>
    </row>
    <row r="567" customFormat="false" ht="15" hidden="false" customHeight="false" outlineLevel="0" collapsed="false">
      <c r="A567" s="8" t="s">
        <v>5532</v>
      </c>
      <c r="B567" s="8" t="s">
        <v>5533</v>
      </c>
      <c r="C567" s="8"/>
      <c r="D567" s="8" t="s">
        <v>5478</v>
      </c>
      <c r="E567" s="8"/>
      <c r="F567" s="8" t="s">
        <v>72</v>
      </c>
      <c r="G567" s="8" t="s">
        <v>5447</v>
      </c>
      <c r="H567" s="8" t="s">
        <v>82</v>
      </c>
      <c r="I567" s="8" t="s">
        <v>273</v>
      </c>
      <c r="J567" s="8" t="n">
        <v>2</v>
      </c>
      <c r="K567" s="8" t="n">
        <v>4</v>
      </c>
      <c r="L567" s="18" t="n">
        <f aca="false">INDEX('All Items'!$Q:$Q,MATCH($A567,'All Items'!$A:$A,0))</f>
        <v>8.7</v>
      </c>
      <c r="M567" s="8" t="s">
        <v>3090</v>
      </c>
      <c r="N567" s="8" t="s">
        <v>1254</v>
      </c>
      <c r="O567" s="8" t="s">
        <v>5534</v>
      </c>
      <c r="P567" s="8" t="s">
        <v>5535</v>
      </c>
      <c r="Q567" s="8" t="s">
        <v>5482</v>
      </c>
      <c r="R567" s="8" t="s">
        <v>5536</v>
      </c>
      <c r="S567" s="19" t="s">
        <v>5537</v>
      </c>
      <c r="T567" s="8" t="s">
        <v>5538</v>
      </c>
      <c r="U567" s="8" t="s">
        <v>5536</v>
      </c>
      <c r="V567" s="8" t="n">
        <f aca="false">COUNTA(M567:R567)</f>
        <v>6</v>
      </c>
      <c r="W567" s="8" t="s">
        <v>218</v>
      </c>
      <c r="X567" s="8" t="s">
        <v>259</v>
      </c>
      <c r="Y567" s="8" t="s">
        <v>218</v>
      </c>
      <c r="Z567" s="8"/>
      <c r="AA567" s="8" t="s">
        <v>5539</v>
      </c>
      <c r="AB567" s="20" t="s">
        <v>5540</v>
      </c>
      <c r="AC567" s="20" t="s">
        <v>221</v>
      </c>
      <c r="AD567" s="20" t="s">
        <v>5541</v>
      </c>
      <c r="AE567" s="8" t="s">
        <v>223</v>
      </c>
      <c r="AF567" s="8" t="s">
        <v>224</v>
      </c>
    </row>
    <row r="568" customFormat="false" ht="15" hidden="false" customHeight="false" outlineLevel="0" collapsed="false">
      <c r="A568" s="8" t="s">
        <v>5542</v>
      </c>
      <c r="B568" s="8" t="s">
        <v>5543</v>
      </c>
      <c r="C568" s="8"/>
      <c r="D568" s="8" t="s">
        <v>5544</v>
      </c>
      <c r="E568" s="8"/>
      <c r="F568" s="8" t="s">
        <v>72</v>
      </c>
      <c r="G568" s="8" t="s">
        <v>5447</v>
      </c>
      <c r="H568" s="8" t="s">
        <v>78</v>
      </c>
      <c r="I568" s="8" t="s">
        <v>208</v>
      </c>
      <c r="J568" s="8" t="n">
        <v>1</v>
      </c>
      <c r="K568" s="8" t="n">
        <v>3</v>
      </c>
      <c r="L568" s="18" t="n">
        <f aca="false">INDEX('All Items'!$Q:$Q,MATCH($A568,'All Items'!$A:$A,0))</f>
        <v>7.15</v>
      </c>
      <c r="M568" s="8" t="s">
        <v>5545</v>
      </c>
      <c r="N568" s="8" t="s">
        <v>5546</v>
      </c>
      <c r="O568" s="8" t="s">
        <v>5547</v>
      </c>
      <c r="P568" s="8" t="s">
        <v>5548</v>
      </c>
      <c r="Q568" s="8" t="s">
        <v>5549</v>
      </c>
      <c r="R568" s="8" t="s">
        <v>5550</v>
      </c>
      <c r="S568" s="19" t="s">
        <v>5551</v>
      </c>
      <c r="T568" s="8" t="s">
        <v>5552</v>
      </c>
      <c r="U568" s="8"/>
      <c r="V568" s="8" t="n">
        <f aca="false">COUNTA(M568:R568)</f>
        <v>6</v>
      </c>
      <c r="W568" s="8" t="s">
        <v>218</v>
      </c>
      <c r="X568" s="8" t="s">
        <v>259</v>
      </c>
      <c r="Y568" s="8" t="s">
        <v>259</v>
      </c>
      <c r="Z568" s="8" t="s">
        <v>5553</v>
      </c>
      <c r="AA568" s="8" t="s">
        <v>5554</v>
      </c>
      <c r="AB568" s="20"/>
      <c r="AC568" s="20"/>
      <c r="AD568" s="20"/>
      <c r="AE568" s="8" t="s">
        <v>237</v>
      </c>
      <c r="AF568" s="8" t="s">
        <v>224</v>
      </c>
    </row>
    <row r="569" customFormat="false" ht="15" hidden="false" customHeight="false" outlineLevel="0" collapsed="false">
      <c r="A569" s="8" t="s">
        <v>5555</v>
      </c>
      <c r="B569" s="8" t="s">
        <v>5556</v>
      </c>
      <c r="C569" s="8"/>
      <c r="D569" s="8" t="s">
        <v>5544</v>
      </c>
      <c r="E569" s="8"/>
      <c r="F569" s="8" t="s">
        <v>72</v>
      </c>
      <c r="G569" s="8" t="s">
        <v>5447</v>
      </c>
      <c r="H569" s="8" t="s">
        <v>79</v>
      </c>
      <c r="I569" s="8" t="s">
        <v>208</v>
      </c>
      <c r="J569" s="8" t="n">
        <v>1</v>
      </c>
      <c r="K569" s="8" t="n">
        <v>4</v>
      </c>
      <c r="L569" s="18" t="n">
        <f aca="false">INDEX('All Items'!$Q:$Q,MATCH($A569,'All Items'!$A:$A,0))</f>
        <v>8.45</v>
      </c>
      <c r="M569" s="8" t="s">
        <v>4414</v>
      </c>
      <c r="N569" s="8" t="s">
        <v>2009</v>
      </c>
      <c r="O569" s="8" t="s">
        <v>2743</v>
      </c>
      <c r="P569" s="8" t="s">
        <v>3793</v>
      </c>
      <c r="Q569" s="8" t="s">
        <v>5557</v>
      </c>
      <c r="R569" s="8" t="s">
        <v>5550</v>
      </c>
      <c r="S569" s="19" t="s">
        <v>5558</v>
      </c>
      <c r="T569" s="8" t="s">
        <v>5559</v>
      </c>
      <c r="U569" s="8"/>
      <c r="V569" s="8" t="n">
        <f aca="false">COUNTA(M569:R569)</f>
        <v>6</v>
      </c>
      <c r="W569" s="8" t="s">
        <v>218</v>
      </c>
      <c r="X569" s="8" t="s">
        <v>259</v>
      </c>
      <c r="Y569" s="8" t="s">
        <v>259</v>
      </c>
      <c r="Z569" s="8" t="s">
        <v>5560</v>
      </c>
      <c r="AA569" s="8" t="s">
        <v>5561</v>
      </c>
      <c r="AB569" s="20" t="s">
        <v>5562</v>
      </c>
      <c r="AC569" s="20" t="s">
        <v>595</v>
      </c>
      <c r="AD569" s="20" t="s">
        <v>3660</v>
      </c>
      <c r="AE569" s="8" t="s">
        <v>223</v>
      </c>
      <c r="AF569" s="8" t="s">
        <v>224</v>
      </c>
    </row>
    <row r="570" customFormat="false" ht="15" hidden="false" customHeight="false" outlineLevel="0" collapsed="false">
      <c r="A570" s="8" t="s">
        <v>5563</v>
      </c>
      <c r="B570" s="8" t="s">
        <v>5564</v>
      </c>
      <c r="C570" s="8"/>
      <c r="D570" s="8" t="s">
        <v>5544</v>
      </c>
      <c r="E570" s="8"/>
      <c r="F570" s="8" t="s">
        <v>72</v>
      </c>
      <c r="G570" s="8" t="s">
        <v>5447</v>
      </c>
      <c r="H570" s="8" t="s">
        <v>88</v>
      </c>
      <c r="I570" s="8" t="s">
        <v>273</v>
      </c>
      <c r="J570" s="8" t="n">
        <v>2</v>
      </c>
      <c r="K570" s="8" t="n">
        <v>3</v>
      </c>
      <c r="L570" s="18" t="n">
        <f aca="false">INDEX('All Items'!$Q:$Q,MATCH($A570,'All Items'!$A:$A,0))</f>
        <v>7.15</v>
      </c>
      <c r="M570" s="8" t="s">
        <v>1004</v>
      </c>
      <c r="N570" s="8" t="s">
        <v>3907</v>
      </c>
      <c r="O570" s="8" t="s">
        <v>4933</v>
      </c>
      <c r="P570" s="8" t="s">
        <v>3906</v>
      </c>
      <c r="Q570" s="8" t="s">
        <v>3880</v>
      </c>
      <c r="R570" s="8" t="s">
        <v>5550</v>
      </c>
      <c r="S570" s="19" t="s">
        <v>5565</v>
      </c>
      <c r="T570" s="8" t="s">
        <v>5566</v>
      </c>
      <c r="U570" s="8"/>
      <c r="V570" s="8" t="n">
        <f aca="false">COUNTA(M570:R570)</f>
        <v>6</v>
      </c>
      <c r="W570" s="8" t="s">
        <v>218</v>
      </c>
      <c r="X570" s="8" t="s">
        <v>259</v>
      </c>
      <c r="Y570" s="8" t="s">
        <v>259</v>
      </c>
      <c r="Z570" s="8" t="s">
        <v>5567</v>
      </c>
      <c r="AA570" s="8" t="s">
        <v>5568</v>
      </c>
      <c r="AB570" s="20"/>
      <c r="AC570" s="20"/>
      <c r="AD570" s="20"/>
      <c r="AE570" s="8" t="s">
        <v>237</v>
      </c>
      <c r="AF570" s="8" t="s">
        <v>224</v>
      </c>
    </row>
    <row r="571" customFormat="false" ht="15" hidden="false" customHeight="false" outlineLevel="0" collapsed="false">
      <c r="A571" s="8" t="s">
        <v>5569</v>
      </c>
      <c r="B571" s="8" t="s">
        <v>5570</v>
      </c>
      <c r="C571" s="8"/>
      <c r="D571" s="8" t="s">
        <v>5544</v>
      </c>
      <c r="E571" s="8"/>
      <c r="F571" s="8" t="s">
        <v>72</v>
      </c>
      <c r="G571" s="8" t="s">
        <v>5447</v>
      </c>
      <c r="H571" s="8" t="s">
        <v>78</v>
      </c>
      <c r="I571" s="8" t="s">
        <v>208</v>
      </c>
      <c r="J571" s="8" t="n">
        <v>2</v>
      </c>
      <c r="K571" s="8" t="n">
        <v>3</v>
      </c>
      <c r="L571" s="18" t="n">
        <f aca="false">INDEX('All Items'!$Q:$Q,MATCH($A571,'All Items'!$A:$A,0))</f>
        <v>7.15</v>
      </c>
      <c r="M571" s="8" t="s">
        <v>442</v>
      </c>
      <c r="N571" s="8" t="s">
        <v>1313</v>
      </c>
      <c r="O571" s="8" t="s">
        <v>412</v>
      </c>
      <c r="P571" s="8" t="s">
        <v>5571</v>
      </c>
      <c r="Q571" s="8" t="s">
        <v>2903</v>
      </c>
      <c r="R571" s="8" t="s">
        <v>5550</v>
      </c>
      <c r="S571" s="19" t="s">
        <v>5572</v>
      </c>
      <c r="T571" s="8" t="s">
        <v>5573</v>
      </c>
      <c r="U571" s="8"/>
      <c r="V571" s="8" t="n">
        <f aca="false">COUNTA(M571:R571)</f>
        <v>6</v>
      </c>
      <c r="W571" s="8" t="s">
        <v>218</v>
      </c>
      <c r="X571" s="8" t="s">
        <v>259</v>
      </c>
      <c r="Y571" s="8" t="s">
        <v>218</v>
      </c>
      <c r="Z571" s="8"/>
      <c r="AA571" s="8" t="s">
        <v>5574</v>
      </c>
      <c r="AB571" s="20"/>
      <c r="AC571" s="20"/>
      <c r="AD571" s="20"/>
      <c r="AE571" s="8" t="s">
        <v>237</v>
      </c>
      <c r="AF571" s="8" t="s">
        <v>224</v>
      </c>
    </row>
    <row r="572" customFormat="false" ht="15" hidden="false" customHeight="false" outlineLevel="0" collapsed="false">
      <c r="A572" s="8" t="s">
        <v>5575</v>
      </c>
      <c r="B572" s="8" t="s">
        <v>5576</v>
      </c>
      <c r="C572" s="8"/>
      <c r="D572" s="8" t="s">
        <v>5544</v>
      </c>
      <c r="E572" s="8"/>
      <c r="F572" s="8" t="s">
        <v>72</v>
      </c>
      <c r="G572" s="8" t="s">
        <v>5447</v>
      </c>
      <c r="H572" s="8" t="s">
        <v>80</v>
      </c>
      <c r="I572" s="8" t="s">
        <v>227</v>
      </c>
      <c r="J572" s="8" t="n">
        <v>2</v>
      </c>
      <c r="K572" s="8" t="n">
        <v>3</v>
      </c>
      <c r="L572" s="18" t="n">
        <f aca="false">INDEX('All Items'!$Q:$Q,MATCH($A572,'All Items'!$A:$A,0))</f>
        <v>7.4</v>
      </c>
      <c r="M572" s="8" t="s">
        <v>5037</v>
      </c>
      <c r="N572" s="8" t="s">
        <v>678</v>
      </c>
      <c r="O572" s="8" t="s">
        <v>5577</v>
      </c>
      <c r="P572" s="8" t="s">
        <v>5578</v>
      </c>
      <c r="Q572" s="8" t="s">
        <v>5579</v>
      </c>
      <c r="R572" s="8" t="s">
        <v>5550</v>
      </c>
      <c r="S572" s="19" t="s">
        <v>5580</v>
      </c>
      <c r="T572" s="8" t="s">
        <v>5581</v>
      </c>
      <c r="U572" s="8"/>
      <c r="V572" s="8" t="n">
        <f aca="false">COUNTA(M572:R572)</f>
        <v>6</v>
      </c>
      <c r="W572" s="8" t="s">
        <v>218</v>
      </c>
      <c r="X572" s="8" t="s">
        <v>259</v>
      </c>
      <c r="Y572" s="8" t="s">
        <v>259</v>
      </c>
      <c r="Z572" s="8" t="s">
        <v>5582</v>
      </c>
      <c r="AA572" s="8" t="s">
        <v>5583</v>
      </c>
      <c r="AB572" s="20" t="s">
        <v>5584</v>
      </c>
      <c r="AC572" s="20" t="s">
        <v>1837</v>
      </c>
      <c r="AD572" s="20" t="s">
        <v>5585</v>
      </c>
      <c r="AE572" s="8" t="s">
        <v>223</v>
      </c>
      <c r="AF572" s="8" t="s">
        <v>224</v>
      </c>
    </row>
    <row r="573" customFormat="false" ht="15" hidden="false" customHeight="false" outlineLevel="0" collapsed="false">
      <c r="A573" s="8" t="s">
        <v>5586</v>
      </c>
      <c r="B573" s="8" t="s">
        <v>5587</v>
      </c>
      <c r="C573" s="8"/>
      <c r="D573" s="8" t="s">
        <v>5588</v>
      </c>
      <c r="E573" s="8"/>
      <c r="F573" s="8" t="s">
        <v>72</v>
      </c>
      <c r="G573" s="8" t="s">
        <v>5447</v>
      </c>
      <c r="H573" s="8" t="s">
        <v>87</v>
      </c>
      <c r="I573" s="8" t="s">
        <v>227</v>
      </c>
      <c r="J573" s="8" t="n">
        <v>1</v>
      </c>
      <c r="K573" s="8" t="n">
        <v>3</v>
      </c>
      <c r="L573" s="18" t="n">
        <f aca="false">INDEX('All Items'!$Q:$Q,MATCH($A573,'All Items'!$A:$A,0))</f>
        <v>6.9</v>
      </c>
      <c r="M573" s="8" t="s">
        <v>214</v>
      </c>
      <c r="N573" s="8" t="s">
        <v>3275</v>
      </c>
      <c r="O573" s="8" t="s">
        <v>5589</v>
      </c>
      <c r="P573" s="8" t="s">
        <v>5590</v>
      </c>
      <c r="Q573" s="8" t="s">
        <v>5591</v>
      </c>
      <c r="R573" s="8"/>
      <c r="S573" s="19" t="s">
        <v>5592</v>
      </c>
      <c r="T573" s="8" t="s">
        <v>5593</v>
      </c>
      <c r="U573" s="8"/>
      <c r="V573" s="8" t="n">
        <f aca="false">COUNTA(M573:R573)</f>
        <v>5</v>
      </c>
      <c r="W573" s="8" t="s">
        <v>218</v>
      </c>
      <c r="X573" s="8" t="s">
        <v>259</v>
      </c>
      <c r="Y573" s="8" t="s">
        <v>259</v>
      </c>
      <c r="Z573" s="8" t="s">
        <v>5594</v>
      </c>
      <c r="AA573" s="8" t="s">
        <v>5595</v>
      </c>
      <c r="AB573" s="20"/>
      <c r="AC573" s="20"/>
      <c r="AD573" s="20"/>
      <c r="AE573" s="8" t="s">
        <v>237</v>
      </c>
      <c r="AF573" s="8" t="s">
        <v>224</v>
      </c>
    </row>
    <row r="574" customFormat="false" ht="15" hidden="false" customHeight="false" outlineLevel="0" collapsed="false">
      <c r="A574" s="8" t="s">
        <v>5596</v>
      </c>
      <c r="B574" s="8" t="s">
        <v>5597</v>
      </c>
      <c r="C574" s="8"/>
      <c r="D574" s="8" t="s">
        <v>5598</v>
      </c>
      <c r="E574" s="8"/>
      <c r="F574" s="8" t="s">
        <v>72</v>
      </c>
      <c r="G574" s="8" t="s">
        <v>5447</v>
      </c>
      <c r="H574" s="8" t="s">
        <v>78</v>
      </c>
      <c r="I574" s="8" t="s">
        <v>208</v>
      </c>
      <c r="J574" s="8" t="n">
        <v>2</v>
      </c>
      <c r="K574" s="8" t="n">
        <v>3</v>
      </c>
      <c r="L574" s="18" t="n">
        <f aca="false">INDEX('All Items'!$Q:$Q,MATCH($A574,'All Items'!$A:$A,0))</f>
        <v>7.4</v>
      </c>
      <c r="M574" s="8" t="s">
        <v>3138</v>
      </c>
      <c r="N574" s="8" t="s">
        <v>5546</v>
      </c>
      <c r="O574" s="8" t="s">
        <v>5599</v>
      </c>
      <c r="P574" s="8" t="s">
        <v>3293</v>
      </c>
      <c r="Q574" s="8" t="s">
        <v>5600</v>
      </c>
      <c r="R574" s="8" t="s">
        <v>5601</v>
      </c>
      <c r="S574" s="19" t="s">
        <v>5602</v>
      </c>
      <c r="T574" s="8" t="s">
        <v>5603</v>
      </c>
      <c r="U574" s="8"/>
      <c r="V574" s="8" t="n">
        <f aca="false">COUNTA(M574:R574)</f>
        <v>6</v>
      </c>
      <c r="W574" s="8" t="s">
        <v>218</v>
      </c>
      <c r="X574" s="8" t="s">
        <v>259</v>
      </c>
      <c r="Y574" s="8" t="s">
        <v>218</v>
      </c>
      <c r="Z574" s="8"/>
      <c r="AA574" s="8" t="s">
        <v>5604</v>
      </c>
      <c r="AB574" s="20" t="s">
        <v>5605</v>
      </c>
      <c r="AC574" s="20" t="s">
        <v>527</v>
      </c>
      <c r="AD574" s="20" t="s">
        <v>5606</v>
      </c>
      <c r="AE574" s="8" t="s">
        <v>223</v>
      </c>
      <c r="AF574" s="8" t="s">
        <v>224</v>
      </c>
    </row>
    <row r="575" customFormat="false" ht="15" hidden="false" customHeight="false" outlineLevel="0" collapsed="false">
      <c r="A575" s="8" t="s">
        <v>5607</v>
      </c>
      <c r="B575" s="8" t="s">
        <v>5608</v>
      </c>
      <c r="C575" s="8"/>
      <c r="D575" s="8" t="s">
        <v>5609</v>
      </c>
      <c r="E575" s="8"/>
      <c r="F575" s="8" t="s">
        <v>70</v>
      </c>
      <c r="G575" s="8" t="s">
        <v>4902</v>
      </c>
      <c r="H575" s="8" t="s">
        <v>88</v>
      </c>
      <c r="I575" s="8" t="s">
        <v>273</v>
      </c>
      <c r="J575" s="8" t="n">
        <v>1</v>
      </c>
      <c r="K575" s="8" t="n">
        <v>5</v>
      </c>
      <c r="L575" s="18" t="n">
        <f aca="false">INDEX('All Items'!$Q:$Q,MATCH($A575,'All Items'!$A:$A,0))</f>
        <v>9.5</v>
      </c>
      <c r="M575" s="8" t="s">
        <v>442</v>
      </c>
      <c r="N575" s="8" t="s">
        <v>5610</v>
      </c>
      <c r="O575" s="8" t="s">
        <v>229</v>
      </c>
      <c r="P575" s="8" t="s">
        <v>5611</v>
      </c>
      <c r="Q575" s="8" t="s">
        <v>5612</v>
      </c>
      <c r="R575" s="8"/>
      <c r="S575" s="19" t="s">
        <v>5613</v>
      </c>
      <c r="T575" s="8" t="s">
        <v>5614</v>
      </c>
      <c r="U575" s="8"/>
      <c r="V575" s="8" t="n">
        <f aca="false">COUNTA(M575:R575)</f>
        <v>5</v>
      </c>
      <c r="W575" s="8" t="s">
        <v>218</v>
      </c>
      <c r="X575" s="8" t="s">
        <v>259</v>
      </c>
      <c r="Y575" s="8" t="s">
        <v>259</v>
      </c>
      <c r="Z575" s="8" t="s">
        <v>5615</v>
      </c>
      <c r="AA575" s="8" t="s">
        <v>5616</v>
      </c>
      <c r="AB575" s="20" t="s">
        <v>5617</v>
      </c>
      <c r="AC575" s="20" t="s">
        <v>595</v>
      </c>
      <c r="AD575" s="20" t="s">
        <v>5618</v>
      </c>
      <c r="AE575" s="8" t="s">
        <v>223</v>
      </c>
      <c r="AF575" s="8" t="s">
        <v>224</v>
      </c>
    </row>
    <row r="576" customFormat="false" ht="15" hidden="false" customHeight="false" outlineLevel="0" collapsed="false">
      <c r="A576" s="8" t="s">
        <v>5619</v>
      </c>
      <c r="B576" s="8" t="s">
        <v>5620</v>
      </c>
      <c r="C576" s="8"/>
      <c r="D576" s="8" t="s">
        <v>5621</v>
      </c>
      <c r="E576" s="8"/>
      <c r="F576" s="8" t="s">
        <v>73</v>
      </c>
      <c r="G576" s="8" t="s">
        <v>5622</v>
      </c>
      <c r="H576" s="8" t="s">
        <v>81</v>
      </c>
      <c r="I576" s="8" t="s">
        <v>273</v>
      </c>
      <c r="J576" s="8" t="n">
        <v>1</v>
      </c>
      <c r="K576" s="8" t="n">
        <v>5</v>
      </c>
      <c r="L576" s="18" t="n">
        <f aca="false">INDEX('All Items'!$Q:$Q,MATCH($A576,'All Items'!$A:$A,0))</f>
        <v>9.75</v>
      </c>
      <c r="M576" s="8" t="s">
        <v>3906</v>
      </c>
      <c r="N576" s="8" t="s">
        <v>5610</v>
      </c>
      <c r="O576" s="8" t="s">
        <v>477</v>
      </c>
      <c r="P576" s="8" t="s">
        <v>5623</v>
      </c>
      <c r="Q576" s="8" t="s">
        <v>5624</v>
      </c>
      <c r="R576" s="8" t="s">
        <v>5625</v>
      </c>
      <c r="S576" s="19" t="s">
        <v>5626</v>
      </c>
      <c r="T576" s="8" t="s">
        <v>5627</v>
      </c>
      <c r="U576" s="8"/>
      <c r="V576" s="8" t="n">
        <f aca="false">COUNTA(M576:R576)</f>
        <v>6</v>
      </c>
      <c r="W576" s="8" t="s">
        <v>218</v>
      </c>
      <c r="X576" s="8" t="s">
        <v>259</v>
      </c>
      <c r="Y576" s="8" t="s">
        <v>259</v>
      </c>
      <c r="Z576" s="8" t="s">
        <v>5628</v>
      </c>
      <c r="AA576" s="8" t="s">
        <v>5629</v>
      </c>
      <c r="AB576" s="20" t="s">
        <v>5630</v>
      </c>
      <c r="AC576" s="20" t="s">
        <v>1174</v>
      </c>
      <c r="AD576" s="20" t="s">
        <v>2722</v>
      </c>
      <c r="AE576" s="8" t="s">
        <v>223</v>
      </c>
      <c r="AF576" s="8" t="s">
        <v>224</v>
      </c>
    </row>
    <row r="577" customFormat="false" ht="15" hidden="false" customHeight="false" outlineLevel="0" collapsed="false">
      <c r="A577" s="8" t="s">
        <v>5631</v>
      </c>
      <c r="B577" s="8" t="s">
        <v>5632</v>
      </c>
      <c r="C577" s="8"/>
      <c r="D577" s="8" t="s">
        <v>5609</v>
      </c>
      <c r="E577" s="8"/>
      <c r="F577" s="8" t="s">
        <v>70</v>
      </c>
      <c r="G577" s="8" t="s">
        <v>4902</v>
      </c>
      <c r="H577" s="8" t="s">
        <v>81</v>
      </c>
      <c r="I577" s="8" t="s">
        <v>208</v>
      </c>
      <c r="J577" s="8" t="n">
        <v>1</v>
      </c>
      <c r="K577" s="8" t="n">
        <v>5</v>
      </c>
      <c r="L577" s="18" t="n">
        <f aca="false">INDEX('All Items'!$Q:$Q,MATCH($A577,'All Items'!$A:$A,0))</f>
        <v>10</v>
      </c>
      <c r="M577" s="8" t="s">
        <v>5633</v>
      </c>
      <c r="N577" s="8" t="s">
        <v>5610</v>
      </c>
      <c r="O577" s="8" t="s">
        <v>4944</v>
      </c>
      <c r="P577" s="8" t="s">
        <v>5634</v>
      </c>
      <c r="Q577" s="8" t="s">
        <v>5635</v>
      </c>
      <c r="R577" s="8" t="s">
        <v>5636</v>
      </c>
      <c r="S577" s="19" t="s">
        <v>5637</v>
      </c>
      <c r="T577" s="8" t="s">
        <v>5638</v>
      </c>
      <c r="U577" s="8"/>
      <c r="V577" s="8" t="n">
        <f aca="false">COUNTA(M577:R577)</f>
        <v>6</v>
      </c>
      <c r="W577" s="8" t="s">
        <v>218</v>
      </c>
      <c r="X577" s="8" t="s">
        <v>259</v>
      </c>
      <c r="Y577" s="8" t="s">
        <v>259</v>
      </c>
      <c r="Z577" s="8" t="s">
        <v>5639</v>
      </c>
      <c r="AA577" s="8" t="s">
        <v>5640</v>
      </c>
      <c r="AB577" s="20" t="s">
        <v>5641</v>
      </c>
      <c r="AC577" s="20" t="s">
        <v>221</v>
      </c>
      <c r="AD577" s="20" t="s">
        <v>5642</v>
      </c>
      <c r="AE577" s="8" t="s">
        <v>223</v>
      </c>
      <c r="AF577" s="8" t="s">
        <v>224</v>
      </c>
    </row>
    <row r="578" customFormat="false" ht="15" hidden="false" customHeight="false" outlineLevel="0" collapsed="false">
      <c r="A578" s="8" t="s">
        <v>5643</v>
      </c>
      <c r="B578" s="8" t="s">
        <v>5644</v>
      </c>
      <c r="C578" s="8"/>
      <c r="D578" s="8" t="s">
        <v>5609</v>
      </c>
      <c r="E578" s="8"/>
      <c r="F578" s="8" t="s">
        <v>70</v>
      </c>
      <c r="G578" s="8" t="s">
        <v>4902</v>
      </c>
      <c r="H578" s="8" t="s">
        <v>89</v>
      </c>
      <c r="I578" s="8" t="s">
        <v>273</v>
      </c>
      <c r="J578" s="8" t="n">
        <v>1</v>
      </c>
      <c r="K578" s="8" t="n">
        <v>4</v>
      </c>
      <c r="L578" s="18" t="n">
        <f aca="false">INDEX('All Items'!$Q:$Q,MATCH($A578,'All Items'!$A:$A,0))</f>
        <v>8.7</v>
      </c>
      <c r="M578" s="8" t="s">
        <v>274</v>
      </c>
      <c r="N578" s="8" t="s">
        <v>388</v>
      </c>
      <c r="O578" s="8" t="s">
        <v>5645</v>
      </c>
      <c r="P578" s="8" t="s">
        <v>3906</v>
      </c>
      <c r="Q578" s="8" t="s">
        <v>5646</v>
      </c>
      <c r="R578" s="8" t="s">
        <v>5647</v>
      </c>
      <c r="S578" s="19" t="s">
        <v>5648</v>
      </c>
      <c r="T578" s="8" t="s">
        <v>5649</v>
      </c>
      <c r="U578" s="8"/>
      <c r="V578" s="8" t="n">
        <f aca="false">COUNTA(M578:R578)</f>
        <v>6</v>
      </c>
      <c r="W578" s="8" t="s">
        <v>218</v>
      </c>
      <c r="X578" s="8" t="s">
        <v>259</v>
      </c>
      <c r="Y578" s="8" t="s">
        <v>259</v>
      </c>
      <c r="Z578" s="8" t="s">
        <v>5650</v>
      </c>
      <c r="AA578" s="8" t="s">
        <v>5651</v>
      </c>
      <c r="AB578" s="20" t="s">
        <v>5652</v>
      </c>
      <c r="AC578" s="20" t="s">
        <v>527</v>
      </c>
      <c r="AD578" s="20" t="s">
        <v>528</v>
      </c>
      <c r="AE578" s="8" t="s">
        <v>223</v>
      </c>
      <c r="AF578" s="8" t="s">
        <v>224</v>
      </c>
    </row>
    <row r="579" customFormat="false" ht="15" hidden="false" customHeight="false" outlineLevel="0" collapsed="false">
      <c r="A579" s="8" t="s">
        <v>5653</v>
      </c>
      <c r="B579" s="8" t="s">
        <v>5654</v>
      </c>
      <c r="C579" s="8"/>
      <c r="D579" s="8" t="s">
        <v>5609</v>
      </c>
      <c r="E579" s="8"/>
      <c r="F579" s="8" t="s">
        <v>70</v>
      </c>
      <c r="G579" s="8" t="s">
        <v>4902</v>
      </c>
      <c r="H579" s="8" t="s">
        <v>89</v>
      </c>
      <c r="I579" s="8" t="s">
        <v>273</v>
      </c>
      <c r="J579" s="8" t="n">
        <v>2</v>
      </c>
      <c r="K579" s="8" t="n">
        <v>3</v>
      </c>
      <c r="L579" s="18" t="n">
        <f aca="false">INDEX('All Items'!$Q:$Q,MATCH($A579,'All Items'!$A:$A,0))</f>
        <v>7.4</v>
      </c>
      <c r="M579" s="8" t="s">
        <v>2047</v>
      </c>
      <c r="N579" s="8" t="s">
        <v>2672</v>
      </c>
      <c r="O579" s="8" t="s">
        <v>5655</v>
      </c>
      <c r="P579" s="8" t="s">
        <v>5656</v>
      </c>
      <c r="Q579" s="8" t="s">
        <v>5657</v>
      </c>
      <c r="R579" s="8" t="s">
        <v>5647</v>
      </c>
      <c r="S579" s="19" t="s">
        <v>5658</v>
      </c>
      <c r="T579" s="8" t="s">
        <v>5659</v>
      </c>
      <c r="U579" s="8"/>
      <c r="V579" s="8" t="n">
        <f aca="false">COUNTA(M579:R579)</f>
        <v>6</v>
      </c>
      <c r="W579" s="8" t="s">
        <v>218</v>
      </c>
      <c r="X579" s="8" t="s">
        <v>259</v>
      </c>
      <c r="Y579" s="8" t="s">
        <v>218</v>
      </c>
      <c r="Z579" s="8"/>
      <c r="AA579" s="8" t="s">
        <v>5660</v>
      </c>
      <c r="AB579" s="20"/>
      <c r="AC579" s="20"/>
      <c r="AD579" s="20"/>
      <c r="AE579" s="8" t="s">
        <v>237</v>
      </c>
      <c r="AF579" s="8" t="s">
        <v>224</v>
      </c>
    </row>
    <row r="580" customFormat="false" ht="15" hidden="false" customHeight="false" outlineLevel="0" collapsed="false">
      <c r="A580" s="8" t="s">
        <v>5661</v>
      </c>
      <c r="B580" s="8" t="s">
        <v>5662</v>
      </c>
      <c r="C580" s="8"/>
      <c r="D580" s="8" t="s">
        <v>5609</v>
      </c>
      <c r="E580" s="8"/>
      <c r="F580" s="8" t="s">
        <v>70</v>
      </c>
      <c r="G580" s="8" t="s">
        <v>4902</v>
      </c>
      <c r="H580" s="8" t="s">
        <v>88</v>
      </c>
      <c r="I580" s="8" t="s">
        <v>273</v>
      </c>
      <c r="J580" s="8" t="n">
        <v>2</v>
      </c>
      <c r="K580" s="8" t="n">
        <v>4</v>
      </c>
      <c r="L580" s="18" t="n">
        <f aca="false">INDEX('All Items'!$Q:$Q,MATCH($A580,'All Items'!$A:$A,0))</f>
        <v>8.2</v>
      </c>
      <c r="M580" s="8" t="s">
        <v>442</v>
      </c>
      <c r="N580" s="8" t="s">
        <v>5610</v>
      </c>
      <c r="O580" s="8" t="s">
        <v>5663</v>
      </c>
      <c r="P580" s="8" t="s">
        <v>5664</v>
      </c>
      <c r="Q580" s="8" t="s">
        <v>5636</v>
      </c>
      <c r="R580" s="8"/>
      <c r="S580" s="19" t="s">
        <v>5665</v>
      </c>
      <c r="T580" s="8" t="s">
        <v>5666</v>
      </c>
      <c r="U580" s="8"/>
      <c r="V580" s="8" t="n">
        <f aca="false">COUNTA(M580:R580)</f>
        <v>5</v>
      </c>
      <c r="W580" s="8" t="s">
        <v>218</v>
      </c>
      <c r="X580" s="8" t="s">
        <v>259</v>
      </c>
      <c r="Y580" s="8" t="s">
        <v>259</v>
      </c>
      <c r="Z580" s="8" t="s">
        <v>5667</v>
      </c>
      <c r="AA580" s="8" t="s">
        <v>5668</v>
      </c>
      <c r="AB580" s="20"/>
      <c r="AC580" s="20"/>
      <c r="AD580" s="20"/>
      <c r="AE580" s="8" t="s">
        <v>237</v>
      </c>
      <c r="AF580" s="8" t="s">
        <v>224</v>
      </c>
    </row>
    <row r="581" customFormat="false" ht="15" hidden="false" customHeight="false" outlineLevel="0" collapsed="false">
      <c r="A581" s="8" t="s">
        <v>5669</v>
      </c>
      <c r="B581" s="8" t="s">
        <v>5670</v>
      </c>
      <c r="C581" s="8"/>
      <c r="D581" s="8" t="s">
        <v>5609</v>
      </c>
      <c r="E581" s="8"/>
      <c r="F581" s="8" t="s">
        <v>70</v>
      </c>
      <c r="G581" s="8" t="s">
        <v>4902</v>
      </c>
      <c r="H581" s="8" t="s">
        <v>79</v>
      </c>
      <c r="I581" s="8" t="s">
        <v>208</v>
      </c>
      <c r="J581" s="8" t="n">
        <v>2</v>
      </c>
      <c r="K581" s="8" t="n">
        <v>3</v>
      </c>
      <c r="L581" s="18" t="n">
        <f aca="false">INDEX('All Items'!$Q:$Q,MATCH($A581,'All Items'!$A:$A,0))</f>
        <v>7.15</v>
      </c>
      <c r="M581" s="8" t="s">
        <v>4714</v>
      </c>
      <c r="N581" s="8" t="s">
        <v>3879</v>
      </c>
      <c r="O581" s="8" t="s">
        <v>5671</v>
      </c>
      <c r="P581" s="8" t="s">
        <v>4473</v>
      </c>
      <c r="Q581" s="8" t="s">
        <v>5672</v>
      </c>
      <c r="R581" s="8" t="s">
        <v>5636</v>
      </c>
      <c r="S581" s="19" t="s">
        <v>5673</v>
      </c>
      <c r="T581" s="8" t="s">
        <v>5674</v>
      </c>
      <c r="U581" s="8"/>
      <c r="V581" s="8" t="n">
        <f aca="false">COUNTA(M581:R581)</f>
        <v>6</v>
      </c>
      <c r="W581" s="8" t="s">
        <v>218</v>
      </c>
      <c r="X581" s="8" t="s">
        <v>259</v>
      </c>
      <c r="Y581" s="8" t="s">
        <v>218</v>
      </c>
      <c r="Z581" s="8"/>
      <c r="AA581" s="8" t="s">
        <v>5675</v>
      </c>
      <c r="AB581" s="20"/>
      <c r="AC581" s="20"/>
      <c r="AD581" s="20"/>
      <c r="AE581" s="8" t="s">
        <v>237</v>
      </c>
      <c r="AF581" s="8" t="s">
        <v>224</v>
      </c>
    </row>
    <row r="582" customFormat="false" ht="15" hidden="false" customHeight="false" outlineLevel="0" collapsed="false">
      <c r="A582" s="8" t="s">
        <v>5676</v>
      </c>
      <c r="B582" s="8" t="s">
        <v>5677</v>
      </c>
      <c r="C582" s="8"/>
      <c r="D582" s="8" t="s">
        <v>5609</v>
      </c>
      <c r="E582" s="8"/>
      <c r="F582" s="8" t="s">
        <v>70</v>
      </c>
      <c r="G582" s="8" t="s">
        <v>4902</v>
      </c>
      <c r="H582" s="8" t="s">
        <v>82</v>
      </c>
      <c r="I582" s="8" t="s">
        <v>273</v>
      </c>
      <c r="J582" s="8" t="n">
        <v>2</v>
      </c>
      <c r="K582" s="8" t="n">
        <v>3</v>
      </c>
      <c r="L582" s="18" t="n">
        <f aca="false">INDEX('All Items'!$Q:$Q,MATCH($A582,'All Items'!$A:$A,0))</f>
        <v>7.15</v>
      </c>
      <c r="M582" s="8" t="s">
        <v>686</v>
      </c>
      <c r="N582" s="8" t="s">
        <v>5655</v>
      </c>
      <c r="O582" s="8" t="s">
        <v>854</v>
      </c>
      <c r="P582" s="8" t="s">
        <v>5678</v>
      </c>
      <c r="Q582" s="8" t="s">
        <v>5679</v>
      </c>
      <c r="R582" s="8"/>
      <c r="S582" s="19" t="s">
        <v>5680</v>
      </c>
      <c r="T582" s="8" t="s">
        <v>5681</v>
      </c>
      <c r="U582" s="8"/>
      <c r="V582" s="8" t="n">
        <f aca="false">COUNTA(M582:R582)</f>
        <v>5</v>
      </c>
      <c r="W582" s="8" t="s">
        <v>218</v>
      </c>
      <c r="X582" s="8" t="s">
        <v>259</v>
      </c>
      <c r="Y582" s="8" t="s">
        <v>218</v>
      </c>
      <c r="Z582" s="8"/>
      <c r="AA582" s="8" t="s">
        <v>5682</v>
      </c>
      <c r="AB582" s="20" t="s">
        <v>5683</v>
      </c>
      <c r="AC582" s="20" t="s">
        <v>221</v>
      </c>
      <c r="AD582" s="20" t="s">
        <v>5684</v>
      </c>
      <c r="AE582" s="8" t="s">
        <v>223</v>
      </c>
      <c r="AF582" s="8" t="s">
        <v>224</v>
      </c>
    </row>
    <row r="583" customFormat="false" ht="15" hidden="false" customHeight="false" outlineLevel="0" collapsed="false">
      <c r="A583" s="8" t="s">
        <v>5685</v>
      </c>
      <c r="B583" s="8" t="s">
        <v>5686</v>
      </c>
      <c r="C583" s="8"/>
      <c r="D583" s="8" t="s">
        <v>5687</v>
      </c>
      <c r="E583" s="8"/>
      <c r="F583" s="8" t="s">
        <v>70</v>
      </c>
      <c r="G583" s="8" t="s">
        <v>4902</v>
      </c>
      <c r="H583" s="8" t="s">
        <v>82</v>
      </c>
      <c r="I583" s="8" t="s">
        <v>1030</v>
      </c>
      <c r="J583" s="8" t="n">
        <v>1</v>
      </c>
      <c r="K583" s="8" t="n">
        <v>4</v>
      </c>
      <c r="L583" s="18" t="n">
        <f aca="false">INDEX('All Items'!$Q:$Q,MATCH($A583,'All Items'!$A:$A,0))</f>
        <v>8.45</v>
      </c>
      <c r="M583" s="8" t="s">
        <v>274</v>
      </c>
      <c r="N583" s="8" t="s">
        <v>4355</v>
      </c>
      <c r="O583" s="8" t="s">
        <v>356</v>
      </c>
      <c r="P583" s="8" t="s">
        <v>5688</v>
      </c>
      <c r="Q583" s="8" t="s">
        <v>5689</v>
      </c>
      <c r="R583" s="8" t="s">
        <v>5690</v>
      </c>
      <c r="S583" s="19" t="s">
        <v>5691</v>
      </c>
      <c r="T583" s="8" t="s">
        <v>5692</v>
      </c>
      <c r="U583" s="8"/>
      <c r="V583" s="8" t="n">
        <f aca="false">COUNTA(M583:R583)</f>
        <v>6</v>
      </c>
      <c r="W583" s="8" t="s">
        <v>218</v>
      </c>
      <c r="X583" s="8" t="s">
        <v>259</v>
      </c>
      <c r="Y583" s="8" t="s">
        <v>259</v>
      </c>
      <c r="Z583" s="8" t="s">
        <v>5693</v>
      </c>
      <c r="AA583" s="8" t="s">
        <v>5694</v>
      </c>
      <c r="AB583" s="20" t="s">
        <v>5695</v>
      </c>
      <c r="AC583" s="20" t="s">
        <v>1174</v>
      </c>
      <c r="AD583" s="20" t="s">
        <v>5696</v>
      </c>
      <c r="AE583" s="8" t="s">
        <v>223</v>
      </c>
      <c r="AF583" s="8" t="s">
        <v>224</v>
      </c>
    </row>
    <row r="584" customFormat="false" ht="15" hidden="false" customHeight="false" outlineLevel="0" collapsed="false">
      <c r="A584" s="8" t="s">
        <v>5697</v>
      </c>
      <c r="B584" s="8" t="s">
        <v>5698</v>
      </c>
      <c r="C584" s="8"/>
      <c r="D584" s="8" t="s">
        <v>5699</v>
      </c>
      <c r="E584" s="8"/>
      <c r="F584" s="8" t="s">
        <v>70</v>
      </c>
      <c r="G584" s="8" t="s">
        <v>4902</v>
      </c>
      <c r="H584" s="8" t="s">
        <v>78</v>
      </c>
      <c r="I584" s="8" t="s">
        <v>208</v>
      </c>
      <c r="J584" s="8" t="n">
        <v>2</v>
      </c>
      <c r="K584" s="8" t="n">
        <v>3</v>
      </c>
      <c r="L584" s="18" t="n">
        <f aca="false">INDEX('All Items'!$Q:$Q,MATCH($A584,'All Items'!$A:$A,0))</f>
        <v>7.4</v>
      </c>
      <c r="M584" s="8" t="s">
        <v>1521</v>
      </c>
      <c r="N584" s="8" t="s">
        <v>3879</v>
      </c>
      <c r="O584" s="8" t="s">
        <v>5700</v>
      </c>
      <c r="P584" s="8" t="s">
        <v>3804</v>
      </c>
      <c r="Q584" s="8" t="s">
        <v>5417</v>
      </c>
      <c r="R584" s="8" t="s">
        <v>5701</v>
      </c>
      <c r="S584" s="19" t="s">
        <v>5702</v>
      </c>
      <c r="T584" s="8" t="s">
        <v>5703</v>
      </c>
      <c r="U584" s="8"/>
      <c r="V584" s="8" t="n">
        <f aca="false">COUNTA(M584:R584)</f>
        <v>6</v>
      </c>
      <c r="W584" s="8" t="s">
        <v>218</v>
      </c>
      <c r="X584" s="8" t="s">
        <v>259</v>
      </c>
      <c r="Y584" s="8" t="s">
        <v>218</v>
      </c>
      <c r="Z584" s="8"/>
      <c r="AA584" s="8" t="s">
        <v>5704</v>
      </c>
      <c r="AB584" s="20"/>
      <c r="AC584" s="20"/>
      <c r="AD584" s="20"/>
      <c r="AE584" s="8" t="s">
        <v>237</v>
      </c>
      <c r="AF584" s="8" t="s">
        <v>224</v>
      </c>
    </row>
    <row r="585" customFormat="false" ht="15" hidden="false" customHeight="false" outlineLevel="0" collapsed="false">
      <c r="A585" s="8" t="s">
        <v>5705</v>
      </c>
      <c r="B585" s="8" t="s">
        <v>5706</v>
      </c>
      <c r="C585" s="8"/>
      <c r="D585" s="8" t="s">
        <v>5707</v>
      </c>
      <c r="E585" s="8"/>
      <c r="F585" s="8" t="s">
        <v>70</v>
      </c>
      <c r="G585" s="8" t="s">
        <v>4902</v>
      </c>
      <c r="H585" s="8" t="s">
        <v>85</v>
      </c>
      <c r="I585" s="8" t="s">
        <v>208</v>
      </c>
      <c r="J585" s="8" t="n">
        <v>2</v>
      </c>
      <c r="K585" s="8" t="n">
        <v>3</v>
      </c>
      <c r="L585" s="18" t="n">
        <f aca="false">INDEX('All Items'!$Q:$Q,MATCH($A585,'All Items'!$A:$A,0))</f>
        <v>7.4</v>
      </c>
      <c r="M585" s="8" t="s">
        <v>1942</v>
      </c>
      <c r="N585" s="8" t="s">
        <v>574</v>
      </c>
      <c r="O585" s="8" t="s">
        <v>213</v>
      </c>
      <c r="P585" s="8" t="s">
        <v>4223</v>
      </c>
      <c r="Q585" s="8" t="s">
        <v>5708</v>
      </c>
      <c r="R585" s="8" t="s">
        <v>5709</v>
      </c>
      <c r="S585" s="19" t="s">
        <v>5710</v>
      </c>
      <c r="T585" s="8" t="s">
        <v>5711</v>
      </c>
      <c r="U585" s="8"/>
      <c r="V585" s="8" t="n">
        <f aca="false">COUNTA(M585:R585)</f>
        <v>6</v>
      </c>
      <c r="W585" s="8" t="s">
        <v>218</v>
      </c>
      <c r="X585" s="8" t="s">
        <v>259</v>
      </c>
      <c r="Y585" s="8" t="s">
        <v>218</v>
      </c>
      <c r="Z585" s="8"/>
      <c r="AA585" s="8" t="s">
        <v>5712</v>
      </c>
      <c r="AB585" s="20" t="s">
        <v>5713</v>
      </c>
      <c r="AC585" s="20" t="s">
        <v>5065</v>
      </c>
      <c r="AD585" s="20" t="s">
        <v>5714</v>
      </c>
      <c r="AE585" s="8" t="s">
        <v>223</v>
      </c>
      <c r="AF585" s="8" t="s">
        <v>224</v>
      </c>
    </row>
    <row r="586" customFormat="false" ht="15" hidden="false" customHeight="false" outlineLevel="0" collapsed="false">
      <c r="A586" s="8" t="s">
        <v>5715</v>
      </c>
      <c r="B586" s="8" t="s">
        <v>5716</v>
      </c>
      <c r="C586" s="8"/>
      <c r="D586" s="8" t="s">
        <v>5707</v>
      </c>
      <c r="E586" s="8"/>
      <c r="F586" s="8" t="s">
        <v>70</v>
      </c>
      <c r="G586" s="8" t="s">
        <v>4902</v>
      </c>
      <c r="H586" s="8" t="s">
        <v>80</v>
      </c>
      <c r="I586" s="8" t="s">
        <v>227</v>
      </c>
      <c r="J586" s="8" t="n">
        <v>2</v>
      </c>
      <c r="K586" s="8" t="n">
        <v>3</v>
      </c>
      <c r="L586" s="18" t="n">
        <f aca="false">INDEX('All Items'!$Q:$Q,MATCH($A586,'All Items'!$A:$A,0))</f>
        <v>7.4</v>
      </c>
      <c r="M586" s="8" t="s">
        <v>463</v>
      </c>
      <c r="N586" s="8" t="s">
        <v>892</v>
      </c>
      <c r="O586" s="8" t="s">
        <v>5717</v>
      </c>
      <c r="P586" s="8" t="s">
        <v>5718</v>
      </c>
      <c r="Q586" s="8" t="s">
        <v>5636</v>
      </c>
      <c r="R586" s="8" t="s">
        <v>5719</v>
      </c>
      <c r="S586" s="19" t="s">
        <v>5720</v>
      </c>
      <c r="T586" s="8" t="s">
        <v>5721</v>
      </c>
      <c r="U586" s="8"/>
      <c r="V586" s="8" t="n">
        <f aca="false">COUNTA(M586:R586)</f>
        <v>6</v>
      </c>
      <c r="W586" s="8" t="s">
        <v>218</v>
      </c>
      <c r="X586" s="8" t="s">
        <v>259</v>
      </c>
      <c r="Y586" s="8" t="s">
        <v>259</v>
      </c>
      <c r="Z586" s="8" t="s">
        <v>5667</v>
      </c>
      <c r="AA586" s="8" t="s">
        <v>5722</v>
      </c>
      <c r="AB586" s="20"/>
      <c r="AC586" s="20"/>
      <c r="AD586" s="20"/>
      <c r="AE586" s="8" t="s">
        <v>237</v>
      </c>
      <c r="AF586" s="8" t="s">
        <v>224</v>
      </c>
    </row>
    <row r="587" customFormat="false" ht="15" hidden="false" customHeight="false" outlineLevel="0" collapsed="false">
      <c r="A587" s="8" t="s">
        <v>5723</v>
      </c>
      <c r="B587" s="8" t="s">
        <v>5724</v>
      </c>
      <c r="C587" s="8"/>
      <c r="D587" s="8" t="s">
        <v>5725</v>
      </c>
      <c r="E587" s="8"/>
      <c r="F587" s="8" t="s">
        <v>70</v>
      </c>
      <c r="G587" s="8" t="s">
        <v>4902</v>
      </c>
      <c r="H587" s="8" t="s">
        <v>85</v>
      </c>
      <c r="I587" s="8" t="s">
        <v>208</v>
      </c>
      <c r="J587" s="8" t="n">
        <v>2</v>
      </c>
      <c r="K587" s="8" t="n">
        <v>3</v>
      </c>
      <c r="L587" s="18" t="n">
        <f aca="false">INDEX('All Items'!$Q:$Q,MATCH($A587,'All Items'!$A:$A,0))</f>
        <v>7.4</v>
      </c>
      <c r="M587" s="8" t="s">
        <v>275</v>
      </c>
      <c r="N587" s="8" t="s">
        <v>5726</v>
      </c>
      <c r="O587" s="8" t="s">
        <v>5727</v>
      </c>
      <c r="P587" s="8" t="s">
        <v>213</v>
      </c>
      <c r="Q587" s="8" t="s">
        <v>5728</v>
      </c>
      <c r="R587" s="8" t="s">
        <v>5729</v>
      </c>
      <c r="S587" s="19" t="s">
        <v>5730</v>
      </c>
      <c r="T587" s="8" t="s">
        <v>5731</v>
      </c>
      <c r="U587" s="8"/>
      <c r="V587" s="8" t="n">
        <f aca="false">COUNTA(M587:R587)</f>
        <v>6</v>
      </c>
      <c r="W587" s="8" t="s">
        <v>218</v>
      </c>
      <c r="X587" s="8" t="s">
        <v>259</v>
      </c>
      <c r="Y587" s="8" t="s">
        <v>259</v>
      </c>
      <c r="Z587" s="8" t="s">
        <v>5732</v>
      </c>
      <c r="AA587" s="8" t="s">
        <v>5733</v>
      </c>
      <c r="AB587" s="20"/>
      <c r="AC587" s="20"/>
      <c r="AD587" s="20"/>
      <c r="AE587" s="8" t="s">
        <v>237</v>
      </c>
      <c r="AF587" s="8" t="s">
        <v>224</v>
      </c>
    </row>
    <row r="588" customFormat="false" ht="15" hidden="false" customHeight="false" outlineLevel="0" collapsed="false">
      <c r="A588" s="8" t="s">
        <v>5734</v>
      </c>
      <c r="B588" s="8" t="s">
        <v>5735</v>
      </c>
      <c r="C588" s="8"/>
      <c r="D588" s="8" t="s">
        <v>5736</v>
      </c>
      <c r="E588" s="8"/>
      <c r="F588" s="8" t="s">
        <v>70</v>
      </c>
      <c r="G588" s="8" t="s">
        <v>4902</v>
      </c>
      <c r="H588" s="8" t="s">
        <v>85</v>
      </c>
      <c r="I588" s="8" t="s">
        <v>208</v>
      </c>
      <c r="J588" s="8" t="n">
        <v>2</v>
      </c>
      <c r="K588" s="8" t="n">
        <v>4</v>
      </c>
      <c r="L588" s="18" t="n">
        <f aca="false">INDEX('All Items'!$Q:$Q,MATCH($A588,'All Items'!$A:$A,0))</f>
        <v>8.7</v>
      </c>
      <c r="M588" s="8" t="s">
        <v>5737</v>
      </c>
      <c r="N588" s="8" t="s">
        <v>5088</v>
      </c>
      <c r="O588" s="8" t="s">
        <v>5738</v>
      </c>
      <c r="P588" s="8" t="s">
        <v>3804</v>
      </c>
      <c r="Q588" s="8" t="s">
        <v>5739</v>
      </c>
      <c r="R588" s="8" t="s">
        <v>5740</v>
      </c>
      <c r="S588" s="19" t="s">
        <v>5741</v>
      </c>
      <c r="T588" s="8" t="s">
        <v>5742</v>
      </c>
      <c r="U588" s="8"/>
      <c r="V588" s="8" t="n">
        <f aca="false">COUNTA(M588:R588)</f>
        <v>6</v>
      </c>
      <c r="W588" s="8" t="s">
        <v>218</v>
      </c>
      <c r="X588" s="8" t="s">
        <v>259</v>
      </c>
      <c r="Y588" s="8" t="s">
        <v>259</v>
      </c>
      <c r="Z588" s="8" t="s">
        <v>5743</v>
      </c>
      <c r="AA588" s="8" t="s">
        <v>5744</v>
      </c>
      <c r="AB588" s="20"/>
      <c r="AC588" s="20"/>
      <c r="AD588" s="20"/>
      <c r="AE588" s="8" t="s">
        <v>237</v>
      </c>
      <c r="AF588" s="8" t="s">
        <v>224</v>
      </c>
    </row>
    <row r="589" customFormat="false" ht="15" hidden="false" customHeight="false" outlineLevel="0" collapsed="false">
      <c r="A589" s="8" t="s">
        <v>5745</v>
      </c>
      <c r="B589" s="8" t="s">
        <v>5746</v>
      </c>
      <c r="C589" s="8"/>
      <c r="D589" s="8" t="s">
        <v>5747</v>
      </c>
      <c r="E589" s="8"/>
      <c r="F589" s="8" t="s">
        <v>70</v>
      </c>
      <c r="G589" s="8" t="s">
        <v>207</v>
      </c>
      <c r="H589" s="8" t="s">
        <v>78</v>
      </c>
      <c r="I589" s="8" t="s">
        <v>208</v>
      </c>
      <c r="J589" s="8" t="n">
        <v>2</v>
      </c>
      <c r="K589" s="8" t="n">
        <v>3</v>
      </c>
      <c r="L589" s="18" t="n">
        <f aca="false">INDEX('All Items'!$Q:$Q,MATCH($A589,'All Items'!$A:$A,0))</f>
        <v>7.4</v>
      </c>
      <c r="M589" s="8" t="s">
        <v>5726</v>
      </c>
      <c r="N589" s="8" t="s">
        <v>3804</v>
      </c>
      <c r="O589" s="8" t="s">
        <v>741</v>
      </c>
      <c r="P589" s="8" t="s">
        <v>3453</v>
      </c>
      <c r="Q589" s="8" t="s">
        <v>5748</v>
      </c>
      <c r="R589" s="8" t="s">
        <v>5749</v>
      </c>
      <c r="S589" s="19" t="s">
        <v>5750</v>
      </c>
      <c r="T589" s="8" t="s">
        <v>5751</v>
      </c>
      <c r="U589" s="8"/>
      <c r="V589" s="8" t="n">
        <f aca="false">COUNTA(M589:R589)</f>
        <v>6</v>
      </c>
      <c r="W589" s="8" t="s">
        <v>218</v>
      </c>
      <c r="X589" s="8" t="s">
        <v>259</v>
      </c>
      <c r="Y589" s="8" t="s">
        <v>218</v>
      </c>
      <c r="Z589" s="8"/>
      <c r="AA589" s="8" t="s">
        <v>5752</v>
      </c>
      <c r="AB589" s="20"/>
      <c r="AC589" s="20"/>
      <c r="AD589" s="20"/>
      <c r="AE589" s="8" t="s">
        <v>237</v>
      </c>
      <c r="AF589" s="8" t="s">
        <v>224</v>
      </c>
    </row>
    <row r="590" customFormat="false" ht="15" hidden="false" customHeight="false" outlineLevel="0" collapsed="false">
      <c r="A590" s="8" t="s">
        <v>5753</v>
      </c>
      <c r="B590" s="8" t="s">
        <v>5754</v>
      </c>
      <c r="C590" s="8"/>
      <c r="D590" s="8" t="s">
        <v>5747</v>
      </c>
      <c r="E590" s="8"/>
      <c r="F590" s="8" t="s">
        <v>70</v>
      </c>
      <c r="G590" s="8" t="s">
        <v>207</v>
      </c>
      <c r="H590" s="8" t="s">
        <v>78</v>
      </c>
      <c r="I590" s="8" t="s">
        <v>208</v>
      </c>
      <c r="J590" s="8" t="n">
        <v>2</v>
      </c>
      <c r="K590" s="8" t="n">
        <v>3</v>
      </c>
      <c r="L590" s="18" t="n">
        <f aca="false">INDEX('All Items'!$Q:$Q,MATCH($A590,'All Items'!$A:$A,0))</f>
        <v>7.15</v>
      </c>
      <c r="M590" s="8" t="s">
        <v>3285</v>
      </c>
      <c r="N590" s="8" t="s">
        <v>213</v>
      </c>
      <c r="O590" s="8" t="s">
        <v>5755</v>
      </c>
      <c r="P590" s="8" t="s">
        <v>5756</v>
      </c>
      <c r="Q590" s="8" t="s">
        <v>5757</v>
      </c>
      <c r="R590" s="8" t="s">
        <v>5749</v>
      </c>
      <c r="S590" s="19" t="s">
        <v>5758</v>
      </c>
      <c r="T590" s="8" t="s">
        <v>5759</v>
      </c>
      <c r="U590" s="8"/>
      <c r="V590" s="8" t="n">
        <f aca="false">COUNTA(M590:R590)</f>
        <v>6</v>
      </c>
      <c r="W590" s="8" t="s">
        <v>218</v>
      </c>
      <c r="X590" s="8" t="s">
        <v>259</v>
      </c>
      <c r="Y590" s="8" t="s">
        <v>218</v>
      </c>
      <c r="Z590" s="8"/>
      <c r="AA590" s="8" t="s">
        <v>5760</v>
      </c>
      <c r="AB590" s="20" t="s">
        <v>5761</v>
      </c>
      <c r="AC590" s="20" t="s">
        <v>384</v>
      </c>
      <c r="AD590" s="20" t="s">
        <v>5762</v>
      </c>
      <c r="AE590" s="8" t="s">
        <v>223</v>
      </c>
      <c r="AF590" s="8" t="s">
        <v>224</v>
      </c>
    </row>
    <row r="591" customFormat="false" ht="15" hidden="false" customHeight="false" outlineLevel="0" collapsed="false">
      <c r="A591" s="8" t="s">
        <v>5763</v>
      </c>
      <c r="B591" s="8" t="s">
        <v>5764</v>
      </c>
      <c r="C591" s="8"/>
      <c r="D591" s="8" t="s">
        <v>5621</v>
      </c>
      <c r="E591" s="8"/>
      <c r="F591" s="8" t="s">
        <v>73</v>
      </c>
      <c r="G591" s="8" t="s">
        <v>5622</v>
      </c>
      <c r="H591" s="8" t="s">
        <v>78</v>
      </c>
      <c r="I591" s="8" t="s">
        <v>273</v>
      </c>
      <c r="J591" s="8" t="n">
        <v>1</v>
      </c>
      <c r="K591" s="8" t="n">
        <v>3</v>
      </c>
      <c r="L591" s="18" t="n">
        <f aca="false">INDEX('All Items'!$Q:$Q,MATCH($A591,'All Items'!$A:$A,0))</f>
        <v>7.4</v>
      </c>
      <c r="M591" s="8" t="s">
        <v>229</v>
      </c>
      <c r="N591" s="8" t="s">
        <v>5006</v>
      </c>
      <c r="O591" s="8" t="s">
        <v>599</v>
      </c>
      <c r="P591" s="8" t="s">
        <v>5078</v>
      </c>
      <c r="Q591" s="8" t="s">
        <v>5765</v>
      </c>
      <c r="R591" s="8" t="s">
        <v>5766</v>
      </c>
      <c r="S591" s="19" t="s">
        <v>5767</v>
      </c>
      <c r="T591" s="8" t="s">
        <v>5768</v>
      </c>
      <c r="U591" s="8"/>
      <c r="V591" s="8" t="n">
        <f aca="false">COUNTA(M591:R591)</f>
        <v>6</v>
      </c>
      <c r="W591" s="8" t="s">
        <v>218</v>
      </c>
      <c r="X591" s="8" t="s">
        <v>259</v>
      </c>
      <c r="Y591" s="8" t="s">
        <v>218</v>
      </c>
      <c r="Z591" s="8"/>
      <c r="AA591" s="8" t="s">
        <v>5769</v>
      </c>
      <c r="AB591" s="20" t="s">
        <v>5770</v>
      </c>
      <c r="AC591" s="20" t="s">
        <v>221</v>
      </c>
      <c r="AD591" s="20" t="s">
        <v>5771</v>
      </c>
      <c r="AE591" s="8" t="s">
        <v>223</v>
      </c>
      <c r="AF591" s="8" t="s">
        <v>224</v>
      </c>
    </row>
    <row r="592" customFormat="false" ht="15" hidden="false" customHeight="false" outlineLevel="0" collapsed="false">
      <c r="A592" s="8" t="s">
        <v>5772</v>
      </c>
      <c r="B592" s="8" t="s">
        <v>5773</v>
      </c>
      <c r="C592" s="8"/>
      <c r="D592" s="8" t="s">
        <v>5621</v>
      </c>
      <c r="E592" s="8"/>
      <c r="F592" s="8" t="s">
        <v>73</v>
      </c>
      <c r="G592" s="8" t="s">
        <v>5622</v>
      </c>
      <c r="H592" s="8" t="s">
        <v>82</v>
      </c>
      <c r="I592" s="8" t="s">
        <v>273</v>
      </c>
      <c r="J592" s="8" t="n">
        <v>2</v>
      </c>
      <c r="K592" s="8" t="n">
        <v>3</v>
      </c>
      <c r="L592" s="18" t="n">
        <f aca="false">INDEX('All Items'!$Q:$Q,MATCH($A592,'All Items'!$A:$A,0))</f>
        <v>6.65</v>
      </c>
      <c r="M592" s="8" t="s">
        <v>5774</v>
      </c>
      <c r="N592" s="8" t="s">
        <v>5775</v>
      </c>
      <c r="O592" s="8" t="s">
        <v>5766</v>
      </c>
      <c r="P592" s="8" t="s">
        <v>5776</v>
      </c>
      <c r="Q592" s="8" t="s">
        <v>3984</v>
      </c>
      <c r="R592" s="8" t="s">
        <v>5777</v>
      </c>
      <c r="S592" s="19" t="s">
        <v>5778</v>
      </c>
      <c r="T592" s="8" t="s">
        <v>5779</v>
      </c>
      <c r="U592" s="8"/>
      <c r="V592" s="8" t="n">
        <f aca="false">COUNTA(M592:R592)</f>
        <v>6</v>
      </c>
      <c r="W592" s="8" t="s">
        <v>218</v>
      </c>
      <c r="X592" s="8" t="s">
        <v>259</v>
      </c>
      <c r="Y592" s="8" t="s">
        <v>218</v>
      </c>
      <c r="Z592" s="8"/>
      <c r="AA592" s="8" t="s">
        <v>5780</v>
      </c>
      <c r="AB592" s="20"/>
      <c r="AC592" s="20"/>
      <c r="AD592" s="20"/>
      <c r="AE592" s="8" t="s">
        <v>237</v>
      </c>
      <c r="AF592" s="8" t="s">
        <v>224</v>
      </c>
    </row>
    <row r="593" customFormat="false" ht="15" hidden="false" customHeight="false" outlineLevel="0" collapsed="false">
      <c r="A593" s="8" t="s">
        <v>5781</v>
      </c>
      <c r="B593" s="8" t="s">
        <v>5782</v>
      </c>
      <c r="C593" s="8"/>
      <c r="D593" s="8" t="s">
        <v>5783</v>
      </c>
      <c r="E593" s="8"/>
      <c r="F593" s="8" t="s">
        <v>73</v>
      </c>
      <c r="G593" s="8" t="s">
        <v>5622</v>
      </c>
      <c r="H593" s="8" t="s">
        <v>78</v>
      </c>
      <c r="I593" s="8" t="s">
        <v>208</v>
      </c>
      <c r="J593" s="8" t="n">
        <v>1</v>
      </c>
      <c r="K593" s="8" t="n">
        <v>4</v>
      </c>
      <c r="L593" s="18" t="n">
        <f aca="false">INDEX('All Items'!$Q:$Q,MATCH($A593,'All Items'!$A:$A,0))</f>
        <v>8.7</v>
      </c>
      <c r="M593" s="8" t="s">
        <v>3285</v>
      </c>
      <c r="N593" s="8" t="s">
        <v>4414</v>
      </c>
      <c r="O593" s="8" t="s">
        <v>5784</v>
      </c>
      <c r="P593" s="8" t="s">
        <v>3804</v>
      </c>
      <c r="Q593" s="8" t="s">
        <v>5785</v>
      </c>
      <c r="R593" s="8" t="s">
        <v>5786</v>
      </c>
      <c r="S593" s="19" t="s">
        <v>5787</v>
      </c>
      <c r="T593" s="8" t="s">
        <v>5788</v>
      </c>
      <c r="U593" s="8"/>
      <c r="V593" s="8" t="n">
        <f aca="false">COUNTA(M593:R593)</f>
        <v>6</v>
      </c>
      <c r="W593" s="8" t="s">
        <v>218</v>
      </c>
      <c r="X593" s="8" t="s">
        <v>259</v>
      </c>
      <c r="Y593" s="8" t="s">
        <v>259</v>
      </c>
      <c r="Z593" s="8" t="s">
        <v>5789</v>
      </c>
      <c r="AA593" s="8" t="s">
        <v>5790</v>
      </c>
      <c r="AB593" s="20"/>
      <c r="AC593" s="20"/>
      <c r="AD593" s="20"/>
      <c r="AE593" s="8" t="s">
        <v>237</v>
      </c>
      <c r="AF593" s="8" t="s">
        <v>224</v>
      </c>
    </row>
    <row r="594" customFormat="false" ht="15" hidden="false" customHeight="false" outlineLevel="0" collapsed="false">
      <c r="A594" s="8" t="s">
        <v>5791</v>
      </c>
      <c r="B594" s="8" t="s">
        <v>5792</v>
      </c>
      <c r="C594" s="8"/>
      <c r="D594" s="8" t="s">
        <v>5783</v>
      </c>
      <c r="E594" s="8"/>
      <c r="F594" s="8" t="s">
        <v>73</v>
      </c>
      <c r="G594" s="8" t="s">
        <v>5622</v>
      </c>
      <c r="H594" s="8" t="s">
        <v>78</v>
      </c>
      <c r="I594" s="8" t="s">
        <v>208</v>
      </c>
      <c r="J594" s="8" t="n">
        <v>1</v>
      </c>
      <c r="K594" s="8" t="n">
        <v>4</v>
      </c>
      <c r="L594" s="18" t="n">
        <f aca="false">INDEX('All Items'!$Q:$Q,MATCH($A594,'All Items'!$A:$A,0))</f>
        <v>8.7</v>
      </c>
      <c r="M594" s="8" t="s">
        <v>229</v>
      </c>
      <c r="N594" s="8" t="s">
        <v>5793</v>
      </c>
      <c r="O594" s="8" t="s">
        <v>3804</v>
      </c>
      <c r="P594" s="8" t="s">
        <v>5794</v>
      </c>
      <c r="Q594" s="8" t="s">
        <v>5795</v>
      </c>
      <c r="R594" s="8" t="s">
        <v>5796</v>
      </c>
      <c r="S594" s="19" t="s">
        <v>5797</v>
      </c>
      <c r="T594" s="8" t="s">
        <v>5798</v>
      </c>
      <c r="U594" s="8"/>
      <c r="V594" s="8" t="n">
        <f aca="false">COUNTA(M594:R594)</f>
        <v>6</v>
      </c>
      <c r="W594" s="8" t="s">
        <v>218</v>
      </c>
      <c r="X594" s="8" t="s">
        <v>259</v>
      </c>
      <c r="Y594" s="8" t="s">
        <v>259</v>
      </c>
      <c r="Z594" s="8" t="s">
        <v>5799</v>
      </c>
      <c r="AA594" s="8" t="s">
        <v>5800</v>
      </c>
      <c r="AB594" s="20"/>
      <c r="AC594" s="20"/>
      <c r="AD594" s="20"/>
      <c r="AE594" s="8" t="s">
        <v>237</v>
      </c>
      <c r="AF594" s="8" t="s">
        <v>224</v>
      </c>
    </row>
    <row r="595" customFormat="false" ht="15" hidden="false" customHeight="false" outlineLevel="0" collapsed="false">
      <c r="A595" s="8" t="s">
        <v>5801</v>
      </c>
      <c r="B595" s="8" t="s">
        <v>5802</v>
      </c>
      <c r="C595" s="8"/>
      <c r="D595" s="8" t="s">
        <v>5783</v>
      </c>
      <c r="E595" s="8"/>
      <c r="F595" s="8" t="s">
        <v>73</v>
      </c>
      <c r="G595" s="8" t="s">
        <v>5622</v>
      </c>
      <c r="H595" s="8" t="s">
        <v>83</v>
      </c>
      <c r="I595" s="8" t="s">
        <v>208</v>
      </c>
      <c r="J595" s="8" t="n">
        <v>2</v>
      </c>
      <c r="K595" s="8" t="n">
        <v>3</v>
      </c>
      <c r="L595" s="18" t="n">
        <f aca="false">INDEX('All Items'!$Q:$Q,MATCH($A595,'All Items'!$A:$A,0))</f>
        <v>7.4</v>
      </c>
      <c r="M595" s="8" t="s">
        <v>599</v>
      </c>
      <c r="N595" s="8" t="s">
        <v>229</v>
      </c>
      <c r="O595" s="8" t="s">
        <v>3804</v>
      </c>
      <c r="P595" s="8" t="s">
        <v>1492</v>
      </c>
      <c r="Q595" s="8" t="s">
        <v>5803</v>
      </c>
      <c r="R595" s="8" t="s">
        <v>5786</v>
      </c>
      <c r="S595" s="19" t="s">
        <v>5804</v>
      </c>
      <c r="T595" s="8" t="s">
        <v>5805</v>
      </c>
      <c r="U595" s="8"/>
      <c r="V595" s="8" t="n">
        <f aca="false">COUNTA(M595:R595)</f>
        <v>6</v>
      </c>
      <c r="W595" s="8" t="s">
        <v>218</v>
      </c>
      <c r="X595" s="8" t="s">
        <v>259</v>
      </c>
      <c r="Y595" s="8" t="s">
        <v>218</v>
      </c>
      <c r="Z595" s="8"/>
      <c r="AA595" s="8" t="s">
        <v>5806</v>
      </c>
      <c r="AB595" s="20"/>
      <c r="AC595" s="20"/>
      <c r="AD595" s="20"/>
      <c r="AE595" s="8" t="s">
        <v>237</v>
      </c>
      <c r="AF595" s="8" t="s">
        <v>224</v>
      </c>
    </row>
    <row r="596" customFormat="false" ht="15" hidden="false" customHeight="false" outlineLevel="0" collapsed="false">
      <c r="A596" s="8" t="s">
        <v>5807</v>
      </c>
      <c r="B596" s="8" t="s">
        <v>5808</v>
      </c>
      <c r="C596" s="8"/>
      <c r="D596" s="8" t="s">
        <v>5783</v>
      </c>
      <c r="E596" s="8"/>
      <c r="F596" s="8" t="s">
        <v>73</v>
      </c>
      <c r="G596" s="8" t="s">
        <v>5622</v>
      </c>
      <c r="H596" s="8" t="s">
        <v>78</v>
      </c>
      <c r="I596" s="8" t="s">
        <v>208</v>
      </c>
      <c r="J596" s="8" t="n">
        <v>2</v>
      </c>
      <c r="K596" s="8" t="n">
        <v>3</v>
      </c>
      <c r="L596" s="18" t="n">
        <f aca="false">INDEX('All Items'!$Q:$Q,MATCH($A596,'All Items'!$A:$A,0))</f>
        <v>7.4</v>
      </c>
      <c r="M596" s="8" t="s">
        <v>3285</v>
      </c>
      <c r="N596" s="8" t="s">
        <v>1521</v>
      </c>
      <c r="O596" s="8" t="s">
        <v>5809</v>
      </c>
      <c r="P596" s="8" t="s">
        <v>5810</v>
      </c>
      <c r="Q596" s="8" t="s">
        <v>5811</v>
      </c>
      <c r="R596" s="8" t="s">
        <v>5786</v>
      </c>
      <c r="S596" s="19" t="s">
        <v>5812</v>
      </c>
      <c r="T596" s="8" t="s">
        <v>5813</v>
      </c>
      <c r="U596" s="8"/>
      <c r="V596" s="8" t="n">
        <f aca="false">COUNTA(M596:R596)</f>
        <v>6</v>
      </c>
      <c r="W596" s="8" t="s">
        <v>218</v>
      </c>
      <c r="X596" s="8" t="s">
        <v>259</v>
      </c>
      <c r="Y596" s="8" t="s">
        <v>218</v>
      </c>
      <c r="Z596" s="8"/>
      <c r="AA596" s="8" t="s">
        <v>5814</v>
      </c>
      <c r="AB596" s="20"/>
      <c r="AC596" s="20"/>
      <c r="AD596" s="20"/>
      <c r="AE596" s="8" t="s">
        <v>237</v>
      </c>
      <c r="AF596" s="8" t="s">
        <v>224</v>
      </c>
    </row>
    <row r="597" customFormat="false" ht="15" hidden="false" customHeight="false" outlineLevel="0" collapsed="false">
      <c r="A597" s="8" t="s">
        <v>5815</v>
      </c>
      <c r="B597" s="8" t="s">
        <v>5816</v>
      </c>
      <c r="C597" s="8"/>
      <c r="D597" s="8" t="s">
        <v>5817</v>
      </c>
      <c r="E597" s="8"/>
      <c r="F597" s="8" t="s">
        <v>73</v>
      </c>
      <c r="G597" s="8" t="s">
        <v>5818</v>
      </c>
      <c r="H597" s="8" t="s">
        <v>78</v>
      </c>
      <c r="I597" s="8" t="s">
        <v>208</v>
      </c>
      <c r="J597" s="8" t="n">
        <v>1</v>
      </c>
      <c r="K597" s="8" t="n">
        <v>3</v>
      </c>
      <c r="L597" s="18" t="n">
        <f aca="false">INDEX('All Items'!$Q:$Q,MATCH($A597,'All Items'!$A:$A,0))</f>
        <v>7.4</v>
      </c>
      <c r="M597" s="8" t="s">
        <v>2009</v>
      </c>
      <c r="N597" s="8" t="s">
        <v>5819</v>
      </c>
      <c r="O597" s="8" t="s">
        <v>213</v>
      </c>
      <c r="P597" s="8" t="s">
        <v>5820</v>
      </c>
      <c r="Q597" s="8" t="s">
        <v>5821</v>
      </c>
      <c r="R597" s="8" t="s">
        <v>5822</v>
      </c>
      <c r="S597" s="19" t="s">
        <v>5823</v>
      </c>
      <c r="T597" s="8" t="s">
        <v>5824</v>
      </c>
      <c r="U597" s="8" t="s">
        <v>5821</v>
      </c>
      <c r="V597" s="8" t="n">
        <f aca="false">COUNTA(M597:R597)</f>
        <v>6</v>
      </c>
      <c r="W597" s="8" t="s">
        <v>218</v>
      </c>
      <c r="X597" s="8" t="s">
        <v>259</v>
      </c>
      <c r="Y597" s="8" t="s">
        <v>259</v>
      </c>
      <c r="Z597" s="8" t="s">
        <v>5825</v>
      </c>
      <c r="AA597" s="8" t="s">
        <v>5826</v>
      </c>
      <c r="AB597" s="20"/>
      <c r="AC597" s="20"/>
      <c r="AD597" s="20"/>
      <c r="AE597" s="8" t="s">
        <v>237</v>
      </c>
      <c r="AF597" s="8" t="s">
        <v>224</v>
      </c>
    </row>
    <row r="598" customFormat="false" ht="15" hidden="false" customHeight="false" outlineLevel="0" collapsed="false">
      <c r="A598" s="8" t="s">
        <v>5827</v>
      </c>
      <c r="B598" s="8" t="s">
        <v>5828</v>
      </c>
      <c r="C598" s="8"/>
      <c r="D598" s="8" t="s">
        <v>5829</v>
      </c>
      <c r="E598" s="8"/>
      <c r="F598" s="8" t="s">
        <v>73</v>
      </c>
      <c r="G598" s="8" t="s">
        <v>5830</v>
      </c>
      <c r="H598" s="8" t="s">
        <v>85</v>
      </c>
      <c r="I598" s="8" t="s">
        <v>208</v>
      </c>
      <c r="J598" s="8" t="n">
        <v>1</v>
      </c>
      <c r="K598" s="8" t="n">
        <v>3</v>
      </c>
      <c r="L598" s="18" t="n">
        <f aca="false">INDEX('All Items'!$Q:$Q,MATCH($A598,'All Items'!$A:$A,0))</f>
        <v>7.4</v>
      </c>
      <c r="M598" s="8" t="s">
        <v>4104</v>
      </c>
      <c r="N598" s="8" t="s">
        <v>5407</v>
      </c>
      <c r="O598" s="8" t="s">
        <v>5831</v>
      </c>
      <c r="P598" s="8" t="s">
        <v>3775</v>
      </c>
      <c r="Q598" s="8" t="s">
        <v>5832</v>
      </c>
      <c r="R598" s="8" t="s">
        <v>275</v>
      </c>
      <c r="S598" s="19" t="s">
        <v>5833</v>
      </c>
      <c r="T598" s="8" t="s">
        <v>5834</v>
      </c>
      <c r="U598" s="8" t="s">
        <v>5835</v>
      </c>
      <c r="V598" s="8" t="n">
        <f aca="false">COUNTA(M598:R598)</f>
        <v>6</v>
      </c>
      <c r="W598" s="8" t="s">
        <v>218</v>
      </c>
      <c r="X598" s="8" t="s">
        <v>259</v>
      </c>
      <c r="Y598" s="8" t="s">
        <v>259</v>
      </c>
      <c r="Z598" s="8" t="s">
        <v>5836</v>
      </c>
      <c r="AA598" s="8" t="s">
        <v>5837</v>
      </c>
      <c r="AB598" s="20" t="s">
        <v>5838</v>
      </c>
      <c r="AC598" s="20" t="s">
        <v>221</v>
      </c>
      <c r="AD598" s="20" t="s">
        <v>5839</v>
      </c>
      <c r="AE598" s="8" t="s">
        <v>223</v>
      </c>
      <c r="AF598" s="8" t="s">
        <v>224</v>
      </c>
    </row>
    <row r="599" customFormat="false" ht="15" hidden="false" customHeight="false" outlineLevel="0" collapsed="false">
      <c r="A599" s="8" t="s">
        <v>5840</v>
      </c>
      <c r="B599" s="8" t="s">
        <v>5841</v>
      </c>
      <c r="C599" s="8"/>
      <c r="D599" s="8" t="s">
        <v>5829</v>
      </c>
      <c r="E599" s="8"/>
      <c r="F599" s="8" t="s">
        <v>73</v>
      </c>
      <c r="G599" s="8" t="s">
        <v>5830</v>
      </c>
      <c r="H599" s="8" t="s">
        <v>83</v>
      </c>
      <c r="I599" s="8" t="s">
        <v>208</v>
      </c>
      <c r="J599" s="8" t="n">
        <v>2</v>
      </c>
      <c r="K599" s="8" t="n">
        <v>3</v>
      </c>
      <c r="L599" s="18" t="n">
        <f aca="false">INDEX('All Items'!$Q:$Q,MATCH($A599,'All Items'!$A:$A,0))</f>
        <v>7.4</v>
      </c>
      <c r="M599" s="8" t="s">
        <v>5842</v>
      </c>
      <c r="N599" s="8" t="s">
        <v>5843</v>
      </c>
      <c r="O599" s="8" t="s">
        <v>1307</v>
      </c>
      <c r="P599" s="8" t="s">
        <v>5844</v>
      </c>
      <c r="Q599" s="8" t="s">
        <v>5845</v>
      </c>
      <c r="R599" s="8" t="s">
        <v>5846</v>
      </c>
      <c r="S599" s="19" t="s">
        <v>5847</v>
      </c>
      <c r="T599" s="8" t="s">
        <v>5848</v>
      </c>
      <c r="U599" s="8" t="s">
        <v>5845</v>
      </c>
      <c r="V599" s="8" t="n">
        <f aca="false">COUNTA(M599:R599)</f>
        <v>6</v>
      </c>
      <c r="W599" s="8" t="s">
        <v>218</v>
      </c>
      <c r="X599" s="8" t="s">
        <v>259</v>
      </c>
      <c r="Y599" s="8" t="s">
        <v>218</v>
      </c>
      <c r="Z599" s="8"/>
      <c r="AA599" s="8" t="s">
        <v>5849</v>
      </c>
      <c r="AB599" s="20"/>
      <c r="AC599" s="20"/>
      <c r="AD599" s="20"/>
      <c r="AE599" s="8" t="s">
        <v>237</v>
      </c>
      <c r="AF599" s="8" t="s">
        <v>224</v>
      </c>
    </row>
    <row r="600" customFormat="false" ht="15" hidden="false" customHeight="false" outlineLevel="0" collapsed="false">
      <c r="A600" s="8" t="s">
        <v>5850</v>
      </c>
      <c r="B600" s="8" t="s">
        <v>5851</v>
      </c>
      <c r="C600" s="8"/>
      <c r="D600" s="8" t="s">
        <v>5852</v>
      </c>
      <c r="E600" s="8"/>
      <c r="F600" s="8" t="s">
        <v>73</v>
      </c>
      <c r="G600" s="8" t="s">
        <v>5830</v>
      </c>
      <c r="H600" s="8" t="s">
        <v>86</v>
      </c>
      <c r="I600" s="8" t="s">
        <v>273</v>
      </c>
      <c r="J600" s="8" t="n">
        <v>2</v>
      </c>
      <c r="K600" s="8" t="n">
        <v>3</v>
      </c>
      <c r="L600" s="18" t="n">
        <f aca="false">INDEX('All Items'!$Q:$Q,MATCH($A600,'All Items'!$A:$A,0))</f>
        <v>7.15</v>
      </c>
      <c r="M600" s="8" t="s">
        <v>3083</v>
      </c>
      <c r="N600" s="8" t="s">
        <v>5803</v>
      </c>
      <c r="O600" s="8" t="s">
        <v>5853</v>
      </c>
      <c r="P600" s="8" t="s">
        <v>5854</v>
      </c>
      <c r="Q600" s="8" t="s">
        <v>5855</v>
      </c>
      <c r="R600" s="8" t="s">
        <v>5832</v>
      </c>
      <c r="S600" s="19" t="s">
        <v>5856</v>
      </c>
      <c r="T600" s="8" t="s">
        <v>5857</v>
      </c>
      <c r="U600" s="8"/>
      <c r="V600" s="8" t="n">
        <f aca="false">COUNTA(M600:R600)</f>
        <v>6</v>
      </c>
      <c r="W600" s="8" t="s">
        <v>218</v>
      </c>
      <c r="X600" s="8" t="s">
        <v>259</v>
      </c>
      <c r="Y600" s="8" t="s">
        <v>259</v>
      </c>
      <c r="Z600" s="8" t="s">
        <v>5858</v>
      </c>
      <c r="AA600" s="8" t="s">
        <v>5859</v>
      </c>
      <c r="AB600" s="20"/>
      <c r="AC600" s="20"/>
      <c r="AD600" s="20"/>
      <c r="AE600" s="8" t="s">
        <v>237</v>
      </c>
      <c r="AF600" s="8" t="s">
        <v>224</v>
      </c>
    </row>
    <row r="601" customFormat="false" ht="15" hidden="false" customHeight="false" outlineLevel="0" collapsed="false">
      <c r="A601" s="8" t="s">
        <v>5860</v>
      </c>
      <c r="B601" s="8" t="s">
        <v>5861</v>
      </c>
      <c r="C601" s="8"/>
      <c r="D601" s="8" t="s">
        <v>5862</v>
      </c>
      <c r="E601" s="8"/>
      <c r="F601" s="8" t="s">
        <v>73</v>
      </c>
      <c r="G601" s="8" t="s">
        <v>5830</v>
      </c>
      <c r="H601" s="8" t="s">
        <v>85</v>
      </c>
      <c r="I601" s="8" t="s">
        <v>208</v>
      </c>
      <c r="J601" s="8" t="n">
        <v>2</v>
      </c>
      <c r="K601" s="8" t="n">
        <v>3</v>
      </c>
      <c r="L601" s="18" t="n">
        <f aca="false">INDEX('All Items'!$Q:$Q,MATCH($A601,'All Items'!$A:$A,0))</f>
        <v>7.4</v>
      </c>
      <c r="M601" s="8" t="s">
        <v>1371</v>
      </c>
      <c r="N601" s="8" t="s">
        <v>5854</v>
      </c>
      <c r="O601" s="8" t="s">
        <v>3493</v>
      </c>
      <c r="P601" s="8" t="s">
        <v>311</v>
      </c>
      <c r="Q601" s="8" t="s">
        <v>5863</v>
      </c>
      <c r="R601" s="8" t="s">
        <v>5864</v>
      </c>
      <c r="S601" s="19" t="s">
        <v>5865</v>
      </c>
      <c r="T601" s="8" t="s">
        <v>5866</v>
      </c>
      <c r="U601" s="8"/>
      <c r="V601" s="8" t="n">
        <f aca="false">COUNTA(M601:R601)</f>
        <v>6</v>
      </c>
      <c r="W601" s="8" t="s">
        <v>218</v>
      </c>
      <c r="X601" s="8" t="s">
        <v>259</v>
      </c>
      <c r="Y601" s="8" t="s">
        <v>218</v>
      </c>
      <c r="Z601" s="8"/>
      <c r="AA601" s="8" t="s">
        <v>5867</v>
      </c>
      <c r="AB601" s="20" t="s">
        <v>5868</v>
      </c>
      <c r="AC601" s="20" t="s">
        <v>5065</v>
      </c>
      <c r="AD601" s="20" t="s">
        <v>5869</v>
      </c>
      <c r="AE601" s="8" t="s">
        <v>223</v>
      </c>
      <c r="AF601" s="8" t="s">
        <v>224</v>
      </c>
    </row>
    <row r="602" customFormat="false" ht="15" hidden="false" customHeight="false" outlineLevel="0" collapsed="false">
      <c r="A602" s="8" t="s">
        <v>5870</v>
      </c>
      <c r="B602" s="8" t="s">
        <v>5871</v>
      </c>
      <c r="C602" s="8"/>
      <c r="D602" s="8" t="s">
        <v>5872</v>
      </c>
      <c r="E602" s="8"/>
      <c r="F602" s="8" t="s">
        <v>73</v>
      </c>
      <c r="G602" s="8" t="s">
        <v>5873</v>
      </c>
      <c r="H602" s="8" t="s">
        <v>78</v>
      </c>
      <c r="I602" s="8" t="s">
        <v>208</v>
      </c>
      <c r="J602" s="8" t="n">
        <v>2</v>
      </c>
      <c r="K602" s="8" t="n">
        <v>3</v>
      </c>
      <c r="L602" s="18" t="n">
        <f aca="false">INDEX('All Items'!$Q:$Q,MATCH($A602,'All Items'!$A:$A,0))</f>
        <v>7.4</v>
      </c>
      <c r="M602" s="8" t="s">
        <v>366</v>
      </c>
      <c r="N602" s="8" t="s">
        <v>4623</v>
      </c>
      <c r="O602" s="8" t="s">
        <v>5874</v>
      </c>
      <c r="P602" s="8" t="s">
        <v>3793</v>
      </c>
      <c r="Q602" s="8" t="s">
        <v>5875</v>
      </c>
      <c r="R602" s="8" t="s">
        <v>5876</v>
      </c>
      <c r="S602" s="19" t="s">
        <v>5877</v>
      </c>
      <c r="T602" s="8" t="s">
        <v>5878</v>
      </c>
      <c r="U602" s="8"/>
      <c r="V602" s="8" t="n">
        <f aca="false">COUNTA(M602:R602)</f>
        <v>6</v>
      </c>
      <c r="W602" s="8" t="s">
        <v>218</v>
      </c>
      <c r="X602" s="8" t="s">
        <v>259</v>
      </c>
      <c r="Y602" s="8" t="s">
        <v>218</v>
      </c>
      <c r="Z602" s="8"/>
      <c r="AA602" s="8" t="s">
        <v>5879</v>
      </c>
      <c r="AB602" s="20" t="s">
        <v>5880</v>
      </c>
      <c r="AC602" s="20" t="s">
        <v>221</v>
      </c>
      <c r="AD602" s="20" t="s">
        <v>5881</v>
      </c>
      <c r="AE602" s="8" t="s">
        <v>223</v>
      </c>
      <c r="AF602" s="8" t="s">
        <v>224</v>
      </c>
    </row>
    <row r="603" customFormat="false" ht="15" hidden="false" customHeight="false" outlineLevel="0" collapsed="false">
      <c r="A603" s="8" t="s">
        <v>5882</v>
      </c>
      <c r="B603" s="8" t="s">
        <v>5883</v>
      </c>
      <c r="C603" s="8"/>
      <c r="D603" s="8" t="s">
        <v>5872</v>
      </c>
      <c r="E603" s="8"/>
      <c r="F603" s="8" t="s">
        <v>73</v>
      </c>
      <c r="G603" s="8" t="s">
        <v>5873</v>
      </c>
      <c r="H603" s="8" t="s">
        <v>81</v>
      </c>
      <c r="I603" s="8" t="s">
        <v>208</v>
      </c>
      <c r="J603" s="8" t="n">
        <v>2</v>
      </c>
      <c r="K603" s="8" t="n">
        <v>3</v>
      </c>
      <c r="L603" s="18" t="n">
        <f aca="false">INDEX('All Items'!$Q:$Q,MATCH($A603,'All Items'!$A:$A,0))</f>
        <v>7.4</v>
      </c>
      <c r="M603" s="8" t="s">
        <v>668</v>
      </c>
      <c r="N603" s="8" t="s">
        <v>5884</v>
      </c>
      <c r="O603" s="8" t="s">
        <v>5885</v>
      </c>
      <c r="P603" s="8" t="s">
        <v>5886</v>
      </c>
      <c r="Q603" s="8" t="s">
        <v>5887</v>
      </c>
      <c r="R603" s="8" t="s">
        <v>5888</v>
      </c>
      <c r="S603" s="19" t="s">
        <v>5889</v>
      </c>
      <c r="T603" s="8" t="s">
        <v>5890</v>
      </c>
      <c r="U603" s="8"/>
      <c r="V603" s="8" t="n">
        <f aca="false">COUNTA(M603:R603)</f>
        <v>6</v>
      </c>
      <c r="W603" s="8" t="s">
        <v>218</v>
      </c>
      <c r="X603" s="8" t="s">
        <v>259</v>
      </c>
      <c r="Y603" s="8" t="s">
        <v>218</v>
      </c>
      <c r="Z603" s="8"/>
      <c r="AA603" s="8" t="s">
        <v>5891</v>
      </c>
      <c r="AB603" s="20"/>
      <c r="AC603" s="20"/>
      <c r="AD603" s="20"/>
      <c r="AE603" s="8" t="s">
        <v>237</v>
      </c>
      <c r="AF603" s="8" t="s">
        <v>224</v>
      </c>
    </row>
    <row r="604" customFormat="false" ht="15" hidden="false" customHeight="false" outlineLevel="0" collapsed="false">
      <c r="A604" s="8" t="s">
        <v>5892</v>
      </c>
      <c r="B604" s="8" t="s">
        <v>5893</v>
      </c>
      <c r="C604" s="8"/>
      <c r="D604" s="8" t="s">
        <v>5872</v>
      </c>
      <c r="E604" s="8"/>
      <c r="F604" s="8" t="s">
        <v>73</v>
      </c>
      <c r="G604" s="8" t="s">
        <v>5873</v>
      </c>
      <c r="H604" s="8" t="s">
        <v>79</v>
      </c>
      <c r="I604" s="8" t="s">
        <v>208</v>
      </c>
      <c r="J604" s="8" t="n">
        <v>2</v>
      </c>
      <c r="K604" s="8" t="n">
        <v>3</v>
      </c>
      <c r="L604" s="18" t="n">
        <f aca="false">INDEX('All Items'!$Q:$Q,MATCH($A604,'All Items'!$A:$A,0))</f>
        <v>7.15</v>
      </c>
      <c r="M604" s="8" t="s">
        <v>1004</v>
      </c>
      <c r="N604" s="8" t="s">
        <v>355</v>
      </c>
      <c r="O604" s="8" t="s">
        <v>5894</v>
      </c>
      <c r="P604" s="8" t="s">
        <v>1307</v>
      </c>
      <c r="Q604" s="8" t="s">
        <v>5895</v>
      </c>
      <c r="R604" s="8" t="s">
        <v>5876</v>
      </c>
      <c r="S604" s="19" t="s">
        <v>5896</v>
      </c>
      <c r="T604" s="8" t="s">
        <v>5897</v>
      </c>
      <c r="U604" s="8"/>
      <c r="V604" s="8" t="n">
        <f aca="false">COUNTA(M604:R604)</f>
        <v>6</v>
      </c>
      <c r="W604" s="8" t="s">
        <v>218</v>
      </c>
      <c r="X604" s="8" t="s">
        <v>259</v>
      </c>
      <c r="Y604" s="8" t="s">
        <v>218</v>
      </c>
      <c r="Z604" s="8"/>
      <c r="AA604" s="8" t="s">
        <v>5898</v>
      </c>
      <c r="AB604" s="20" t="s">
        <v>5899</v>
      </c>
      <c r="AC604" s="20" t="s">
        <v>1174</v>
      </c>
      <c r="AD604" s="20" t="s">
        <v>5900</v>
      </c>
      <c r="AE604" s="8" t="s">
        <v>223</v>
      </c>
      <c r="AF604" s="8" t="s">
        <v>224</v>
      </c>
    </row>
    <row r="605" customFormat="false" ht="15" hidden="false" customHeight="false" outlineLevel="0" collapsed="false">
      <c r="A605" s="8" t="s">
        <v>5901</v>
      </c>
      <c r="B605" s="8" t="s">
        <v>5902</v>
      </c>
      <c r="C605" s="8"/>
      <c r="D605" s="8" t="s">
        <v>5903</v>
      </c>
      <c r="E605" s="8"/>
      <c r="F605" s="8" t="s">
        <v>73</v>
      </c>
      <c r="G605" s="8" t="s">
        <v>5818</v>
      </c>
      <c r="H605" s="8" t="s">
        <v>78</v>
      </c>
      <c r="I605" s="8" t="s">
        <v>208</v>
      </c>
      <c r="J605" s="8" t="n">
        <v>2</v>
      </c>
      <c r="K605" s="8" t="n">
        <v>3</v>
      </c>
      <c r="L605" s="18" t="n">
        <f aca="false">INDEX('All Items'!$Q:$Q,MATCH($A605,'All Items'!$A:$A,0))</f>
        <v>7.15</v>
      </c>
      <c r="M605" s="8" t="s">
        <v>5904</v>
      </c>
      <c r="N605" s="8" t="s">
        <v>5905</v>
      </c>
      <c r="O605" s="8" t="s">
        <v>5906</v>
      </c>
      <c r="P605" s="8" t="s">
        <v>5907</v>
      </c>
      <c r="Q605" s="8" t="s">
        <v>5908</v>
      </c>
      <c r="R605" s="8" t="s">
        <v>5909</v>
      </c>
      <c r="S605" s="19" t="s">
        <v>5910</v>
      </c>
      <c r="T605" s="8" t="s">
        <v>5911</v>
      </c>
      <c r="U605" s="8"/>
      <c r="V605" s="8" t="n">
        <f aca="false">COUNTA(M605:R605)</f>
        <v>6</v>
      </c>
      <c r="W605" s="8" t="s">
        <v>218</v>
      </c>
      <c r="X605" s="8" t="s">
        <v>259</v>
      </c>
      <c r="Y605" s="8" t="s">
        <v>218</v>
      </c>
      <c r="Z605" s="8"/>
      <c r="AA605" s="8" t="s">
        <v>5912</v>
      </c>
      <c r="AB605" s="20"/>
      <c r="AC605" s="20"/>
      <c r="AD605" s="20"/>
      <c r="AE605" s="8" t="s">
        <v>237</v>
      </c>
      <c r="AF605" s="8" t="s">
        <v>224</v>
      </c>
    </row>
    <row r="606" customFormat="false" ht="15" hidden="false" customHeight="false" outlineLevel="0" collapsed="false">
      <c r="A606" s="8" t="s">
        <v>5913</v>
      </c>
      <c r="B606" s="8" t="s">
        <v>5914</v>
      </c>
      <c r="C606" s="8"/>
      <c r="D606" s="8" t="s">
        <v>5915</v>
      </c>
      <c r="E606" s="8"/>
      <c r="F606" s="8" t="s">
        <v>74</v>
      </c>
      <c r="G606" s="8" t="s">
        <v>5916</v>
      </c>
      <c r="H606" s="8" t="s">
        <v>79</v>
      </c>
      <c r="I606" s="8" t="s">
        <v>208</v>
      </c>
      <c r="J606" s="8" t="n">
        <v>1</v>
      </c>
      <c r="K606" s="8" t="n">
        <v>3</v>
      </c>
      <c r="L606" s="18" t="n">
        <f aca="false">INDEX('All Items'!$Q:$Q,MATCH($A606,'All Items'!$A:$A,0))</f>
        <v>7.15</v>
      </c>
      <c r="M606" s="8" t="s">
        <v>4471</v>
      </c>
      <c r="N606" s="8" t="s">
        <v>5006</v>
      </c>
      <c r="O606" s="8" t="s">
        <v>2743</v>
      </c>
      <c r="P606" s="8" t="s">
        <v>3793</v>
      </c>
      <c r="Q606" s="8" t="s">
        <v>5917</v>
      </c>
      <c r="R606" s="8" t="s">
        <v>5918</v>
      </c>
      <c r="S606" s="19" t="s">
        <v>5919</v>
      </c>
      <c r="T606" s="8" t="s">
        <v>5920</v>
      </c>
      <c r="U606" s="8" t="s">
        <v>5917</v>
      </c>
      <c r="V606" s="8" t="n">
        <f aca="false">COUNTA(M606:R606)</f>
        <v>6</v>
      </c>
      <c r="W606" s="8" t="s">
        <v>218</v>
      </c>
      <c r="X606" s="8" t="s">
        <v>259</v>
      </c>
      <c r="Y606" s="8" t="s">
        <v>218</v>
      </c>
      <c r="Z606" s="8"/>
      <c r="AA606" s="8" t="s">
        <v>5921</v>
      </c>
      <c r="AB606" s="20" t="s">
        <v>5922</v>
      </c>
      <c r="AC606" s="20" t="s">
        <v>1174</v>
      </c>
      <c r="AD606" s="20" t="s">
        <v>5923</v>
      </c>
      <c r="AE606" s="8" t="s">
        <v>223</v>
      </c>
      <c r="AF606" s="8" t="s">
        <v>224</v>
      </c>
    </row>
    <row r="607" customFormat="false" ht="15" hidden="false" customHeight="false" outlineLevel="0" collapsed="false">
      <c r="A607" s="8" t="s">
        <v>5924</v>
      </c>
      <c r="B607" s="8" t="s">
        <v>5925</v>
      </c>
      <c r="C607" s="8"/>
      <c r="D607" s="8" t="s">
        <v>5926</v>
      </c>
      <c r="E607" s="8"/>
      <c r="F607" s="8" t="s">
        <v>74</v>
      </c>
      <c r="G607" s="8" t="s">
        <v>5916</v>
      </c>
      <c r="H607" s="8" t="s">
        <v>80</v>
      </c>
      <c r="I607" s="8" t="s">
        <v>1030</v>
      </c>
      <c r="J607" s="8" t="n">
        <v>1</v>
      </c>
      <c r="K607" s="8" t="n">
        <v>4</v>
      </c>
      <c r="L607" s="18" t="n">
        <f aca="false">INDEX('All Items'!$Q:$Q,MATCH($A607,'All Items'!$A:$A,0))</f>
        <v>8.45</v>
      </c>
      <c r="M607" s="8" t="s">
        <v>3949</v>
      </c>
      <c r="N607" s="8" t="s">
        <v>345</v>
      </c>
      <c r="O607" s="8" t="s">
        <v>5927</v>
      </c>
      <c r="P607" s="8" t="s">
        <v>5928</v>
      </c>
      <c r="Q607" s="8" t="s">
        <v>5916</v>
      </c>
      <c r="R607" s="8"/>
      <c r="S607" s="19" t="s">
        <v>5929</v>
      </c>
      <c r="T607" s="8" t="s">
        <v>5930</v>
      </c>
      <c r="U607" s="8"/>
      <c r="V607" s="8" t="n">
        <f aca="false">COUNTA(M607:R607)</f>
        <v>5</v>
      </c>
      <c r="W607" s="8" t="s">
        <v>218</v>
      </c>
      <c r="X607" s="8" t="s">
        <v>259</v>
      </c>
      <c r="Y607" s="8" t="s">
        <v>259</v>
      </c>
      <c r="Z607" s="8" t="s">
        <v>5931</v>
      </c>
      <c r="AA607" s="8" t="s">
        <v>5932</v>
      </c>
      <c r="AB607" s="20"/>
      <c r="AC607" s="20"/>
      <c r="AD607" s="20"/>
      <c r="AE607" s="8" t="s">
        <v>237</v>
      </c>
      <c r="AF607" s="8" t="s">
        <v>224</v>
      </c>
    </row>
    <row r="608" customFormat="false" ht="15" hidden="false" customHeight="false" outlineLevel="0" collapsed="false">
      <c r="A608" s="8" t="s">
        <v>5933</v>
      </c>
      <c r="B608" s="8" t="s">
        <v>5934</v>
      </c>
      <c r="C608" s="8"/>
      <c r="D608" s="8" t="s">
        <v>5915</v>
      </c>
      <c r="E608" s="8"/>
      <c r="F608" s="8" t="s">
        <v>74</v>
      </c>
      <c r="G608" s="8" t="s">
        <v>5916</v>
      </c>
      <c r="H608" s="8" t="s">
        <v>80</v>
      </c>
      <c r="I608" s="8" t="s">
        <v>1030</v>
      </c>
      <c r="J608" s="8" t="n">
        <v>2</v>
      </c>
      <c r="K608" s="8" t="n">
        <v>3</v>
      </c>
      <c r="L608" s="18" t="n">
        <f aca="false">INDEX('All Items'!$Q:$Q,MATCH($A608,'All Items'!$A:$A,0))</f>
        <v>7.15</v>
      </c>
      <c r="M608" s="8" t="s">
        <v>214</v>
      </c>
      <c r="N608" s="8" t="s">
        <v>5935</v>
      </c>
      <c r="O608" s="8" t="s">
        <v>4528</v>
      </c>
      <c r="P608" s="8" t="s">
        <v>2497</v>
      </c>
      <c r="Q608" s="8" t="s">
        <v>5936</v>
      </c>
      <c r="R608" s="8" t="s">
        <v>5918</v>
      </c>
      <c r="S608" s="19" t="s">
        <v>5937</v>
      </c>
      <c r="T608" s="8" t="s">
        <v>5938</v>
      </c>
      <c r="U608" s="8"/>
      <c r="V608" s="8" t="n">
        <f aca="false">COUNTA(M608:R608)</f>
        <v>6</v>
      </c>
      <c r="W608" s="8" t="s">
        <v>218</v>
      </c>
      <c r="X608" s="8" t="s">
        <v>259</v>
      </c>
      <c r="Y608" s="8" t="s">
        <v>218</v>
      </c>
      <c r="Z608" s="8"/>
      <c r="AA608" s="8" t="s">
        <v>5939</v>
      </c>
      <c r="AB608" s="20"/>
      <c r="AC608" s="20"/>
      <c r="AD608" s="20"/>
      <c r="AE608" s="8" t="s">
        <v>237</v>
      </c>
      <c r="AF608" s="8" t="s">
        <v>224</v>
      </c>
    </row>
    <row r="609" customFormat="false" ht="15" hidden="false" customHeight="false" outlineLevel="0" collapsed="false">
      <c r="A609" s="8" t="s">
        <v>5940</v>
      </c>
      <c r="B609" s="8" t="s">
        <v>5941</v>
      </c>
      <c r="C609" s="8"/>
      <c r="D609" s="8" t="s">
        <v>5915</v>
      </c>
      <c r="E609" s="8"/>
      <c r="F609" s="8" t="s">
        <v>74</v>
      </c>
      <c r="G609" s="8" t="s">
        <v>5916</v>
      </c>
      <c r="H609" s="8" t="s">
        <v>82</v>
      </c>
      <c r="I609" s="8" t="s">
        <v>273</v>
      </c>
      <c r="J609" s="8" t="n">
        <v>2</v>
      </c>
      <c r="K609" s="8" t="n">
        <v>3</v>
      </c>
      <c r="L609" s="18" t="n">
        <f aca="false">INDEX('All Items'!$Q:$Q,MATCH($A609,'All Items'!$A:$A,0))</f>
        <v>6.9</v>
      </c>
      <c r="M609" s="8" t="s">
        <v>214</v>
      </c>
      <c r="N609" s="8" t="s">
        <v>5942</v>
      </c>
      <c r="O609" s="8" t="s">
        <v>5943</v>
      </c>
      <c r="P609" s="8" t="s">
        <v>5918</v>
      </c>
      <c r="Q609" s="8" t="s">
        <v>3626</v>
      </c>
      <c r="R609" s="8"/>
      <c r="S609" s="19" t="s">
        <v>5944</v>
      </c>
      <c r="T609" s="8" t="s">
        <v>5945</v>
      </c>
      <c r="U609" s="8" t="s">
        <v>5946</v>
      </c>
      <c r="V609" s="8" t="n">
        <f aca="false">COUNTA(M609:R609)</f>
        <v>5</v>
      </c>
      <c r="W609" s="8" t="s">
        <v>218</v>
      </c>
      <c r="X609" s="8" t="s">
        <v>259</v>
      </c>
      <c r="Y609" s="8" t="s">
        <v>218</v>
      </c>
      <c r="Z609" s="8"/>
      <c r="AA609" s="8" t="s">
        <v>5947</v>
      </c>
      <c r="AB609" s="20"/>
      <c r="AC609" s="20"/>
      <c r="AD609" s="20"/>
      <c r="AE609" s="8" t="s">
        <v>237</v>
      </c>
      <c r="AF609" s="8" t="s">
        <v>224</v>
      </c>
    </row>
    <row r="610" customFormat="false" ht="15" hidden="false" customHeight="false" outlineLevel="0" collapsed="false">
      <c r="A610" s="8" t="s">
        <v>5948</v>
      </c>
      <c r="B610" s="8" t="s">
        <v>5949</v>
      </c>
      <c r="C610" s="8"/>
      <c r="D610" s="8" t="s">
        <v>5046</v>
      </c>
      <c r="E610" s="8"/>
      <c r="F610" s="8" t="s">
        <v>72</v>
      </c>
      <c r="G610" s="8" t="s">
        <v>5047</v>
      </c>
      <c r="H610" s="8" t="s">
        <v>85</v>
      </c>
      <c r="I610" s="8" t="s">
        <v>208</v>
      </c>
      <c r="J610" s="8" t="n">
        <v>2</v>
      </c>
      <c r="K610" s="8" t="n">
        <v>4</v>
      </c>
      <c r="L610" s="18" t="n">
        <f aca="false">INDEX('All Items'!$Q:$Q,MATCH($A610,'All Items'!$A:$A,0))</f>
        <v>8.7</v>
      </c>
      <c r="M610" s="8" t="s">
        <v>686</v>
      </c>
      <c r="N610" s="8" t="s">
        <v>5950</v>
      </c>
      <c r="O610" s="8" t="s">
        <v>5951</v>
      </c>
      <c r="P610" s="8" t="s">
        <v>5952</v>
      </c>
      <c r="Q610" s="8" t="s">
        <v>5953</v>
      </c>
      <c r="R610" s="8" t="s">
        <v>5954</v>
      </c>
      <c r="S610" s="19" t="s">
        <v>5955</v>
      </c>
      <c r="T610" s="8" t="s">
        <v>5956</v>
      </c>
      <c r="U610" s="8"/>
      <c r="V610" s="8" t="n">
        <f aca="false">COUNTA(M610:R610)</f>
        <v>6</v>
      </c>
      <c r="W610" s="8" t="s">
        <v>218</v>
      </c>
      <c r="X610" s="8" t="s">
        <v>259</v>
      </c>
      <c r="Y610" s="8" t="s">
        <v>218</v>
      </c>
      <c r="Z610" s="8"/>
      <c r="AA610" s="8" t="s">
        <v>5957</v>
      </c>
      <c r="AB610" s="20"/>
      <c r="AC610" s="20"/>
      <c r="AD610" s="20"/>
      <c r="AE610" s="8" t="s">
        <v>237</v>
      </c>
      <c r="AF610" s="8" t="s">
        <v>224</v>
      </c>
    </row>
  </sheetData>
  <autoFilter ref="A1:AF6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8"/>
    <col collapsed="false" customWidth="true" hidden="false" outlineLevel="0" max="5" min="4" style="0" width="14"/>
    <col collapsed="false" customWidth="true" hidden="false" outlineLevel="0" max="6" min="6" style="0" width="10"/>
    <col collapsed="false" customWidth="true" hidden="false" outlineLevel="0" max="7" min="7" style="0" width="16"/>
    <col collapsed="false" customWidth="true" hidden="false" outlineLevel="0" max="8" min="8" style="0" width="10"/>
    <col collapsed="false" customWidth="true" hidden="false" outlineLevel="0" max="9" min="9" style="0" width="9"/>
    <col collapsed="false" customWidth="true" hidden="false" outlineLevel="0" max="10" min="10" style="0" width="14"/>
    <col collapsed="false" customWidth="true" hidden="false" outlineLevel="0" max="11" min="11" style="0" width="8"/>
    <col collapsed="false" customWidth="true" hidden="false" outlineLevel="0" max="12" min="12" style="0" width="10"/>
    <col collapsed="false" customWidth="true" hidden="false" outlineLevel="0" max="13" min="13" style="0" width="8"/>
    <col collapsed="false" customWidth="true" hidden="false" outlineLevel="0" max="19" min="14" style="0" width="20"/>
    <col collapsed="false" customWidth="true" hidden="false" outlineLevel="0" max="20" min="20" style="0" width="52"/>
    <col collapsed="false" customWidth="true" hidden="false" outlineLevel="0" max="21" min="21" style="0" width="30"/>
    <col collapsed="false" customWidth="true" hidden="false" outlineLevel="0" max="22" min="22" style="0" width="20"/>
    <col collapsed="false" customWidth="true" hidden="false" outlineLevel="0" max="26" min="23" style="0" width="8"/>
    <col collapsed="false" customWidth="true" hidden="false" outlineLevel="0" max="27" min="27" style="0" width="28"/>
    <col collapsed="false" customWidth="true" hidden="false" outlineLevel="0" max="28" min="28" style="0" width="16"/>
    <col collapsed="false" customWidth="true" hidden="false" outlineLevel="0" max="29" min="29" style="0" width="30"/>
    <col collapsed="false" customWidth="true" hidden="false" outlineLevel="0" max="30" min="30" style="0" width="14"/>
    <col collapsed="false" customWidth="true" hidden="false" outlineLevel="0" max="31" min="31" style="0" width="18"/>
    <col collapsed="false" customWidth="true" hidden="false" outlineLevel="0" max="32" min="32" style="0" width="16"/>
    <col collapsed="false" customWidth="true" hidden="false" outlineLevel="0" max="33" min="33" style="0" width="20"/>
  </cols>
  <sheetData>
    <row r="1" customFormat="false" ht="30" hidden="false" customHeight="true" outlineLevel="0" collapsed="false">
      <c r="A1" s="17" t="s">
        <v>177</v>
      </c>
      <c r="B1" s="17" t="s">
        <v>5958</v>
      </c>
      <c r="C1" s="17" t="s">
        <v>179</v>
      </c>
      <c r="D1" s="17" t="s">
        <v>180</v>
      </c>
      <c r="E1" s="17" t="s">
        <v>102</v>
      </c>
      <c r="F1" s="17" t="s">
        <v>69</v>
      </c>
      <c r="G1" s="17" t="s">
        <v>181</v>
      </c>
      <c r="H1" s="17" t="s">
        <v>91</v>
      </c>
      <c r="I1" s="17" t="s">
        <v>5959</v>
      </c>
      <c r="J1" s="17" t="s">
        <v>5960</v>
      </c>
      <c r="K1" s="17" t="s">
        <v>183</v>
      </c>
      <c r="L1" s="17" t="s">
        <v>153</v>
      </c>
      <c r="M1" s="17" t="s">
        <v>184</v>
      </c>
      <c r="N1" s="17" t="s">
        <v>185</v>
      </c>
      <c r="O1" s="17" t="s">
        <v>186</v>
      </c>
      <c r="P1" s="17" t="s">
        <v>187</v>
      </c>
      <c r="Q1" s="17" t="s">
        <v>188</v>
      </c>
      <c r="R1" s="17" t="s">
        <v>189</v>
      </c>
      <c r="S1" s="17" t="s">
        <v>190</v>
      </c>
      <c r="T1" s="17" t="s">
        <v>38</v>
      </c>
      <c r="U1" s="17" t="s">
        <v>191</v>
      </c>
      <c r="V1" s="17" t="s">
        <v>192</v>
      </c>
      <c r="W1" s="17" t="s">
        <v>193</v>
      </c>
      <c r="X1" s="17" t="s">
        <v>194</v>
      </c>
      <c r="Y1" s="17" t="s">
        <v>195</v>
      </c>
      <c r="Z1" s="17" t="s">
        <v>196</v>
      </c>
      <c r="AA1" s="17" t="s">
        <v>197</v>
      </c>
      <c r="AB1" s="17" t="s">
        <v>198</v>
      </c>
      <c r="AC1" s="17" t="s">
        <v>199</v>
      </c>
      <c r="AD1" s="17" t="s">
        <v>200</v>
      </c>
      <c r="AE1" s="17" t="s">
        <v>201</v>
      </c>
      <c r="AF1" s="17" t="s">
        <v>202</v>
      </c>
      <c r="AG1" s="17" t="s">
        <v>5</v>
      </c>
    </row>
    <row r="2" customFormat="false" ht="15" hidden="false" customHeight="false" outlineLevel="0" collapsed="false">
      <c r="A2" s="8" t="s">
        <v>5961</v>
      </c>
      <c r="B2" s="8" t="s">
        <v>5962</v>
      </c>
      <c r="C2" s="8"/>
      <c r="D2" s="8" t="s">
        <v>5425</v>
      </c>
      <c r="E2" s="8"/>
      <c r="F2" s="8" t="s">
        <v>72</v>
      </c>
      <c r="G2" s="8" t="s">
        <v>5406</v>
      </c>
      <c r="H2" s="8" t="s">
        <v>92</v>
      </c>
      <c r="I2" s="8" t="s">
        <v>218</v>
      </c>
      <c r="J2" s="8" t="s">
        <v>5963</v>
      </c>
      <c r="K2" s="8" t="n">
        <v>1</v>
      </c>
      <c r="L2" s="8" t="n">
        <v>5</v>
      </c>
      <c r="M2" s="18" t="n">
        <f aca="false">INDEX('All Items'!$Q:$Q,MATCH($A2,'All Items'!$A:$A,0))</f>
        <v>9.75</v>
      </c>
      <c r="N2" s="8" t="s">
        <v>5964</v>
      </c>
      <c r="O2" s="8" t="s">
        <v>552</v>
      </c>
      <c r="P2" s="8" t="s">
        <v>5965</v>
      </c>
      <c r="Q2" s="8" t="s">
        <v>388</v>
      </c>
      <c r="R2" s="8" t="s">
        <v>5966</v>
      </c>
      <c r="S2" s="8" t="s">
        <v>5967</v>
      </c>
      <c r="T2" s="19" t="s">
        <v>5968</v>
      </c>
      <c r="U2" s="8" t="s">
        <v>5969</v>
      </c>
      <c r="V2" s="8"/>
      <c r="W2" s="8" t="n">
        <f aca="false">COUNTA(N2:S2)</f>
        <v>6</v>
      </c>
      <c r="X2" s="8" t="s">
        <v>218</v>
      </c>
      <c r="Y2" s="8" t="s">
        <v>259</v>
      </c>
      <c r="Z2" s="8" t="s">
        <v>218</v>
      </c>
      <c r="AA2" s="8"/>
      <c r="AB2" s="8" t="s">
        <v>5970</v>
      </c>
      <c r="AC2" s="20" t="s">
        <v>5971</v>
      </c>
      <c r="AD2" s="20" t="s">
        <v>1174</v>
      </c>
      <c r="AE2" s="20" t="s">
        <v>5972</v>
      </c>
      <c r="AF2" s="8" t="s">
        <v>223</v>
      </c>
      <c r="AG2" s="8" t="s">
        <v>224</v>
      </c>
    </row>
    <row r="3" customFormat="false" ht="15" hidden="false" customHeight="false" outlineLevel="0" collapsed="false">
      <c r="A3" s="8" t="s">
        <v>5973</v>
      </c>
      <c r="B3" s="8" t="s">
        <v>5974</v>
      </c>
      <c r="C3" s="8"/>
      <c r="D3" s="8" t="s">
        <v>5207</v>
      </c>
      <c r="E3" s="8"/>
      <c r="F3" s="8" t="s">
        <v>72</v>
      </c>
      <c r="G3" s="8" t="s">
        <v>5047</v>
      </c>
      <c r="H3" s="8" t="s">
        <v>92</v>
      </c>
      <c r="I3" s="8" t="s">
        <v>218</v>
      </c>
      <c r="J3" s="8" t="s">
        <v>5975</v>
      </c>
      <c r="K3" s="8" t="n">
        <v>1</v>
      </c>
      <c r="L3" s="8" t="n">
        <v>5</v>
      </c>
      <c r="M3" s="18" t="n">
        <f aca="false">INDEX('All Items'!$Q:$Q,MATCH($A3,'All Items'!$A:$A,0))</f>
        <v>9.75</v>
      </c>
      <c r="N3" s="8" t="s">
        <v>552</v>
      </c>
      <c r="O3" s="8" t="s">
        <v>5976</v>
      </c>
      <c r="P3" s="8" t="s">
        <v>5977</v>
      </c>
      <c r="Q3" s="8" t="s">
        <v>5978</v>
      </c>
      <c r="R3" s="8" t="s">
        <v>5979</v>
      </c>
      <c r="S3" s="8" t="s">
        <v>5276</v>
      </c>
      <c r="T3" s="19" t="s">
        <v>5980</v>
      </c>
      <c r="U3" s="8" t="s">
        <v>5981</v>
      </c>
      <c r="V3" s="8"/>
      <c r="W3" s="8" t="n">
        <f aca="false">COUNTA(N3:S3)</f>
        <v>6</v>
      </c>
      <c r="X3" s="8" t="s">
        <v>218</v>
      </c>
      <c r="Y3" s="8" t="s">
        <v>259</v>
      </c>
      <c r="Z3" s="8" t="s">
        <v>218</v>
      </c>
      <c r="AA3" s="8"/>
      <c r="AB3" s="8" t="s">
        <v>5982</v>
      </c>
      <c r="AC3" s="20"/>
      <c r="AD3" s="20"/>
      <c r="AE3" s="20"/>
      <c r="AF3" s="8" t="s">
        <v>237</v>
      </c>
      <c r="AG3" s="8" t="s">
        <v>224</v>
      </c>
    </row>
    <row r="4" customFormat="false" ht="15" hidden="false" customHeight="false" outlineLevel="0" collapsed="false">
      <c r="A4" s="8" t="s">
        <v>5983</v>
      </c>
      <c r="B4" s="8" t="s">
        <v>5984</v>
      </c>
      <c r="C4" s="8"/>
      <c r="D4" s="8" t="s">
        <v>5985</v>
      </c>
      <c r="E4" s="8"/>
      <c r="F4" s="8" t="s">
        <v>72</v>
      </c>
      <c r="G4" s="8" t="s">
        <v>5406</v>
      </c>
      <c r="H4" s="8" t="s">
        <v>92</v>
      </c>
      <c r="I4" s="8" t="s">
        <v>218</v>
      </c>
      <c r="J4" s="8" t="s">
        <v>5986</v>
      </c>
      <c r="K4" s="8" t="n">
        <v>1</v>
      </c>
      <c r="L4" s="8" t="n">
        <v>5</v>
      </c>
      <c r="M4" s="18" t="n">
        <f aca="false">INDEX('All Items'!$Q:$Q,MATCH($A4,'All Items'!$A:$A,0))</f>
        <v>9.75</v>
      </c>
      <c r="N4" s="8" t="s">
        <v>5987</v>
      </c>
      <c r="O4" s="8" t="s">
        <v>5965</v>
      </c>
      <c r="P4" s="8" t="s">
        <v>5988</v>
      </c>
      <c r="Q4" s="8" t="s">
        <v>5989</v>
      </c>
      <c r="R4" s="8" t="s">
        <v>5990</v>
      </c>
      <c r="S4" s="8" t="s">
        <v>5985</v>
      </c>
      <c r="T4" s="19" t="s">
        <v>5991</v>
      </c>
      <c r="U4" s="8" t="s">
        <v>5992</v>
      </c>
      <c r="V4" s="8"/>
      <c r="W4" s="8" t="n">
        <f aca="false">COUNTA(N4:S4)</f>
        <v>6</v>
      </c>
      <c r="X4" s="8" t="s">
        <v>218</v>
      </c>
      <c r="Y4" s="8" t="s">
        <v>259</v>
      </c>
      <c r="Z4" s="8" t="s">
        <v>218</v>
      </c>
      <c r="AA4" s="8"/>
      <c r="AB4" s="8" t="s">
        <v>5993</v>
      </c>
      <c r="AC4" s="20"/>
      <c r="AD4" s="20"/>
      <c r="AE4" s="20"/>
      <c r="AF4" s="8" t="s">
        <v>237</v>
      </c>
      <c r="AG4" s="8" t="s">
        <v>224</v>
      </c>
    </row>
    <row r="5" customFormat="false" ht="15" hidden="false" customHeight="false" outlineLevel="0" collapsed="false">
      <c r="A5" s="8" t="s">
        <v>5994</v>
      </c>
      <c r="B5" s="8" t="s">
        <v>5995</v>
      </c>
      <c r="C5" s="8"/>
      <c r="D5" s="8" t="s">
        <v>5046</v>
      </c>
      <c r="E5" s="8"/>
      <c r="F5" s="8" t="s">
        <v>72</v>
      </c>
      <c r="G5" s="8" t="s">
        <v>5047</v>
      </c>
      <c r="H5" s="8" t="s">
        <v>92</v>
      </c>
      <c r="I5" s="8" t="s">
        <v>218</v>
      </c>
      <c r="J5" s="8" t="s">
        <v>5996</v>
      </c>
      <c r="K5" s="8" t="n">
        <v>1</v>
      </c>
      <c r="L5" s="8" t="n">
        <v>4</v>
      </c>
      <c r="M5" s="18" t="n">
        <f aca="false">INDEX('All Items'!$Q:$Q,MATCH($A5,'All Items'!$A:$A,0))</f>
        <v>8.2</v>
      </c>
      <c r="N5" s="8" t="s">
        <v>4142</v>
      </c>
      <c r="O5" s="8" t="s">
        <v>5997</v>
      </c>
      <c r="P5" s="8" t="s">
        <v>5998</v>
      </c>
      <c r="Q5" s="8" t="s">
        <v>5999</v>
      </c>
      <c r="R5" s="8" t="s">
        <v>6000</v>
      </c>
      <c r="S5" s="8"/>
      <c r="T5" s="19" t="s">
        <v>6001</v>
      </c>
      <c r="U5" s="8" t="s">
        <v>6002</v>
      </c>
      <c r="V5" s="8"/>
      <c r="W5" s="8" t="n">
        <f aca="false">COUNTA(N5:S5)</f>
        <v>5</v>
      </c>
      <c r="X5" s="8" t="s">
        <v>218</v>
      </c>
      <c r="Y5" s="8" t="s">
        <v>259</v>
      </c>
      <c r="Z5" s="8" t="s">
        <v>218</v>
      </c>
      <c r="AA5" s="8"/>
      <c r="AB5" s="8" t="s">
        <v>6003</v>
      </c>
      <c r="AC5" s="20"/>
      <c r="AD5" s="20"/>
      <c r="AE5" s="20"/>
      <c r="AF5" s="8" t="s">
        <v>237</v>
      </c>
      <c r="AG5" s="8" t="s">
        <v>224</v>
      </c>
    </row>
    <row r="6" customFormat="false" ht="15" hidden="false" customHeight="false" outlineLevel="0" collapsed="false">
      <c r="A6" s="8" t="s">
        <v>6004</v>
      </c>
      <c r="B6" s="8" t="s">
        <v>6005</v>
      </c>
      <c r="C6" s="8"/>
      <c r="D6" s="8" t="s">
        <v>5046</v>
      </c>
      <c r="E6" s="8"/>
      <c r="F6" s="8" t="s">
        <v>72</v>
      </c>
      <c r="G6" s="8" t="s">
        <v>5047</v>
      </c>
      <c r="H6" s="8" t="s">
        <v>92</v>
      </c>
      <c r="I6" s="8" t="s">
        <v>218</v>
      </c>
      <c r="J6" s="8" t="s">
        <v>6006</v>
      </c>
      <c r="K6" s="8" t="n">
        <v>1</v>
      </c>
      <c r="L6" s="8" t="n">
        <v>4</v>
      </c>
      <c r="M6" s="18" t="n">
        <f aca="false">INDEX('All Items'!$Q:$Q,MATCH($A6,'All Items'!$A:$A,0))</f>
        <v>8.45</v>
      </c>
      <c r="N6" s="8" t="s">
        <v>6007</v>
      </c>
      <c r="O6" s="8" t="s">
        <v>4414</v>
      </c>
      <c r="P6" s="8" t="s">
        <v>6008</v>
      </c>
      <c r="Q6" s="8" t="s">
        <v>6009</v>
      </c>
      <c r="R6" s="8" t="s">
        <v>6010</v>
      </c>
      <c r="S6" s="8" t="s">
        <v>6011</v>
      </c>
      <c r="T6" s="19" t="s">
        <v>6012</v>
      </c>
      <c r="U6" s="8" t="s">
        <v>6013</v>
      </c>
      <c r="V6" s="8"/>
      <c r="W6" s="8" t="n">
        <f aca="false">COUNTA(N6:S6)</f>
        <v>6</v>
      </c>
      <c r="X6" s="8" t="s">
        <v>218</v>
      </c>
      <c r="Y6" s="8" t="s">
        <v>259</v>
      </c>
      <c r="Z6" s="8" t="s">
        <v>218</v>
      </c>
      <c r="AA6" s="8"/>
      <c r="AB6" s="8" t="s">
        <v>6014</v>
      </c>
      <c r="AC6" s="20"/>
      <c r="AD6" s="20"/>
      <c r="AE6" s="20"/>
      <c r="AF6" s="8" t="s">
        <v>237</v>
      </c>
      <c r="AG6" s="8" t="s">
        <v>224</v>
      </c>
    </row>
    <row r="7" customFormat="false" ht="15" hidden="false" customHeight="false" outlineLevel="0" collapsed="false">
      <c r="A7" s="8" t="s">
        <v>6015</v>
      </c>
      <c r="B7" s="8" t="s">
        <v>6016</v>
      </c>
      <c r="C7" s="8"/>
      <c r="D7" s="8" t="s">
        <v>3828</v>
      </c>
      <c r="E7" s="8"/>
      <c r="F7" s="8" t="s">
        <v>71</v>
      </c>
      <c r="G7" s="8" t="s">
        <v>3829</v>
      </c>
      <c r="H7" s="8" t="s">
        <v>92</v>
      </c>
      <c r="I7" s="8" t="s">
        <v>218</v>
      </c>
      <c r="J7" s="8" t="s">
        <v>5996</v>
      </c>
      <c r="K7" s="8" t="n">
        <v>1</v>
      </c>
      <c r="L7" s="8" t="n">
        <v>4</v>
      </c>
      <c r="M7" s="18" t="n">
        <f aca="false">INDEX('All Items'!$Q:$Q,MATCH($A7,'All Items'!$A:$A,0))</f>
        <v>8.45</v>
      </c>
      <c r="N7" s="8" t="s">
        <v>4142</v>
      </c>
      <c r="O7" s="8" t="s">
        <v>6017</v>
      </c>
      <c r="P7" s="8" t="s">
        <v>6009</v>
      </c>
      <c r="Q7" s="8" t="s">
        <v>6018</v>
      </c>
      <c r="R7" s="8" t="s">
        <v>6019</v>
      </c>
      <c r="S7" s="8" t="s">
        <v>6020</v>
      </c>
      <c r="T7" s="19" t="s">
        <v>6021</v>
      </c>
      <c r="U7" s="8" t="s">
        <v>6022</v>
      </c>
      <c r="V7" s="8"/>
      <c r="W7" s="8" t="n">
        <f aca="false">COUNTA(N7:S7)</f>
        <v>6</v>
      </c>
      <c r="X7" s="8" t="s">
        <v>218</v>
      </c>
      <c r="Y7" s="8" t="s">
        <v>259</v>
      </c>
      <c r="Z7" s="8" t="s">
        <v>218</v>
      </c>
      <c r="AA7" s="8"/>
      <c r="AB7" s="8" t="s">
        <v>6023</v>
      </c>
      <c r="AC7" s="20"/>
      <c r="AD7" s="20"/>
      <c r="AE7" s="20"/>
      <c r="AF7" s="8" t="s">
        <v>237</v>
      </c>
      <c r="AG7" s="8" t="s">
        <v>224</v>
      </c>
    </row>
    <row r="8" customFormat="false" ht="15" hidden="false" customHeight="false" outlineLevel="0" collapsed="false">
      <c r="A8" s="8" t="s">
        <v>6024</v>
      </c>
      <c r="B8" s="8" t="s">
        <v>6025</v>
      </c>
      <c r="C8" s="8"/>
      <c r="D8" s="8" t="s">
        <v>5046</v>
      </c>
      <c r="E8" s="8"/>
      <c r="F8" s="8" t="s">
        <v>72</v>
      </c>
      <c r="G8" s="8" t="s">
        <v>5047</v>
      </c>
      <c r="H8" s="8" t="s">
        <v>92</v>
      </c>
      <c r="I8" s="8" t="s">
        <v>218</v>
      </c>
      <c r="J8" s="8" t="s">
        <v>6006</v>
      </c>
      <c r="K8" s="8" t="n">
        <v>1</v>
      </c>
      <c r="L8" s="8" t="n">
        <v>4</v>
      </c>
      <c r="M8" s="18" t="n">
        <f aca="false">INDEX('All Items'!$Q:$Q,MATCH($A8,'All Items'!$A:$A,0))</f>
        <v>8.45</v>
      </c>
      <c r="N8" s="8" t="s">
        <v>552</v>
      </c>
      <c r="O8" s="8" t="s">
        <v>5977</v>
      </c>
      <c r="P8" s="8" t="s">
        <v>6026</v>
      </c>
      <c r="Q8" s="8" t="s">
        <v>6027</v>
      </c>
      <c r="R8" s="8" t="s">
        <v>6028</v>
      </c>
      <c r="S8" s="8" t="s">
        <v>6029</v>
      </c>
      <c r="T8" s="19" t="s">
        <v>6030</v>
      </c>
      <c r="U8" s="8" t="s">
        <v>6031</v>
      </c>
      <c r="V8" s="8"/>
      <c r="W8" s="8" t="n">
        <f aca="false">COUNTA(N8:S8)</f>
        <v>6</v>
      </c>
      <c r="X8" s="8" t="s">
        <v>218</v>
      </c>
      <c r="Y8" s="8" t="s">
        <v>259</v>
      </c>
      <c r="Z8" s="8" t="s">
        <v>218</v>
      </c>
      <c r="AA8" s="8"/>
      <c r="AB8" s="8" t="s">
        <v>6032</v>
      </c>
      <c r="AC8" s="20"/>
      <c r="AD8" s="20"/>
      <c r="AE8" s="20"/>
      <c r="AF8" s="8" t="s">
        <v>237</v>
      </c>
      <c r="AG8" s="8" t="s">
        <v>224</v>
      </c>
    </row>
    <row r="9" customFormat="false" ht="15" hidden="false" customHeight="false" outlineLevel="0" collapsed="false">
      <c r="A9" s="8" t="s">
        <v>6033</v>
      </c>
      <c r="B9" s="8" t="s">
        <v>6034</v>
      </c>
      <c r="C9" s="8"/>
      <c r="D9" s="8" t="s">
        <v>5425</v>
      </c>
      <c r="E9" s="8"/>
      <c r="F9" s="8" t="s">
        <v>72</v>
      </c>
      <c r="G9" s="8" t="s">
        <v>5406</v>
      </c>
      <c r="H9" s="8" t="s">
        <v>92</v>
      </c>
      <c r="I9" s="8" t="s">
        <v>218</v>
      </c>
      <c r="J9" s="8" t="s">
        <v>6035</v>
      </c>
      <c r="K9" s="8" t="n">
        <v>1</v>
      </c>
      <c r="L9" s="8" t="n">
        <v>4</v>
      </c>
      <c r="M9" s="18" t="n">
        <f aca="false">INDEX('All Items'!$Q:$Q,MATCH($A9,'All Items'!$A:$A,0))</f>
        <v>8.2</v>
      </c>
      <c r="N9" s="8" t="s">
        <v>552</v>
      </c>
      <c r="O9" s="8" t="s">
        <v>6036</v>
      </c>
      <c r="P9" s="8" t="s">
        <v>5965</v>
      </c>
      <c r="Q9" s="8" t="s">
        <v>6037</v>
      </c>
      <c r="R9" s="8" t="s">
        <v>6038</v>
      </c>
      <c r="S9" s="8" t="s">
        <v>6039</v>
      </c>
      <c r="T9" s="19" t="s">
        <v>6040</v>
      </c>
      <c r="U9" s="8" t="s">
        <v>6041</v>
      </c>
      <c r="V9" s="8"/>
      <c r="W9" s="8" t="n">
        <f aca="false">COUNTA(N9:S9)</f>
        <v>6</v>
      </c>
      <c r="X9" s="8" t="s">
        <v>218</v>
      </c>
      <c r="Y9" s="8" t="s">
        <v>259</v>
      </c>
      <c r="Z9" s="8" t="s">
        <v>218</v>
      </c>
      <c r="AA9" s="8"/>
      <c r="AB9" s="8" t="s">
        <v>6042</v>
      </c>
      <c r="AC9" s="20" t="s">
        <v>6043</v>
      </c>
      <c r="AD9" s="20" t="s">
        <v>1174</v>
      </c>
      <c r="AE9" s="20" t="s">
        <v>6044</v>
      </c>
      <c r="AF9" s="8" t="s">
        <v>223</v>
      </c>
      <c r="AG9" s="8" t="s">
        <v>224</v>
      </c>
    </row>
    <row r="10" customFormat="false" ht="15" hidden="false" customHeight="false" outlineLevel="0" collapsed="false">
      <c r="A10" s="8" t="s">
        <v>6045</v>
      </c>
      <c r="B10" s="8" t="s">
        <v>6046</v>
      </c>
      <c r="C10" s="8"/>
      <c r="D10" s="8" t="s">
        <v>5046</v>
      </c>
      <c r="E10" s="8"/>
      <c r="F10" s="8" t="s">
        <v>72</v>
      </c>
      <c r="G10" s="8" t="s">
        <v>5047</v>
      </c>
      <c r="H10" s="8" t="s">
        <v>92</v>
      </c>
      <c r="I10" s="8" t="s">
        <v>218</v>
      </c>
      <c r="J10" s="8" t="s">
        <v>6035</v>
      </c>
      <c r="K10" s="8" t="n">
        <v>1</v>
      </c>
      <c r="L10" s="8" t="n">
        <v>4</v>
      </c>
      <c r="M10" s="18" t="n">
        <f aca="false">INDEX('All Items'!$Q:$Q,MATCH($A10,'All Items'!$A:$A,0))</f>
        <v>8.45</v>
      </c>
      <c r="N10" s="8" t="s">
        <v>6047</v>
      </c>
      <c r="O10" s="8" t="s">
        <v>5997</v>
      </c>
      <c r="P10" s="8" t="s">
        <v>6017</v>
      </c>
      <c r="Q10" s="8" t="s">
        <v>6048</v>
      </c>
      <c r="R10" s="8" t="s">
        <v>5999</v>
      </c>
      <c r="S10" s="8" t="s">
        <v>6049</v>
      </c>
      <c r="T10" s="19" t="s">
        <v>6050</v>
      </c>
      <c r="U10" s="8" t="s">
        <v>6051</v>
      </c>
      <c r="V10" s="8"/>
      <c r="W10" s="8" t="n">
        <f aca="false">COUNTA(N10:S10)</f>
        <v>6</v>
      </c>
      <c r="X10" s="8" t="s">
        <v>218</v>
      </c>
      <c r="Y10" s="8" t="s">
        <v>259</v>
      </c>
      <c r="Z10" s="8" t="s">
        <v>218</v>
      </c>
      <c r="AA10" s="8"/>
      <c r="AB10" s="8" t="s">
        <v>6052</v>
      </c>
      <c r="AC10" s="20" t="s">
        <v>6053</v>
      </c>
      <c r="AD10" s="20" t="s">
        <v>221</v>
      </c>
      <c r="AE10" s="20" t="s">
        <v>6054</v>
      </c>
      <c r="AF10" s="8" t="s">
        <v>223</v>
      </c>
      <c r="AG10" s="8" t="s">
        <v>224</v>
      </c>
    </row>
    <row r="11" customFormat="false" ht="15" hidden="false" customHeight="false" outlineLevel="0" collapsed="false">
      <c r="A11" s="8" t="s">
        <v>6055</v>
      </c>
      <c r="B11" s="8" t="s">
        <v>6056</v>
      </c>
      <c r="C11" s="8"/>
      <c r="D11" s="8" t="s">
        <v>4081</v>
      </c>
      <c r="E11" s="8"/>
      <c r="F11" s="8" t="s">
        <v>71</v>
      </c>
      <c r="G11" s="8" t="s">
        <v>4082</v>
      </c>
      <c r="H11" s="8" t="s">
        <v>92</v>
      </c>
      <c r="I11" s="8" t="s">
        <v>218</v>
      </c>
      <c r="J11" s="8" t="s">
        <v>5963</v>
      </c>
      <c r="K11" s="8" t="n">
        <v>1</v>
      </c>
      <c r="L11" s="8" t="n">
        <v>4</v>
      </c>
      <c r="M11" s="18" t="n">
        <f aca="false">INDEX('All Items'!$Q:$Q,MATCH($A11,'All Items'!$A:$A,0))</f>
        <v>8.7</v>
      </c>
      <c r="N11" s="8" t="s">
        <v>3870</v>
      </c>
      <c r="O11" s="8" t="s">
        <v>6057</v>
      </c>
      <c r="P11" s="8" t="s">
        <v>6058</v>
      </c>
      <c r="Q11" s="8" t="s">
        <v>6059</v>
      </c>
      <c r="R11" s="8" t="s">
        <v>6060</v>
      </c>
      <c r="S11" s="8" t="s">
        <v>6061</v>
      </c>
      <c r="T11" s="19" t="s">
        <v>6062</v>
      </c>
      <c r="U11" s="8" t="s">
        <v>6063</v>
      </c>
      <c r="V11" s="8"/>
      <c r="W11" s="8" t="n">
        <f aca="false">COUNTA(N11:S11)</f>
        <v>6</v>
      </c>
      <c r="X11" s="8" t="s">
        <v>218</v>
      </c>
      <c r="Y11" s="8" t="s">
        <v>259</v>
      </c>
      <c r="Z11" s="8" t="s">
        <v>259</v>
      </c>
      <c r="AA11" s="8" t="s">
        <v>6064</v>
      </c>
      <c r="AB11" s="8" t="s">
        <v>6065</v>
      </c>
      <c r="AC11" s="20"/>
      <c r="AD11" s="20"/>
      <c r="AE11" s="20"/>
      <c r="AF11" s="8" t="s">
        <v>237</v>
      </c>
      <c r="AG11" s="8" t="s">
        <v>224</v>
      </c>
    </row>
    <row r="12" customFormat="false" ht="15" hidden="false" customHeight="false" outlineLevel="0" collapsed="false">
      <c r="A12" s="8" t="s">
        <v>6066</v>
      </c>
      <c r="B12" s="8" t="s">
        <v>6067</v>
      </c>
      <c r="C12" s="8"/>
      <c r="D12" s="8" t="s">
        <v>5046</v>
      </c>
      <c r="E12" s="8"/>
      <c r="F12" s="8" t="s">
        <v>72</v>
      </c>
      <c r="G12" s="8" t="s">
        <v>5047</v>
      </c>
      <c r="H12" s="8" t="s">
        <v>92</v>
      </c>
      <c r="I12" s="8" t="s">
        <v>218</v>
      </c>
      <c r="J12" s="8" t="s">
        <v>6068</v>
      </c>
      <c r="K12" s="8" t="n">
        <v>1</v>
      </c>
      <c r="L12" s="8" t="n">
        <v>4</v>
      </c>
      <c r="M12" s="18" t="n">
        <f aca="false">INDEX('All Items'!$Q:$Q,MATCH($A12,'All Items'!$A:$A,0))</f>
        <v>8.45</v>
      </c>
      <c r="N12" s="8" t="s">
        <v>6069</v>
      </c>
      <c r="O12" s="8" t="s">
        <v>6059</v>
      </c>
      <c r="P12" s="8" t="s">
        <v>6070</v>
      </c>
      <c r="Q12" s="8" t="s">
        <v>6038</v>
      </c>
      <c r="R12" s="8" t="s">
        <v>6071</v>
      </c>
      <c r="S12" s="8" t="s">
        <v>6072</v>
      </c>
      <c r="T12" s="19" t="s">
        <v>6073</v>
      </c>
      <c r="U12" s="8" t="s">
        <v>6074</v>
      </c>
      <c r="V12" s="8"/>
      <c r="W12" s="8" t="n">
        <f aca="false">COUNTA(N12:S12)</f>
        <v>6</v>
      </c>
      <c r="X12" s="8" t="s">
        <v>218</v>
      </c>
      <c r="Y12" s="8" t="s">
        <v>259</v>
      </c>
      <c r="Z12" s="8" t="s">
        <v>218</v>
      </c>
      <c r="AA12" s="8"/>
      <c r="AB12" s="8" t="s">
        <v>6075</v>
      </c>
      <c r="AC12" s="20" t="s">
        <v>6076</v>
      </c>
      <c r="AD12" s="20" t="s">
        <v>221</v>
      </c>
      <c r="AE12" s="20" t="s">
        <v>6077</v>
      </c>
      <c r="AF12" s="8" t="s">
        <v>223</v>
      </c>
      <c r="AG12" s="8" t="s">
        <v>224</v>
      </c>
    </row>
    <row r="13" customFormat="false" ht="15" hidden="false" customHeight="false" outlineLevel="0" collapsed="false">
      <c r="A13" s="8" t="s">
        <v>6078</v>
      </c>
      <c r="B13" s="8" t="s">
        <v>6079</v>
      </c>
      <c r="C13" s="8"/>
      <c r="D13" s="8" t="s">
        <v>5046</v>
      </c>
      <c r="E13" s="8"/>
      <c r="F13" s="8" t="s">
        <v>72</v>
      </c>
      <c r="G13" s="8" t="s">
        <v>5047</v>
      </c>
      <c r="H13" s="8" t="s">
        <v>92</v>
      </c>
      <c r="I13" s="8" t="s">
        <v>218</v>
      </c>
      <c r="J13" s="8" t="s">
        <v>5996</v>
      </c>
      <c r="K13" s="8" t="n">
        <v>1</v>
      </c>
      <c r="L13" s="8" t="n">
        <v>4</v>
      </c>
      <c r="M13" s="18" t="n">
        <f aca="false">INDEX('All Items'!$Q:$Q,MATCH($A13,'All Items'!$A:$A,0))</f>
        <v>8.2</v>
      </c>
      <c r="N13" s="8" t="s">
        <v>442</v>
      </c>
      <c r="O13" s="8" t="s">
        <v>6080</v>
      </c>
      <c r="P13" s="8" t="s">
        <v>6081</v>
      </c>
      <c r="Q13" s="8" t="s">
        <v>6082</v>
      </c>
      <c r="R13" s="8" t="s">
        <v>5998</v>
      </c>
      <c r="S13" s="8" t="s">
        <v>6083</v>
      </c>
      <c r="T13" s="19" t="s">
        <v>6084</v>
      </c>
      <c r="U13" s="8" t="s">
        <v>6085</v>
      </c>
      <c r="V13" s="8" t="s">
        <v>6082</v>
      </c>
      <c r="W13" s="8" t="n">
        <f aca="false">COUNTA(N13:S13)</f>
        <v>6</v>
      </c>
      <c r="X13" s="8" t="s">
        <v>218</v>
      </c>
      <c r="Y13" s="8" t="s">
        <v>259</v>
      </c>
      <c r="Z13" s="8" t="s">
        <v>218</v>
      </c>
      <c r="AA13" s="8"/>
      <c r="AB13" s="8" t="s">
        <v>6086</v>
      </c>
      <c r="AC13" s="20" t="s">
        <v>6087</v>
      </c>
      <c r="AD13" s="20" t="s">
        <v>1174</v>
      </c>
      <c r="AE13" s="20" t="s">
        <v>6088</v>
      </c>
      <c r="AF13" s="8" t="s">
        <v>223</v>
      </c>
      <c r="AG13" s="8" t="s">
        <v>224</v>
      </c>
    </row>
    <row r="14" customFormat="false" ht="15" hidden="false" customHeight="false" outlineLevel="0" collapsed="false">
      <c r="A14" s="8" t="s">
        <v>6089</v>
      </c>
      <c r="B14" s="8" t="s">
        <v>6090</v>
      </c>
      <c r="C14" s="8"/>
      <c r="D14" s="8" t="s">
        <v>5046</v>
      </c>
      <c r="E14" s="8"/>
      <c r="F14" s="8" t="s">
        <v>72</v>
      </c>
      <c r="G14" s="8" t="s">
        <v>5047</v>
      </c>
      <c r="H14" s="8" t="s">
        <v>92</v>
      </c>
      <c r="I14" s="8" t="s">
        <v>218</v>
      </c>
      <c r="J14" s="8" t="s">
        <v>5996</v>
      </c>
      <c r="K14" s="8" t="n">
        <v>2</v>
      </c>
      <c r="L14" s="8" t="n">
        <v>3</v>
      </c>
      <c r="M14" s="18" t="n">
        <f aca="false">INDEX('All Items'!$Q:$Q,MATCH($A14,'All Items'!$A:$A,0))</f>
        <v>7.15</v>
      </c>
      <c r="N14" s="8" t="s">
        <v>552</v>
      </c>
      <c r="O14" s="8" t="s">
        <v>6091</v>
      </c>
      <c r="P14" s="8" t="s">
        <v>6092</v>
      </c>
      <c r="Q14" s="8" t="s">
        <v>6093</v>
      </c>
      <c r="R14" s="8" t="s">
        <v>6094</v>
      </c>
      <c r="S14" s="8"/>
      <c r="T14" s="19" t="s">
        <v>6095</v>
      </c>
      <c r="U14" s="8" t="s">
        <v>6096</v>
      </c>
      <c r="V14" s="8"/>
      <c r="W14" s="8" t="n">
        <f aca="false">COUNTA(N14:S14)</f>
        <v>5</v>
      </c>
      <c r="X14" s="8" t="s">
        <v>218</v>
      </c>
      <c r="Y14" s="8" t="s">
        <v>259</v>
      </c>
      <c r="Z14" s="8" t="s">
        <v>218</v>
      </c>
      <c r="AA14" s="8"/>
      <c r="AB14" s="8" t="s">
        <v>6097</v>
      </c>
      <c r="AC14" s="20" t="s">
        <v>6098</v>
      </c>
      <c r="AD14" s="20" t="s">
        <v>221</v>
      </c>
      <c r="AE14" s="20" t="s">
        <v>6099</v>
      </c>
      <c r="AF14" s="8" t="s">
        <v>223</v>
      </c>
      <c r="AG14" s="8" t="s">
        <v>224</v>
      </c>
    </row>
    <row r="15" customFormat="false" ht="15" hidden="false" customHeight="false" outlineLevel="0" collapsed="false">
      <c r="A15" s="8" t="s">
        <v>6100</v>
      </c>
      <c r="B15" s="8" t="s">
        <v>6101</v>
      </c>
      <c r="C15" s="8"/>
      <c r="D15" s="8" t="s">
        <v>5046</v>
      </c>
      <c r="E15" s="8"/>
      <c r="F15" s="8" t="s">
        <v>72</v>
      </c>
      <c r="G15" s="8" t="s">
        <v>5047</v>
      </c>
      <c r="H15" s="8" t="s">
        <v>92</v>
      </c>
      <c r="I15" s="8" t="s">
        <v>218</v>
      </c>
      <c r="J15" s="8" t="s">
        <v>5963</v>
      </c>
      <c r="K15" s="8" t="n">
        <v>1</v>
      </c>
      <c r="L15" s="8" t="n">
        <v>5</v>
      </c>
      <c r="M15" s="18" t="n">
        <f aca="false">INDEX('All Items'!$Q:$Q,MATCH($A15,'All Items'!$A:$A,0))</f>
        <v>10</v>
      </c>
      <c r="N15" s="8" t="s">
        <v>6102</v>
      </c>
      <c r="O15" s="8" t="s">
        <v>5978</v>
      </c>
      <c r="P15" s="8" t="s">
        <v>6009</v>
      </c>
      <c r="Q15" s="8" t="s">
        <v>6103</v>
      </c>
      <c r="R15" s="8" t="s">
        <v>6104</v>
      </c>
      <c r="S15" s="8" t="s">
        <v>6105</v>
      </c>
      <c r="T15" s="19" t="s">
        <v>6106</v>
      </c>
      <c r="U15" s="8" t="s">
        <v>6107</v>
      </c>
      <c r="V15" s="8" t="s">
        <v>6108</v>
      </c>
      <c r="W15" s="8" t="n">
        <f aca="false">COUNTA(N15:S15)</f>
        <v>6</v>
      </c>
      <c r="X15" s="8" t="s">
        <v>218</v>
      </c>
      <c r="Y15" s="8" t="s">
        <v>259</v>
      </c>
      <c r="Z15" s="8" t="s">
        <v>218</v>
      </c>
      <c r="AA15" s="8"/>
      <c r="AB15" s="8" t="s">
        <v>6109</v>
      </c>
      <c r="AC15" s="20"/>
      <c r="AD15" s="20"/>
      <c r="AE15" s="20"/>
      <c r="AF15" s="8" t="s">
        <v>237</v>
      </c>
      <c r="AG15" s="8" t="s">
        <v>224</v>
      </c>
    </row>
    <row r="16" customFormat="false" ht="15" hidden="false" customHeight="false" outlineLevel="0" collapsed="false">
      <c r="A16" s="8" t="s">
        <v>6110</v>
      </c>
      <c r="B16" s="8" t="s">
        <v>6111</v>
      </c>
      <c r="C16" s="8"/>
      <c r="D16" s="8" t="s">
        <v>3828</v>
      </c>
      <c r="E16" s="8"/>
      <c r="F16" s="8" t="s">
        <v>71</v>
      </c>
      <c r="G16" s="8" t="s">
        <v>3829</v>
      </c>
      <c r="H16" s="8" t="s">
        <v>92</v>
      </c>
      <c r="I16" s="8" t="s">
        <v>218</v>
      </c>
      <c r="J16" s="8" t="s">
        <v>6112</v>
      </c>
      <c r="K16" s="8" t="n">
        <v>1</v>
      </c>
      <c r="L16" s="8" t="n">
        <v>4</v>
      </c>
      <c r="M16" s="18" t="n">
        <f aca="false">INDEX('All Items'!$Q:$Q,MATCH($A16,'All Items'!$A:$A,0))</f>
        <v>8.45</v>
      </c>
      <c r="N16" s="8" t="s">
        <v>5964</v>
      </c>
      <c r="O16" s="8" t="s">
        <v>6113</v>
      </c>
      <c r="P16" s="8" t="s">
        <v>6114</v>
      </c>
      <c r="Q16" s="8" t="s">
        <v>6115</v>
      </c>
      <c r="R16" s="8" t="s">
        <v>6116</v>
      </c>
      <c r="S16" s="8"/>
      <c r="T16" s="19" t="s">
        <v>6117</v>
      </c>
      <c r="U16" s="8" t="s">
        <v>6118</v>
      </c>
      <c r="V16" s="8" t="s">
        <v>6116</v>
      </c>
      <c r="W16" s="8" t="n">
        <f aca="false">COUNTA(N16:S16)</f>
        <v>5</v>
      </c>
      <c r="X16" s="8" t="s">
        <v>218</v>
      </c>
      <c r="Y16" s="8" t="s">
        <v>259</v>
      </c>
      <c r="Z16" s="8" t="s">
        <v>218</v>
      </c>
      <c r="AA16" s="8"/>
      <c r="AB16" s="8" t="s">
        <v>6119</v>
      </c>
      <c r="AC16" s="20" t="s">
        <v>6120</v>
      </c>
      <c r="AD16" s="20" t="s">
        <v>221</v>
      </c>
      <c r="AE16" s="20" t="s">
        <v>6121</v>
      </c>
      <c r="AF16" s="8" t="s">
        <v>223</v>
      </c>
      <c r="AG16" s="8" t="s">
        <v>224</v>
      </c>
    </row>
    <row r="17" customFormat="false" ht="15" hidden="false" customHeight="false" outlineLevel="0" collapsed="false">
      <c r="A17" s="8" t="s">
        <v>6122</v>
      </c>
      <c r="B17" s="8" t="s">
        <v>6123</v>
      </c>
      <c r="C17" s="8"/>
      <c r="D17" s="8" t="s">
        <v>5478</v>
      </c>
      <c r="E17" s="8"/>
      <c r="F17" s="8" t="s">
        <v>72</v>
      </c>
      <c r="G17" s="8" t="s">
        <v>5447</v>
      </c>
      <c r="H17" s="8" t="s">
        <v>92</v>
      </c>
      <c r="I17" s="8" t="s">
        <v>218</v>
      </c>
      <c r="J17" s="8" t="s">
        <v>5996</v>
      </c>
      <c r="K17" s="8" t="n">
        <v>1</v>
      </c>
      <c r="L17" s="8" t="n">
        <v>4</v>
      </c>
      <c r="M17" s="18" t="n">
        <f aca="false">INDEX('All Items'!$Q:$Q,MATCH($A17,'All Items'!$A:$A,0))</f>
        <v>7.95</v>
      </c>
      <c r="N17" s="8" t="s">
        <v>6124</v>
      </c>
      <c r="O17" s="8" t="s">
        <v>6125</v>
      </c>
      <c r="P17" s="8" t="s">
        <v>6126</v>
      </c>
      <c r="Q17" s="8" t="s">
        <v>6038</v>
      </c>
      <c r="R17" s="8" t="s">
        <v>6127</v>
      </c>
      <c r="S17" s="8"/>
      <c r="T17" s="19" t="s">
        <v>6128</v>
      </c>
      <c r="U17" s="8" t="s">
        <v>6129</v>
      </c>
      <c r="V17" s="8"/>
      <c r="W17" s="8" t="n">
        <f aca="false">COUNTA(N17:S17)</f>
        <v>5</v>
      </c>
      <c r="X17" s="8" t="s">
        <v>218</v>
      </c>
      <c r="Y17" s="8" t="s">
        <v>259</v>
      </c>
      <c r="Z17" s="8" t="s">
        <v>218</v>
      </c>
      <c r="AA17" s="8"/>
      <c r="AB17" s="8" t="s">
        <v>6130</v>
      </c>
      <c r="AC17" s="20" t="s">
        <v>6131</v>
      </c>
      <c r="AD17" s="20" t="s">
        <v>527</v>
      </c>
      <c r="AE17" s="20" t="s">
        <v>6132</v>
      </c>
      <c r="AF17" s="8" t="s">
        <v>223</v>
      </c>
      <c r="AG17" s="8" t="s">
        <v>224</v>
      </c>
    </row>
    <row r="18" customFormat="false" ht="15" hidden="false" customHeight="false" outlineLevel="0" collapsed="false">
      <c r="A18" s="8" t="s">
        <v>6133</v>
      </c>
      <c r="B18" s="8" t="s">
        <v>6134</v>
      </c>
      <c r="C18" s="8"/>
      <c r="D18" s="8" t="s">
        <v>5446</v>
      </c>
      <c r="E18" s="8"/>
      <c r="F18" s="8" t="s">
        <v>72</v>
      </c>
      <c r="G18" s="8" t="s">
        <v>5447</v>
      </c>
      <c r="H18" s="8" t="s">
        <v>92</v>
      </c>
      <c r="I18" s="8" t="s">
        <v>218</v>
      </c>
      <c r="J18" s="8" t="s">
        <v>6035</v>
      </c>
      <c r="K18" s="8" t="n">
        <v>2</v>
      </c>
      <c r="L18" s="8" t="n">
        <v>3</v>
      </c>
      <c r="M18" s="18" t="n">
        <f aca="false">INDEX('All Items'!$Q:$Q,MATCH($A18,'All Items'!$A:$A,0))</f>
        <v>7.15</v>
      </c>
      <c r="N18" s="8" t="s">
        <v>552</v>
      </c>
      <c r="O18" s="8" t="s">
        <v>5997</v>
      </c>
      <c r="P18" s="8" t="s">
        <v>6080</v>
      </c>
      <c r="Q18" s="8" t="s">
        <v>6082</v>
      </c>
      <c r="R18" s="8" t="s">
        <v>5446</v>
      </c>
      <c r="S18" s="8" t="s">
        <v>6135</v>
      </c>
      <c r="T18" s="19" t="s">
        <v>6136</v>
      </c>
      <c r="U18" s="8" t="s">
        <v>6137</v>
      </c>
      <c r="V18" s="8" t="s">
        <v>6138</v>
      </c>
      <c r="W18" s="8" t="n">
        <f aca="false">COUNTA(N18:S18)</f>
        <v>6</v>
      </c>
      <c r="X18" s="8" t="s">
        <v>218</v>
      </c>
      <c r="Y18" s="8" t="s">
        <v>259</v>
      </c>
      <c r="Z18" s="8" t="s">
        <v>259</v>
      </c>
      <c r="AA18" s="8" t="s">
        <v>6139</v>
      </c>
      <c r="AB18" s="8" t="s">
        <v>6140</v>
      </c>
      <c r="AC18" s="20" t="s">
        <v>6141</v>
      </c>
      <c r="AD18" s="20" t="s">
        <v>221</v>
      </c>
      <c r="AE18" s="20" t="s">
        <v>5475</v>
      </c>
      <c r="AF18" s="8" t="s">
        <v>223</v>
      </c>
      <c r="AG18" s="8" t="s">
        <v>224</v>
      </c>
    </row>
    <row r="19" customFormat="false" ht="15" hidden="false" customHeight="false" outlineLevel="0" collapsed="false">
      <c r="A19" s="8" t="s">
        <v>6142</v>
      </c>
      <c r="B19" s="8" t="s">
        <v>6143</v>
      </c>
      <c r="C19" s="8"/>
      <c r="D19" s="8" t="s">
        <v>4448</v>
      </c>
      <c r="E19" s="8"/>
      <c r="F19" s="8" t="s">
        <v>71</v>
      </c>
      <c r="G19" s="8" t="s">
        <v>4449</v>
      </c>
      <c r="H19" s="8" t="s">
        <v>92</v>
      </c>
      <c r="I19" s="8" t="s">
        <v>218</v>
      </c>
      <c r="J19" s="8" t="s">
        <v>6006</v>
      </c>
      <c r="K19" s="8" t="n">
        <v>1</v>
      </c>
      <c r="L19" s="8" t="n">
        <v>4</v>
      </c>
      <c r="M19" s="18" t="n">
        <f aca="false">INDEX('All Items'!$Q:$Q,MATCH($A19,'All Items'!$A:$A,0))</f>
        <v>8.2</v>
      </c>
      <c r="N19" s="8" t="s">
        <v>6144</v>
      </c>
      <c r="O19" s="8" t="s">
        <v>6059</v>
      </c>
      <c r="P19" s="8" t="s">
        <v>6145</v>
      </c>
      <c r="Q19" s="8" t="s">
        <v>6146</v>
      </c>
      <c r="R19" s="8" t="s">
        <v>6147</v>
      </c>
      <c r="S19" s="8"/>
      <c r="T19" s="19" t="s">
        <v>6148</v>
      </c>
      <c r="U19" s="8" t="s">
        <v>6149</v>
      </c>
      <c r="V19" s="8" t="s">
        <v>6147</v>
      </c>
      <c r="W19" s="8" t="n">
        <f aca="false">COUNTA(N19:S19)</f>
        <v>5</v>
      </c>
      <c r="X19" s="8" t="s">
        <v>218</v>
      </c>
      <c r="Y19" s="8" t="s">
        <v>259</v>
      </c>
      <c r="Z19" s="8" t="s">
        <v>218</v>
      </c>
      <c r="AA19" s="8"/>
      <c r="AB19" s="8" t="s">
        <v>6150</v>
      </c>
      <c r="AC19" s="20" t="s">
        <v>6151</v>
      </c>
      <c r="AD19" s="20" t="s">
        <v>516</v>
      </c>
      <c r="AE19" s="20" t="s">
        <v>4056</v>
      </c>
      <c r="AF19" s="8" t="s">
        <v>223</v>
      </c>
      <c r="AG19" s="8" t="s">
        <v>224</v>
      </c>
    </row>
    <row r="20" customFormat="false" ht="15" hidden="false" customHeight="false" outlineLevel="0" collapsed="false">
      <c r="A20" s="8" t="s">
        <v>6152</v>
      </c>
      <c r="B20" s="8" t="s">
        <v>6153</v>
      </c>
      <c r="C20" s="8"/>
      <c r="D20" s="8" t="s">
        <v>4448</v>
      </c>
      <c r="E20" s="8"/>
      <c r="F20" s="8" t="s">
        <v>71</v>
      </c>
      <c r="G20" s="8" t="s">
        <v>4449</v>
      </c>
      <c r="H20" s="8" t="s">
        <v>92</v>
      </c>
      <c r="I20" s="8" t="s">
        <v>218</v>
      </c>
      <c r="J20" s="8" t="s">
        <v>6154</v>
      </c>
      <c r="K20" s="8" t="n">
        <v>1</v>
      </c>
      <c r="L20" s="8" t="n">
        <v>5</v>
      </c>
      <c r="M20" s="18" t="n">
        <f aca="false">INDEX('All Items'!$Q:$Q,MATCH($A20,'All Items'!$A:$A,0))</f>
        <v>9.75</v>
      </c>
      <c r="N20" s="8" t="s">
        <v>552</v>
      </c>
      <c r="O20" s="8" t="s">
        <v>4686</v>
      </c>
      <c r="P20" s="8" t="s">
        <v>6072</v>
      </c>
      <c r="Q20" s="8" t="s">
        <v>4465</v>
      </c>
      <c r="R20" s="8" t="s">
        <v>6009</v>
      </c>
      <c r="S20" s="8" t="s">
        <v>6155</v>
      </c>
      <c r="T20" s="19" t="s">
        <v>6156</v>
      </c>
      <c r="U20" s="8" t="s">
        <v>6157</v>
      </c>
      <c r="V20" s="8" t="s">
        <v>6158</v>
      </c>
      <c r="W20" s="8" t="n">
        <f aca="false">COUNTA(N20:S20)</f>
        <v>6</v>
      </c>
      <c r="X20" s="8" t="s">
        <v>218</v>
      </c>
      <c r="Y20" s="8" t="s">
        <v>259</v>
      </c>
      <c r="Z20" s="8" t="s">
        <v>218</v>
      </c>
      <c r="AA20" s="8"/>
      <c r="AB20" s="8" t="s">
        <v>6159</v>
      </c>
      <c r="AC20" s="20"/>
      <c r="AD20" s="20"/>
      <c r="AE20" s="20"/>
      <c r="AF20" s="8" t="s">
        <v>237</v>
      </c>
      <c r="AG20" s="8" t="s">
        <v>224</v>
      </c>
    </row>
    <row r="21" customFormat="false" ht="15" hidden="false" customHeight="false" outlineLevel="0" collapsed="false">
      <c r="A21" s="8" t="s">
        <v>6160</v>
      </c>
      <c r="B21" s="8" t="s">
        <v>6161</v>
      </c>
      <c r="C21" s="8"/>
      <c r="D21" s="8" t="s">
        <v>5046</v>
      </c>
      <c r="E21" s="8"/>
      <c r="F21" s="8" t="s">
        <v>72</v>
      </c>
      <c r="G21" s="8" t="s">
        <v>5047</v>
      </c>
      <c r="H21" s="8" t="s">
        <v>92</v>
      </c>
      <c r="I21" s="8" t="s">
        <v>218</v>
      </c>
      <c r="J21" s="8" t="s">
        <v>6162</v>
      </c>
      <c r="K21" s="8" t="n">
        <v>2</v>
      </c>
      <c r="L21" s="8" t="n">
        <v>3</v>
      </c>
      <c r="M21" s="18" t="n">
        <f aca="false">INDEX('All Items'!$Q:$Q,MATCH($A21,'All Items'!$A:$A,0))</f>
        <v>6.9</v>
      </c>
      <c r="N21" s="8" t="s">
        <v>5964</v>
      </c>
      <c r="O21" s="8" t="s">
        <v>442</v>
      </c>
      <c r="P21" s="8" t="s">
        <v>6009</v>
      </c>
      <c r="Q21" s="8" t="s">
        <v>6163</v>
      </c>
      <c r="R21" s="8" t="s">
        <v>6164</v>
      </c>
      <c r="S21" s="8"/>
      <c r="T21" s="19" t="s">
        <v>6165</v>
      </c>
      <c r="U21" s="8" t="s">
        <v>6166</v>
      </c>
      <c r="V21" s="8"/>
      <c r="W21" s="8" t="n">
        <f aca="false">COUNTA(N21:S21)</f>
        <v>5</v>
      </c>
      <c r="X21" s="8" t="s">
        <v>218</v>
      </c>
      <c r="Y21" s="8" t="s">
        <v>259</v>
      </c>
      <c r="Z21" s="8" t="s">
        <v>218</v>
      </c>
      <c r="AA21" s="8"/>
      <c r="AB21" s="8" t="s">
        <v>6167</v>
      </c>
      <c r="AC21" s="20"/>
      <c r="AD21" s="20"/>
      <c r="AE21" s="20"/>
      <c r="AF21" s="8" t="s">
        <v>237</v>
      </c>
      <c r="AG21" s="8" t="s">
        <v>224</v>
      </c>
    </row>
    <row r="22" customFormat="false" ht="15" hidden="false" customHeight="false" outlineLevel="0" collapsed="false">
      <c r="A22" s="8" t="s">
        <v>6168</v>
      </c>
      <c r="B22" s="8" t="s">
        <v>6169</v>
      </c>
      <c r="C22" s="8"/>
      <c r="D22" s="8" t="s">
        <v>5046</v>
      </c>
      <c r="E22" s="8"/>
      <c r="F22" s="8" t="s">
        <v>72</v>
      </c>
      <c r="G22" s="8" t="s">
        <v>5047</v>
      </c>
      <c r="H22" s="8" t="s">
        <v>92</v>
      </c>
      <c r="I22" s="8" t="s">
        <v>218</v>
      </c>
      <c r="J22" s="8" t="s">
        <v>5963</v>
      </c>
      <c r="K22" s="8" t="n">
        <v>2</v>
      </c>
      <c r="L22" s="8" t="n">
        <v>3</v>
      </c>
      <c r="M22" s="18" t="n">
        <f aca="false">INDEX('All Items'!$Q:$Q,MATCH($A22,'All Items'!$A:$A,0))</f>
        <v>7.15</v>
      </c>
      <c r="N22" s="8" t="s">
        <v>6027</v>
      </c>
      <c r="O22" s="8" t="s">
        <v>6170</v>
      </c>
      <c r="P22" s="8" t="s">
        <v>6171</v>
      </c>
      <c r="Q22" s="8" t="s">
        <v>6059</v>
      </c>
      <c r="R22" s="8" t="s">
        <v>6172</v>
      </c>
      <c r="S22" s="8"/>
      <c r="T22" s="19" t="s">
        <v>6173</v>
      </c>
      <c r="U22" s="8" t="s">
        <v>6174</v>
      </c>
      <c r="V22" s="8"/>
      <c r="W22" s="8" t="n">
        <f aca="false">COUNTA(N22:S22)</f>
        <v>5</v>
      </c>
      <c r="X22" s="8" t="s">
        <v>218</v>
      </c>
      <c r="Y22" s="8" t="s">
        <v>259</v>
      </c>
      <c r="Z22" s="8" t="s">
        <v>218</v>
      </c>
      <c r="AA22" s="8"/>
      <c r="AB22" s="8" t="s">
        <v>6175</v>
      </c>
      <c r="AC22" s="20" t="s">
        <v>6176</v>
      </c>
      <c r="AD22" s="20" t="s">
        <v>384</v>
      </c>
      <c r="AE22" s="20" t="s">
        <v>6177</v>
      </c>
      <c r="AF22" s="8" t="s">
        <v>223</v>
      </c>
      <c r="AG22" s="8" t="s">
        <v>224</v>
      </c>
    </row>
    <row r="23" customFormat="false" ht="15" hidden="false" customHeight="false" outlineLevel="0" collapsed="false">
      <c r="A23" s="8" t="s">
        <v>6178</v>
      </c>
      <c r="B23" s="8" t="s">
        <v>6179</v>
      </c>
      <c r="C23" s="8"/>
      <c r="D23" s="8" t="s">
        <v>5046</v>
      </c>
      <c r="E23" s="8"/>
      <c r="F23" s="8" t="s">
        <v>72</v>
      </c>
      <c r="G23" s="8" t="s">
        <v>5047</v>
      </c>
      <c r="H23" s="8" t="s">
        <v>92</v>
      </c>
      <c r="I23" s="8" t="s">
        <v>218</v>
      </c>
      <c r="J23" s="8" t="s">
        <v>5963</v>
      </c>
      <c r="K23" s="8" t="n">
        <v>1</v>
      </c>
      <c r="L23" s="8" t="n">
        <v>4</v>
      </c>
      <c r="M23" s="18" t="n">
        <f aca="false">INDEX('All Items'!$Q:$Q,MATCH($A23,'All Items'!$A:$A,0))</f>
        <v>8.45</v>
      </c>
      <c r="N23" s="8" t="s">
        <v>6170</v>
      </c>
      <c r="O23" s="8" t="s">
        <v>1032</v>
      </c>
      <c r="P23" s="8" t="s">
        <v>6180</v>
      </c>
      <c r="Q23" s="8" t="s">
        <v>6181</v>
      </c>
      <c r="R23" s="8" t="s">
        <v>6072</v>
      </c>
      <c r="S23" s="8" t="s">
        <v>5978</v>
      </c>
      <c r="T23" s="19" t="s">
        <v>6182</v>
      </c>
      <c r="U23" s="8" t="s">
        <v>6183</v>
      </c>
      <c r="V23" s="8" t="s">
        <v>5978</v>
      </c>
      <c r="W23" s="8" t="n">
        <f aca="false">COUNTA(N23:S23)</f>
        <v>6</v>
      </c>
      <c r="X23" s="8" t="s">
        <v>218</v>
      </c>
      <c r="Y23" s="8" t="s">
        <v>259</v>
      </c>
      <c r="Z23" s="8" t="s">
        <v>218</v>
      </c>
      <c r="AA23" s="8"/>
      <c r="AB23" s="8" t="s">
        <v>6184</v>
      </c>
      <c r="AC23" s="20"/>
      <c r="AD23" s="20"/>
      <c r="AE23" s="20"/>
      <c r="AF23" s="8" t="s">
        <v>237</v>
      </c>
      <c r="AG23" s="8" t="s">
        <v>224</v>
      </c>
    </row>
    <row r="24" customFormat="false" ht="15" hidden="false" customHeight="false" outlineLevel="0" collapsed="false">
      <c r="A24" s="8" t="s">
        <v>6185</v>
      </c>
      <c r="B24" s="8" t="s">
        <v>6186</v>
      </c>
      <c r="C24" s="8"/>
      <c r="D24" s="8" t="s">
        <v>3828</v>
      </c>
      <c r="E24" s="8"/>
      <c r="F24" s="8" t="s">
        <v>71</v>
      </c>
      <c r="G24" s="8" t="s">
        <v>3829</v>
      </c>
      <c r="H24" s="8" t="s">
        <v>92</v>
      </c>
      <c r="I24" s="8" t="s">
        <v>218</v>
      </c>
      <c r="J24" s="8" t="s">
        <v>6187</v>
      </c>
      <c r="K24" s="8" t="n">
        <v>2</v>
      </c>
      <c r="L24" s="8" t="n">
        <v>3</v>
      </c>
      <c r="M24" s="18" t="n">
        <f aca="false">INDEX('All Items'!$Q:$Q,MATCH($A24,'All Items'!$A:$A,0))</f>
        <v>7.15</v>
      </c>
      <c r="N24" s="8" t="s">
        <v>6188</v>
      </c>
      <c r="O24" s="8" t="s">
        <v>6114</v>
      </c>
      <c r="P24" s="8" t="s">
        <v>6189</v>
      </c>
      <c r="Q24" s="8" t="s">
        <v>6190</v>
      </c>
      <c r="R24" s="8" t="s">
        <v>6191</v>
      </c>
      <c r="S24" s="8"/>
      <c r="T24" s="19" t="s">
        <v>6192</v>
      </c>
      <c r="U24" s="8" t="s">
        <v>6193</v>
      </c>
      <c r="V24" s="8"/>
      <c r="W24" s="8" t="n">
        <f aca="false">COUNTA(N24:S24)</f>
        <v>5</v>
      </c>
      <c r="X24" s="8" t="s">
        <v>218</v>
      </c>
      <c r="Y24" s="8" t="s">
        <v>259</v>
      </c>
      <c r="Z24" s="8" t="s">
        <v>218</v>
      </c>
      <c r="AA24" s="8"/>
      <c r="AB24" s="8" t="s">
        <v>6194</v>
      </c>
      <c r="AC24" s="20"/>
      <c r="AD24" s="20"/>
      <c r="AE24" s="20"/>
      <c r="AF24" s="8" t="s">
        <v>237</v>
      </c>
      <c r="AG24" s="8" t="s">
        <v>224</v>
      </c>
    </row>
    <row r="25" customFormat="false" ht="15" hidden="false" customHeight="false" outlineLevel="0" collapsed="false">
      <c r="A25" s="8" t="s">
        <v>6195</v>
      </c>
      <c r="B25" s="8" t="s">
        <v>6196</v>
      </c>
      <c r="C25" s="8"/>
      <c r="D25" s="8" t="s">
        <v>4081</v>
      </c>
      <c r="E25" s="8"/>
      <c r="F25" s="8" t="s">
        <v>71</v>
      </c>
      <c r="G25" s="8" t="s">
        <v>4082</v>
      </c>
      <c r="H25" s="8" t="s">
        <v>92</v>
      </c>
      <c r="I25" s="8" t="s">
        <v>218</v>
      </c>
      <c r="J25" s="8" t="s">
        <v>6187</v>
      </c>
      <c r="K25" s="8" t="n">
        <v>1</v>
      </c>
      <c r="L25" s="8" t="n">
        <v>4</v>
      </c>
      <c r="M25" s="18" t="n">
        <f aca="false">INDEX('All Items'!$Q:$Q,MATCH($A25,'All Items'!$A:$A,0))</f>
        <v>8.45</v>
      </c>
      <c r="N25" s="8" t="s">
        <v>6188</v>
      </c>
      <c r="O25" s="8" t="s">
        <v>6197</v>
      </c>
      <c r="P25" s="8" t="s">
        <v>6198</v>
      </c>
      <c r="Q25" s="8" t="s">
        <v>6170</v>
      </c>
      <c r="R25" s="8" t="s">
        <v>6199</v>
      </c>
      <c r="S25" s="8" t="s">
        <v>6200</v>
      </c>
      <c r="T25" s="19" t="s">
        <v>6201</v>
      </c>
      <c r="U25" s="8" t="s">
        <v>6202</v>
      </c>
      <c r="V25" s="8"/>
      <c r="W25" s="8" t="n">
        <f aca="false">COUNTA(N25:S25)</f>
        <v>6</v>
      </c>
      <c r="X25" s="8" t="s">
        <v>218</v>
      </c>
      <c r="Y25" s="8" t="s">
        <v>259</v>
      </c>
      <c r="Z25" s="8" t="s">
        <v>218</v>
      </c>
      <c r="AA25" s="8"/>
      <c r="AB25" s="8" t="s">
        <v>6203</v>
      </c>
      <c r="AC25" s="20" t="s">
        <v>6204</v>
      </c>
      <c r="AD25" s="20" t="s">
        <v>221</v>
      </c>
      <c r="AE25" s="20" t="s">
        <v>6205</v>
      </c>
      <c r="AF25" s="8" t="s">
        <v>223</v>
      </c>
      <c r="AG25" s="8" t="s">
        <v>224</v>
      </c>
    </row>
    <row r="26" customFormat="false" ht="15" hidden="false" customHeight="false" outlineLevel="0" collapsed="false">
      <c r="A26" s="8" t="s">
        <v>6206</v>
      </c>
      <c r="B26" s="8" t="s">
        <v>6207</v>
      </c>
      <c r="C26" s="8"/>
      <c r="D26" s="8" t="s">
        <v>4081</v>
      </c>
      <c r="E26" s="8"/>
      <c r="F26" s="8" t="s">
        <v>71</v>
      </c>
      <c r="G26" s="8" t="s">
        <v>4082</v>
      </c>
      <c r="H26" s="8" t="s">
        <v>92</v>
      </c>
      <c r="I26" s="8" t="s">
        <v>218</v>
      </c>
      <c r="J26" s="8" t="s">
        <v>6187</v>
      </c>
      <c r="K26" s="8" t="n">
        <v>2</v>
      </c>
      <c r="L26" s="8" t="n">
        <v>3</v>
      </c>
      <c r="M26" s="18" t="n">
        <f aca="false">INDEX('All Items'!$Q:$Q,MATCH($A26,'All Items'!$A:$A,0))</f>
        <v>6.9</v>
      </c>
      <c r="N26" s="8" t="s">
        <v>442</v>
      </c>
      <c r="O26" s="8" t="s">
        <v>6009</v>
      </c>
      <c r="P26" s="8" t="s">
        <v>6208</v>
      </c>
      <c r="Q26" s="8" t="s">
        <v>6209</v>
      </c>
      <c r="R26" s="8" t="s">
        <v>6210</v>
      </c>
      <c r="S26" s="8" t="s">
        <v>6211</v>
      </c>
      <c r="T26" s="19" t="s">
        <v>6212</v>
      </c>
      <c r="U26" s="8" t="s">
        <v>6213</v>
      </c>
      <c r="V26" s="8"/>
      <c r="W26" s="8" t="n">
        <f aca="false">COUNTA(N26:S26)</f>
        <v>6</v>
      </c>
      <c r="X26" s="8" t="s">
        <v>218</v>
      </c>
      <c r="Y26" s="8" t="s">
        <v>259</v>
      </c>
      <c r="Z26" s="8" t="s">
        <v>218</v>
      </c>
      <c r="AA26" s="8"/>
      <c r="AB26" s="8" t="s">
        <v>6214</v>
      </c>
      <c r="AC26" s="20"/>
      <c r="AD26" s="20"/>
      <c r="AE26" s="20"/>
      <c r="AF26" s="8" t="s">
        <v>237</v>
      </c>
      <c r="AG26" s="8" t="s">
        <v>224</v>
      </c>
    </row>
    <row r="27" customFormat="false" ht="15" hidden="false" customHeight="false" outlineLevel="0" collapsed="false">
      <c r="A27" s="8" t="s">
        <v>6215</v>
      </c>
      <c r="B27" s="8" t="s">
        <v>6216</v>
      </c>
      <c r="C27" s="8"/>
      <c r="D27" s="8" t="s">
        <v>4081</v>
      </c>
      <c r="E27" s="8"/>
      <c r="F27" s="8" t="s">
        <v>71</v>
      </c>
      <c r="G27" s="8" t="s">
        <v>4082</v>
      </c>
      <c r="H27" s="8" t="s">
        <v>92</v>
      </c>
      <c r="I27" s="8" t="s">
        <v>218</v>
      </c>
      <c r="J27" s="8" t="s">
        <v>6035</v>
      </c>
      <c r="K27" s="8" t="n">
        <v>2</v>
      </c>
      <c r="L27" s="8" t="n">
        <v>3</v>
      </c>
      <c r="M27" s="18" t="n">
        <f aca="false">INDEX('All Items'!$Q:$Q,MATCH($A27,'All Items'!$A:$A,0))</f>
        <v>7.15</v>
      </c>
      <c r="N27" s="8" t="s">
        <v>442</v>
      </c>
      <c r="O27" s="8" t="s">
        <v>6217</v>
      </c>
      <c r="P27" s="8" t="s">
        <v>5977</v>
      </c>
      <c r="Q27" s="8" t="s">
        <v>6218</v>
      </c>
      <c r="R27" s="8" t="s">
        <v>6219</v>
      </c>
      <c r="S27" s="8" t="s">
        <v>4136</v>
      </c>
      <c r="T27" s="19" t="s">
        <v>6220</v>
      </c>
      <c r="U27" s="8" t="s">
        <v>6221</v>
      </c>
      <c r="V27" s="8"/>
      <c r="W27" s="8" t="n">
        <f aca="false">COUNTA(N27:S27)</f>
        <v>6</v>
      </c>
      <c r="X27" s="8" t="s">
        <v>218</v>
      </c>
      <c r="Y27" s="8" t="s">
        <v>259</v>
      </c>
      <c r="Z27" s="8" t="s">
        <v>218</v>
      </c>
      <c r="AA27" s="8"/>
      <c r="AB27" s="8" t="s">
        <v>6222</v>
      </c>
      <c r="AC27" s="20"/>
      <c r="AD27" s="20"/>
      <c r="AE27" s="20"/>
      <c r="AF27" s="8" t="s">
        <v>237</v>
      </c>
      <c r="AG27" s="8" t="s">
        <v>224</v>
      </c>
    </row>
    <row r="28" customFormat="false" ht="15" hidden="false" customHeight="false" outlineLevel="0" collapsed="false">
      <c r="A28" s="8" t="s">
        <v>6223</v>
      </c>
      <c r="B28" s="8" t="s">
        <v>6224</v>
      </c>
      <c r="C28" s="8"/>
      <c r="D28" s="8" t="s">
        <v>4448</v>
      </c>
      <c r="E28" s="8"/>
      <c r="F28" s="8" t="s">
        <v>71</v>
      </c>
      <c r="G28" s="8" t="s">
        <v>4449</v>
      </c>
      <c r="H28" s="8" t="s">
        <v>92</v>
      </c>
      <c r="I28" s="8" t="s">
        <v>218</v>
      </c>
      <c r="J28" s="8" t="s">
        <v>6035</v>
      </c>
      <c r="K28" s="8" t="n">
        <v>2</v>
      </c>
      <c r="L28" s="8" t="n">
        <v>3</v>
      </c>
      <c r="M28" s="18" t="n">
        <f aca="false">INDEX('All Items'!$Q:$Q,MATCH($A28,'All Items'!$A:$A,0))</f>
        <v>6.9</v>
      </c>
      <c r="N28" s="8" t="s">
        <v>6036</v>
      </c>
      <c r="O28" s="8" t="s">
        <v>6225</v>
      </c>
      <c r="P28" s="8" t="s">
        <v>6009</v>
      </c>
      <c r="Q28" s="8" t="s">
        <v>6226</v>
      </c>
      <c r="R28" s="8" t="s">
        <v>6227</v>
      </c>
      <c r="S28" s="8"/>
      <c r="T28" s="19" t="s">
        <v>6228</v>
      </c>
      <c r="U28" s="8" t="s">
        <v>6229</v>
      </c>
      <c r="V28" s="8"/>
      <c r="W28" s="8" t="n">
        <f aca="false">COUNTA(N28:S28)</f>
        <v>5</v>
      </c>
      <c r="X28" s="8" t="s">
        <v>218</v>
      </c>
      <c r="Y28" s="8" t="s">
        <v>259</v>
      </c>
      <c r="Z28" s="8" t="s">
        <v>218</v>
      </c>
      <c r="AA28" s="8"/>
      <c r="AB28" s="8" t="s">
        <v>6230</v>
      </c>
      <c r="AC28" s="20"/>
      <c r="AD28" s="20"/>
      <c r="AE28" s="20"/>
      <c r="AF28" s="8" t="s">
        <v>237</v>
      </c>
      <c r="AG28" s="8" t="s">
        <v>224</v>
      </c>
    </row>
    <row r="29" customFormat="false" ht="15" hidden="false" customHeight="false" outlineLevel="0" collapsed="false">
      <c r="A29" s="8" t="s">
        <v>6231</v>
      </c>
      <c r="B29" s="8" t="s">
        <v>6232</v>
      </c>
      <c r="C29" s="8"/>
      <c r="D29" s="8" t="s">
        <v>6233</v>
      </c>
      <c r="E29" s="8"/>
      <c r="F29" s="8" t="s">
        <v>72</v>
      </c>
      <c r="G29" s="8" t="s">
        <v>5047</v>
      </c>
      <c r="H29" s="8" t="s">
        <v>92</v>
      </c>
      <c r="I29" s="8" t="s">
        <v>218</v>
      </c>
      <c r="J29" s="8" t="s">
        <v>5963</v>
      </c>
      <c r="K29" s="8" t="n">
        <v>2</v>
      </c>
      <c r="L29" s="8" t="n">
        <v>3</v>
      </c>
      <c r="M29" s="18" t="n">
        <f aca="false">INDEX('All Items'!$Q:$Q,MATCH($A29,'All Items'!$A:$A,0))</f>
        <v>6.9</v>
      </c>
      <c r="N29" s="8" t="s">
        <v>552</v>
      </c>
      <c r="O29" s="8" t="s">
        <v>6069</v>
      </c>
      <c r="P29" s="8" t="s">
        <v>6233</v>
      </c>
      <c r="Q29" s="8" t="s">
        <v>6072</v>
      </c>
      <c r="R29" s="8" t="s">
        <v>6234</v>
      </c>
      <c r="S29" s="8" t="s">
        <v>6093</v>
      </c>
      <c r="T29" s="19" t="s">
        <v>6235</v>
      </c>
      <c r="U29" s="8" t="s">
        <v>6236</v>
      </c>
      <c r="V29" s="8" t="s">
        <v>6093</v>
      </c>
      <c r="W29" s="8" t="n">
        <f aca="false">COUNTA(N29:S29)</f>
        <v>6</v>
      </c>
      <c r="X29" s="8" t="s">
        <v>218</v>
      </c>
      <c r="Y29" s="8" t="s">
        <v>259</v>
      </c>
      <c r="Z29" s="8" t="s">
        <v>218</v>
      </c>
      <c r="AA29" s="8"/>
      <c r="AB29" s="8" t="s">
        <v>6237</v>
      </c>
      <c r="AC29" s="20"/>
      <c r="AD29" s="20"/>
      <c r="AE29" s="20"/>
      <c r="AF29" s="8" t="s">
        <v>237</v>
      </c>
      <c r="AG29" s="8" t="s">
        <v>224</v>
      </c>
    </row>
    <row r="30" customFormat="false" ht="15" hidden="false" customHeight="false" outlineLevel="0" collapsed="false">
      <c r="A30" s="8" t="s">
        <v>6238</v>
      </c>
      <c r="B30" s="8" t="s">
        <v>6239</v>
      </c>
      <c r="C30" s="8"/>
      <c r="D30" s="8" t="s">
        <v>5207</v>
      </c>
      <c r="E30" s="8"/>
      <c r="F30" s="8" t="s">
        <v>72</v>
      </c>
      <c r="G30" s="8" t="s">
        <v>5047</v>
      </c>
      <c r="H30" s="8" t="s">
        <v>92</v>
      </c>
      <c r="I30" s="8" t="s">
        <v>218</v>
      </c>
      <c r="J30" s="8" t="s">
        <v>5963</v>
      </c>
      <c r="K30" s="8" t="n">
        <v>2</v>
      </c>
      <c r="L30" s="8" t="n">
        <v>3</v>
      </c>
      <c r="M30" s="18" t="n">
        <f aca="false">INDEX('All Items'!$Q:$Q,MATCH($A30,'All Items'!$A:$A,0))</f>
        <v>6.9</v>
      </c>
      <c r="N30" s="8" t="s">
        <v>552</v>
      </c>
      <c r="O30" s="8" t="s">
        <v>6240</v>
      </c>
      <c r="P30" s="8" t="s">
        <v>5978</v>
      </c>
      <c r="Q30" s="8" t="s">
        <v>6241</v>
      </c>
      <c r="R30" s="8" t="s">
        <v>5276</v>
      </c>
      <c r="S30" s="8"/>
      <c r="T30" s="19" t="s">
        <v>6242</v>
      </c>
      <c r="U30" s="8" t="s">
        <v>6243</v>
      </c>
      <c r="V30" s="8"/>
      <c r="W30" s="8" t="n">
        <f aca="false">COUNTA(N30:S30)</f>
        <v>5</v>
      </c>
      <c r="X30" s="8" t="s">
        <v>218</v>
      </c>
      <c r="Y30" s="8" t="s">
        <v>259</v>
      </c>
      <c r="Z30" s="8" t="s">
        <v>218</v>
      </c>
      <c r="AA30" s="8"/>
      <c r="AB30" s="8" t="s">
        <v>6244</v>
      </c>
      <c r="AC30" s="20"/>
      <c r="AD30" s="20"/>
      <c r="AE30" s="20"/>
      <c r="AF30" s="8" t="s">
        <v>237</v>
      </c>
      <c r="AG30" s="8" t="s">
        <v>224</v>
      </c>
    </row>
    <row r="31" customFormat="false" ht="15" hidden="false" customHeight="false" outlineLevel="0" collapsed="false">
      <c r="A31" s="8" t="s">
        <v>6245</v>
      </c>
      <c r="B31" s="8" t="s">
        <v>6246</v>
      </c>
      <c r="C31" s="8"/>
      <c r="D31" s="8" t="s">
        <v>4693</v>
      </c>
      <c r="E31" s="8"/>
      <c r="F31" s="8" t="s">
        <v>71</v>
      </c>
      <c r="G31" s="8" t="s">
        <v>4082</v>
      </c>
      <c r="H31" s="8" t="s">
        <v>92</v>
      </c>
      <c r="I31" s="8" t="s">
        <v>218</v>
      </c>
      <c r="J31" s="8" t="s">
        <v>5996</v>
      </c>
      <c r="K31" s="8" t="n">
        <v>2</v>
      </c>
      <c r="L31" s="8" t="n">
        <v>3</v>
      </c>
      <c r="M31" s="18" t="n">
        <f aca="false">INDEX('All Items'!$Q:$Q,MATCH($A31,'All Items'!$A:$A,0))</f>
        <v>6.9</v>
      </c>
      <c r="N31" s="8" t="s">
        <v>345</v>
      </c>
      <c r="O31" s="8" t="s">
        <v>6144</v>
      </c>
      <c r="P31" s="8" t="s">
        <v>6059</v>
      </c>
      <c r="Q31" s="8" t="s">
        <v>6247</v>
      </c>
      <c r="R31" s="8" t="s">
        <v>6248</v>
      </c>
      <c r="S31" s="8"/>
      <c r="T31" s="19" t="s">
        <v>6249</v>
      </c>
      <c r="U31" s="8" t="s">
        <v>6250</v>
      </c>
      <c r="V31" s="8"/>
      <c r="W31" s="8" t="n">
        <f aca="false">COUNTA(N31:S31)</f>
        <v>5</v>
      </c>
      <c r="X31" s="8" t="s">
        <v>218</v>
      </c>
      <c r="Y31" s="8" t="s">
        <v>259</v>
      </c>
      <c r="Z31" s="8" t="s">
        <v>218</v>
      </c>
      <c r="AA31" s="8"/>
      <c r="AB31" s="8" t="s">
        <v>6251</v>
      </c>
      <c r="AC31" s="20"/>
      <c r="AD31" s="20"/>
      <c r="AE31" s="20"/>
      <c r="AF31" s="8" t="s">
        <v>237</v>
      </c>
      <c r="AG31" s="8" t="s">
        <v>224</v>
      </c>
    </row>
    <row r="32" customFormat="false" ht="15" hidden="false" customHeight="false" outlineLevel="0" collapsed="false">
      <c r="A32" s="8" t="s">
        <v>6252</v>
      </c>
      <c r="B32" s="8" t="s">
        <v>6253</v>
      </c>
      <c r="C32" s="8"/>
      <c r="D32" s="8" t="s">
        <v>4574</v>
      </c>
      <c r="E32" s="8"/>
      <c r="F32" s="8" t="s">
        <v>71</v>
      </c>
      <c r="G32" s="8" t="s">
        <v>4449</v>
      </c>
      <c r="H32" s="8" t="s">
        <v>92</v>
      </c>
      <c r="I32" s="8" t="s">
        <v>218</v>
      </c>
      <c r="J32" s="8" t="s">
        <v>6254</v>
      </c>
      <c r="K32" s="8" t="n">
        <v>2</v>
      </c>
      <c r="L32" s="8" t="n">
        <v>4</v>
      </c>
      <c r="M32" s="18" t="n">
        <f aca="false">INDEX('All Items'!$Q:$Q,MATCH($A32,'All Items'!$A:$A,0))</f>
        <v>8.2</v>
      </c>
      <c r="N32" s="8" t="s">
        <v>6255</v>
      </c>
      <c r="O32" s="8" t="s">
        <v>6038</v>
      </c>
      <c r="P32" s="8" t="s">
        <v>6256</v>
      </c>
      <c r="Q32" s="8" t="s">
        <v>5219</v>
      </c>
      <c r="R32" s="8" t="s">
        <v>6257</v>
      </c>
      <c r="S32" s="8" t="s">
        <v>6258</v>
      </c>
      <c r="T32" s="19" t="s">
        <v>6259</v>
      </c>
      <c r="U32" s="8" t="s">
        <v>6260</v>
      </c>
      <c r="V32" s="8" t="s">
        <v>6261</v>
      </c>
      <c r="W32" s="8" t="n">
        <f aca="false">COUNTA(N32:S32)</f>
        <v>6</v>
      </c>
      <c r="X32" s="8" t="s">
        <v>218</v>
      </c>
      <c r="Y32" s="8" t="s">
        <v>259</v>
      </c>
      <c r="Z32" s="8" t="s">
        <v>218</v>
      </c>
      <c r="AA32" s="8"/>
      <c r="AB32" s="8" t="s">
        <v>6262</v>
      </c>
      <c r="AC32" s="20" t="s">
        <v>6263</v>
      </c>
      <c r="AD32" s="20" t="s">
        <v>384</v>
      </c>
      <c r="AE32" s="20" t="s">
        <v>6264</v>
      </c>
      <c r="AF32" s="8" t="s">
        <v>223</v>
      </c>
      <c r="AG32" s="8" t="s">
        <v>224</v>
      </c>
    </row>
    <row r="33" customFormat="false" ht="15" hidden="false" customHeight="false" outlineLevel="0" collapsed="false">
      <c r="A33" s="8" t="s">
        <v>6265</v>
      </c>
      <c r="B33" s="8" t="s">
        <v>6266</v>
      </c>
      <c r="C33" s="8"/>
      <c r="D33" s="8" t="s">
        <v>5046</v>
      </c>
      <c r="E33" s="8"/>
      <c r="F33" s="8" t="s">
        <v>72</v>
      </c>
      <c r="G33" s="8" t="s">
        <v>5047</v>
      </c>
      <c r="H33" s="8" t="s">
        <v>92</v>
      </c>
      <c r="I33" s="8" t="s">
        <v>218</v>
      </c>
      <c r="J33" s="8" t="s">
        <v>6267</v>
      </c>
      <c r="K33" s="8" t="n">
        <v>2</v>
      </c>
      <c r="L33" s="8" t="n">
        <v>3</v>
      </c>
      <c r="M33" s="18" t="n">
        <f aca="false">INDEX('All Items'!$Q:$Q,MATCH($A33,'All Items'!$A:$A,0))</f>
        <v>6.9</v>
      </c>
      <c r="N33" s="8" t="s">
        <v>5998</v>
      </c>
      <c r="O33" s="8" t="s">
        <v>6268</v>
      </c>
      <c r="P33" s="8" t="s">
        <v>6269</v>
      </c>
      <c r="Q33" s="8" t="s">
        <v>6127</v>
      </c>
      <c r="R33" s="8" t="s">
        <v>6038</v>
      </c>
      <c r="S33" s="8" t="s">
        <v>388</v>
      </c>
      <c r="T33" s="19" t="s">
        <v>6270</v>
      </c>
      <c r="U33" s="8" t="s">
        <v>6271</v>
      </c>
      <c r="V33" s="8" t="s">
        <v>388</v>
      </c>
      <c r="W33" s="8" t="n">
        <f aca="false">COUNTA(N33:S33)</f>
        <v>6</v>
      </c>
      <c r="X33" s="8" t="s">
        <v>218</v>
      </c>
      <c r="Y33" s="8" t="s">
        <v>259</v>
      </c>
      <c r="Z33" s="8" t="s">
        <v>218</v>
      </c>
      <c r="AA33" s="8"/>
      <c r="AB33" s="8" t="s">
        <v>6272</v>
      </c>
      <c r="AC33" s="20" t="s">
        <v>6273</v>
      </c>
      <c r="AD33" s="20" t="s">
        <v>1174</v>
      </c>
      <c r="AE33" s="20" t="s">
        <v>6274</v>
      </c>
      <c r="AF33" s="8" t="s">
        <v>223</v>
      </c>
      <c r="AG33" s="8" t="s">
        <v>224</v>
      </c>
    </row>
    <row r="34" customFormat="false" ht="15" hidden="false" customHeight="false" outlineLevel="0" collapsed="false">
      <c r="A34" s="8" t="s">
        <v>6275</v>
      </c>
      <c r="B34" s="8" t="s">
        <v>6276</v>
      </c>
      <c r="C34" s="8"/>
      <c r="D34" s="8" t="s">
        <v>4081</v>
      </c>
      <c r="E34" s="8"/>
      <c r="F34" s="8" t="s">
        <v>71</v>
      </c>
      <c r="G34" s="8" t="s">
        <v>4082</v>
      </c>
      <c r="H34" s="8" t="s">
        <v>92</v>
      </c>
      <c r="I34" s="8" t="s">
        <v>218</v>
      </c>
      <c r="J34" s="8" t="s">
        <v>5963</v>
      </c>
      <c r="K34" s="8" t="n">
        <v>2</v>
      </c>
      <c r="L34" s="8" t="n">
        <v>3</v>
      </c>
      <c r="M34" s="18" t="n">
        <f aca="false">INDEX('All Items'!$Q:$Q,MATCH($A34,'All Items'!$A:$A,0))</f>
        <v>6.9</v>
      </c>
      <c r="N34" s="8" t="s">
        <v>6277</v>
      </c>
      <c r="O34" s="8" t="s">
        <v>6059</v>
      </c>
      <c r="P34" s="8" t="s">
        <v>6278</v>
      </c>
      <c r="Q34" s="8" t="s">
        <v>6072</v>
      </c>
      <c r="R34" s="8" t="s">
        <v>6279</v>
      </c>
      <c r="S34" s="8"/>
      <c r="T34" s="19" t="s">
        <v>6280</v>
      </c>
      <c r="U34" s="8" t="s">
        <v>6281</v>
      </c>
      <c r="V34" s="8" t="s">
        <v>6279</v>
      </c>
      <c r="W34" s="8" t="n">
        <f aca="false">COUNTA(N34:S34)</f>
        <v>5</v>
      </c>
      <c r="X34" s="8" t="s">
        <v>218</v>
      </c>
      <c r="Y34" s="8" t="s">
        <v>259</v>
      </c>
      <c r="Z34" s="8" t="s">
        <v>218</v>
      </c>
      <c r="AA34" s="8"/>
      <c r="AB34" s="8" t="s">
        <v>6282</v>
      </c>
      <c r="AC34" s="20"/>
      <c r="AD34" s="20"/>
      <c r="AE34" s="20"/>
      <c r="AF34" s="8" t="s">
        <v>237</v>
      </c>
      <c r="AG34" s="8" t="s">
        <v>224</v>
      </c>
    </row>
    <row r="35" customFormat="false" ht="15" hidden="false" customHeight="false" outlineLevel="0" collapsed="false">
      <c r="A35" s="8" t="s">
        <v>6283</v>
      </c>
      <c r="B35" s="8" t="s">
        <v>6284</v>
      </c>
      <c r="C35" s="8"/>
      <c r="D35" s="8" t="s">
        <v>2788</v>
      </c>
      <c r="E35" s="8"/>
      <c r="F35" s="8" t="s">
        <v>70</v>
      </c>
      <c r="G35" s="8" t="s">
        <v>2789</v>
      </c>
      <c r="H35" s="8" t="s">
        <v>92</v>
      </c>
      <c r="I35" s="8" t="s">
        <v>218</v>
      </c>
      <c r="J35" s="8" t="s">
        <v>6285</v>
      </c>
      <c r="K35" s="8" t="n">
        <v>2</v>
      </c>
      <c r="L35" s="8" t="n">
        <v>3</v>
      </c>
      <c r="M35" s="18" t="n">
        <f aca="false">INDEX('All Items'!$Q:$Q,MATCH($A35,'All Items'!$A:$A,0))</f>
        <v>7.4</v>
      </c>
      <c r="N35" s="8" t="s">
        <v>6180</v>
      </c>
      <c r="O35" s="8" t="s">
        <v>6286</v>
      </c>
      <c r="P35" s="8" t="s">
        <v>6287</v>
      </c>
      <c r="Q35" s="8" t="s">
        <v>6009</v>
      </c>
      <c r="R35" s="8" t="s">
        <v>6288</v>
      </c>
      <c r="S35" s="8" t="s">
        <v>6289</v>
      </c>
      <c r="T35" s="19" t="s">
        <v>6290</v>
      </c>
      <c r="U35" s="8" t="s">
        <v>6291</v>
      </c>
      <c r="V35" s="8"/>
      <c r="W35" s="8" t="n">
        <f aca="false">COUNTA(N35:S35)</f>
        <v>6</v>
      </c>
      <c r="X35" s="8" t="s">
        <v>218</v>
      </c>
      <c r="Y35" s="8" t="s">
        <v>259</v>
      </c>
      <c r="Z35" s="8" t="s">
        <v>218</v>
      </c>
      <c r="AA35" s="8"/>
      <c r="AB35" s="8" t="s">
        <v>6292</v>
      </c>
      <c r="AC35" s="20" t="s">
        <v>6293</v>
      </c>
      <c r="AD35" s="20" t="s">
        <v>1837</v>
      </c>
      <c r="AE35" s="20" t="s">
        <v>6294</v>
      </c>
      <c r="AF35" s="8" t="s">
        <v>223</v>
      </c>
      <c r="AG35" s="8" t="s">
        <v>224</v>
      </c>
    </row>
    <row r="36" customFormat="false" ht="15" hidden="false" customHeight="false" outlineLevel="0" collapsed="false">
      <c r="A36" s="8" t="s">
        <v>6295</v>
      </c>
      <c r="B36" s="8" t="s">
        <v>6296</v>
      </c>
      <c r="C36" s="8"/>
      <c r="D36" s="8" t="s">
        <v>4448</v>
      </c>
      <c r="E36" s="8"/>
      <c r="F36" s="8" t="s">
        <v>71</v>
      </c>
      <c r="G36" s="8" t="s">
        <v>4449</v>
      </c>
      <c r="H36" s="8" t="s">
        <v>92</v>
      </c>
      <c r="I36" s="8" t="s">
        <v>218</v>
      </c>
      <c r="J36" s="8" t="s">
        <v>6006</v>
      </c>
      <c r="K36" s="8" t="n">
        <v>2</v>
      </c>
      <c r="L36" s="8" t="n">
        <v>3</v>
      </c>
      <c r="M36" s="18" t="n">
        <f aca="false">INDEX('All Items'!$Q:$Q,MATCH($A36,'All Items'!$A:$A,0))</f>
        <v>7.4</v>
      </c>
      <c r="N36" s="8" t="s">
        <v>6297</v>
      </c>
      <c r="O36" s="8" t="s">
        <v>6298</v>
      </c>
      <c r="P36" s="8" t="s">
        <v>6059</v>
      </c>
      <c r="Q36" s="8" t="s">
        <v>6009</v>
      </c>
      <c r="R36" s="8" t="s">
        <v>6011</v>
      </c>
      <c r="S36" s="8" t="s">
        <v>6299</v>
      </c>
      <c r="T36" s="19" t="s">
        <v>6300</v>
      </c>
      <c r="U36" s="8" t="s">
        <v>6301</v>
      </c>
      <c r="V36" s="8"/>
      <c r="W36" s="8" t="n">
        <f aca="false">COUNTA(N36:S36)</f>
        <v>6</v>
      </c>
      <c r="X36" s="8" t="s">
        <v>218</v>
      </c>
      <c r="Y36" s="8" t="s">
        <v>259</v>
      </c>
      <c r="Z36" s="8" t="s">
        <v>218</v>
      </c>
      <c r="AA36" s="8"/>
      <c r="AB36" s="8" t="s">
        <v>6302</v>
      </c>
      <c r="AC36" s="20"/>
      <c r="AD36" s="20"/>
      <c r="AE36" s="20"/>
      <c r="AF36" s="8" t="s">
        <v>237</v>
      </c>
      <c r="AG36" s="8" t="s">
        <v>224</v>
      </c>
    </row>
    <row r="37" customFormat="false" ht="15" hidden="false" customHeight="false" outlineLevel="0" collapsed="false">
      <c r="A37" s="8" t="s">
        <v>6303</v>
      </c>
      <c r="B37" s="8" t="s">
        <v>6304</v>
      </c>
      <c r="C37" s="8"/>
      <c r="D37" s="8" t="s">
        <v>5207</v>
      </c>
      <c r="E37" s="8"/>
      <c r="F37" s="8" t="s">
        <v>72</v>
      </c>
      <c r="G37" s="8" t="s">
        <v>5047</v>
      </c>
      <c r="H37" s="8" t="s">
        <v>92</v>
      </c>
      <c r="I37" s="8" t="s">
        <v>218</v>
      </c>
      <c r="J37" s="8" t="s">
        <v>6305</v>
      </c>
      <c r="K37" s="8" t="n">
        <v>2</v>
      </c>
      <c r="L37" s="8" t="n">
        <v>3</v>
      </c>
      <c r="M37" s="18" t="n">
        <f aca="false">INDEX('All Items'!$Q:$Q,MATCH($A37,'All Items'!$A:$A,0))</f>
        <v>7.4</v>
      </c>
      <c r="N37" s="8" t="s">
        <v>5070</v>
      </c>
      <c r="O37" s="8" t="s">
        <v>6057</v>
      </c>
      <c r="P37" s="8" t="s">
        <v>6060</v>
      </c>
      <c r="Q37" s="8" t="s">
        <v>6306</v>
      </c>
      <c r="R37" s="8" t="s">
        <v>6307</v>
      </c>
      <c r="S37" s="8" t="s">
        <v>5276</v>
      </c>
      <c r="T37" s="19" t="s">
        <v>6308</v>
      </c>
      <c r="U37" s="8" t="s">
        <v>6309</v>
      </c>
      <c r="V37" s="8"/>
      <c r="W37" s="8" t="n">
        <f aca="false">COUNTA(N37:S37)</f>
        <v>6</v>
      </c>
      <c r="X37" s="8" t="s">
        <v>218</v>
      </c>
      <c r="Y37" s="8" t="s">
        <v>259</v>
      </c>
      <c r="Z37" s="8" t="s">
        <v>218</v>
      </c>
      <c r="AA37" s="8"/>
      <c r="AB37" s="8" t="s">
        <v>6310</v>
      </c>
      <c r="AC37" s="20"/>
      <c r="AD37" s="20"/>
      <c r="AE37" s="20"/>
      <c r="AF37" s="8" t="s">
        <v>237</v>
      </c>
      <c r="AG37" s="8" t="s">
        <v>224</v>
      </c>
    </row>
    <row r="38" customFormat="false" ht="15" hidden="false" customHeight="false" outlineLevel="0" collapsed="false">
      <c r="A38" s="8" t="s">
        <v>6311</v>
      </c>
      <c r="B38" s="8" t="s">
        <v>6312</v>
      </c>
      <c r="C38" s="8"/>
      <c r="D38" s="8" t="s">
        <v>4325</v>
      </c>
      <c r="E38" s="8"/>
      <c r="F38" s="8" t="s">
        <v>71</v>
      </c>
      <c r="G38" s="8" t="s">
        <v>3829</v>
      </c>
      <c r="H38" s="8" t="s">
        <v>92</v>
      </c>
      <c r="I38" s="8" t="s">
        <v>218</v>
      </c>
      <c r="J38" s="8" t="s">
        <v>6313</v>
      </c>
      <c r="K38" s="8" t="n">
        <v>1</v>
      </c>
      <c r="L38" s="8" t="n">
        <v>4</v>
      </c>
      <c r="M38" s="18" t="n">
        <f aca="false">INDEX('All Items'!$Q:$Q,MATCH($A38,'All Items'!$A:$A,0))</f>
        <v>8.7</v>
      </c>
      <c r="N38" s="8" t="s">
        <v>5375</v>
      </c>
      <c r="O38" s="8" t="s">
        <v>4224</v>
      </c>
      <c r="P38" s="8" t="s">
        <v>6314</v>
      </c>
      <c r="Q38" s="8" t="s">
        <v>3871</v>
      </c>
      <c r="R38" s="8" t="s">
        <v>6315</v>
      </c>
      <c r="S38" s="8" t="s">
        <v>4337</v>
      </c>
      <c r="T38" s="19" t="s">
        <v>6316</v>
      </c>
      <c r="U38" s="8" t="s">
        <v>6317</v>
      </c>
      <c r="V38" s="8"/>
      <c r="W38" s="8" t="n">
        <f aca="false">COUNTA(N38:S38)</f>
        <v>6</v>
      </c>
      <c r="X38" s="8" t="s">
        <v>218</v>
      </c>
      <c r="Y38" s="8" t="s">
        <v>259</v>
      </c>
      <c r="Z38" s="8" t="s">
        <v>218</v>
      </c>
      <c r="AA38" s="8"/>
      <c r="AB38" s="8" t="s">
        <v>6318</v>
      </c>
      <c r="AC38" s="20"/>
      <c r="AD38" s="20"/>
      <c r="AE38" s="20"/>
      <c r="AF38" s="8" t="s">
        <v>237</v>
      </c>
      <c r="AG38" s="8" t="s">
        <v>224</v>
      </c>
    </row>
    <row r="39" customFormat="false" ht="15" hidden="false" customHeight="false" outlineLevel="0" collapsed="false">
      <c r="A39" s="8" t="s">
        <v>6319</v>
      </c>
      <c r="B39" s="8" t="s">
        <v>6320</v>
      </c>
      <c r="C39" s="8"/>
      <c r="D39" s="8" t="s">
        <v>4448</v>
      </c>
      <c r="E39" s="8"/>
      <c r="F39" s="8" t="s">
        <v>71</v>
      </c>
      <c r="G39" s="8" t="s">
        <v>4449</v>
      </c>
      <c r="H39" s="8" t="s">
        <v>92</v>
      </c>
      <c r="I39" s="8" t="s">
        <v>218</v>
      </c>
      <c r="J39" s="8" t="s">
        <v>5963</v>
      </c>
      <c r="K39" s="8" t="n">
        <v>2</v>
      </c>
      <c r="L39" s="8" t="n">
        <v>3</v>
      </c>
      <c r="M39" s="18" t="n">
        <f aca="false">INDEX('All Items'!$Q:$Q,MATCH($A39,'All Items'!$A:$A,0))</f>
        <v>7.4</v>
      </c>
      <c r="N39" s="8" t="s">
        <v>4694</v>
      </c>
      <c r="O39" s="8" t="s">
        <v>388</v>
      </c>
      <c r="P39" s="8" t="s">
        <v>6277</v>
      </c>
      <c r="Q39" s="8" t="s">
        <v>6321</v>
      </c>
      <c r="R39" s="8" t="s">
        <v>4465</v>
      </c>
      <c r="S39" s="8" t="s">
        <v>6322</v>
      </c>
      <c r="T39" s="19" t="s">
        <v>6323</v>
      </c>
      <c r="U39" s="8" t="s">
        <v>6324</v>
      </c>
      <c r="V39" s="8" t="s">
        <v>6322</v>
      </c>
      <c r="W39" s="8" t="n">
        <f aca="false">COUNTA(N39:S39)</f>
        <v>6</v>
      </c>
      <c r="X39" s="8" t="s">
        <v>218</v>
      </c>
      <c r="Y39" s="8" t="s">
        <v>259</v>
      </c>
      <c r="Z39" s="8" t="s">
        <v>218</v>
      </c>
      <c r="AA39" s="8"/>
      <c r="AB39" s="8" t="s">
        <v>6325</v>
      </c>
      <c r="AC39" s="20"/>
      <c r="AD39" s="20"/>
      <c r="AE39" s="20"/>
      <c r="AF39" s="8" t="s">
        <v>237</v>
      </c>
      <c r="AG39" s="8" t="s">
        <v>224</v>
      </c>
    </row>
    <row r="40" customFormat="false" ht="15" hidden="false" customHeight="false" outlineLevel="0" collapsed="false">
      <c r="A40" s="8" t="s">
        <v>6326</v>
      </c>
      <c r="B40" s="8" t="s">
        <v>6327</v>
      </c>
      <c r="C40" s="8"/>
      <c r="D40" s="8" t="s">
        <v>4448</v>
      </c>
      <c r="E40" s="8"/>
      <c r="F40" s="8" t="s">
        <v>71</v>
      </c>
      <c r="G40" s="8" t="s">
        <v>4449</v>
      </c>
      <c r="H40" s="8" t="s">
        <v>92</v>
      </c>
      <c r="I40" s="8" t="s">
        <v>218</v>
      </c>
      <c r="J40" s="8" t="s">
        <v>6328</v>
      </c>
      <c r="K40" s="8" t="n">
        <v>2</v>
      </c>
      <c r="L40" s="8" t="n">
        <v>3</v>
      </c>
      <c r="M40" s="18" t="n">
        <f aca="false">INDEX('All Items'!$Q:$Q,MATCH($A40,'All Items'!$A:$A,0))</f>
        <v>7.4</v>
      </c>
      <c r="N40" s="8" t="s">
        <v>1868</v>
      </c>
      <c r="O40" s="8" t="s">
        <v>442</v>
      </c>
      <c r="P40" s="8" t="s">
        <v>3090</v>
      </c>
      <c r="Q40" s="8" t="s">
        <v>6081</v>
      </c>
      <c r="R40" s="8" t="s">
        <v>6329</v>
      </c>
      <c r="S40" s="8" t="s">
        <v>6330</v>
      </c>
      <c r="T40" s="19" t="s">
        <v>6331</v>
      </c>
      <c r="U40" s="8" t="s">
        <v>6332</v>
      </c>
      <c r="V40" s="8" t="s">
        <v>6333</v>
      </c>
      <c r="W40" s="8" t="n">
        <f aca="false">COUNTA(N40:S40)</f>
        <v>6</v>
      </c>
      <c r="X40" s="8" t="s">
        <v>218</v>
      </c>
      <c r="Y40" s="8" t="s">
        <v>259</v>
      </c>
      <c r="Z40" s="8" t="s">
        <v>218</v>
      </c>
      <c r="AA40" s="8"/>
      <c r="AB40" s="8" t="s">
        <v>6334</v>
      </c>
      <c r="AC40" s="20"/>
      <c r="AD40" s="20"/>
      <c r="AE40" s="20"/>
      <c r="AF40" s="8" t="s">
        <v>237</v>
      </c>
      <c r="AG40" s="8" t="s">
        <v>224</v>
      </c>
    </row>
    <row r="41" customFormat="false" ht="15" hidden="false" customHeight="false" outlineLevel="0" collapsed="false">
      <c r="A41" s="8" t="s">
        <v>6335</v>
      </c>
      <c r="B41" s="8" t="s">
        <v>6336</v>
      </c>
      <c r="C41" s="8" t="s">
        <v>6337</v>
      </c>
      <c r="D41" s="8" t="s">
        <v>4613</v>
      </c>
      <c r="E41" s="8"/>
      <c r="F41" s="8" t="s">
        <v>71</v>
      </c>
      <c r="G41" s="8" t="s">
        <v>4082</v>
      </c>
      <c r="H41" s="8" t="s">
        <v>92</v>
      </c>
      <c r="I41" s="8" t="s">
        <v>218</v>
      </c>
      <c r="J41" s="8" t="s">
        <v>6328</v>
      </c>
      <c r="K41" s="8" t="n">
        <v>1</v>
      </c>
      <c r="L41" s="8" t="n">
        <v>4</v>
      </c>
      <c r="M41" s="18" t="n">
        <f aca="false">INDEX('All Items'!$Q:$Q,MATCH($A41,'All Items'!$A:$A,0))</f>
        <v>8.7</v>
      </c>
      <c r="N41" s="8" t="s">
        <v>3285</v>
      </c>
      <c r="O41" s="8" t="s">
        <v>5375</v>
      </c>
      <c r="P41" s="8" t="s">
        <v>1014</v>
      </c>
      <c r="Q41" s="8" t="s">
        <v>6338</v>
      </c>
      <c r="R41" s="8" t="s">
        <v>6339</v>
      </c>
      <c r="S41" s="8" t="s">
        <v>6340</v>
      </c>
      <c r="T41" s="19" t="s">
        <v>6341</v>
      </c>
      <c r="U41" s="8" t="s">
        <v>6342</v>
      </c>
      <c r="V41" s="8" t="s">
        <v>6343</v>
      </c>
      <c r="W41" s="8" t="n">
        <f aca="false">COUNTA(N41:S41)</f>
        <v>6</v>
      </c>
      <c r="X41" s="8" t="s">
        <v>218</v>
      </c>
      <c r="Y41" s="8" t="s">
        <v>259</v>
      </c>
      <c r="Z41" s="8" t="s">
        <v>218</v>
      </c>
      <c r="AA41" s="8"/>
      <c r="AB41" s="8" t="s">
        <v>6344</v>
      </c>
      <c r="AC41" s="20" t="s">
        <v>6345</v>
      </c>
      <c r="AD41" s="20" t="s">
        <v>221</v>
      </c>
      <c r="AE41" s="20" t="s">
        <v>6346</v>
      </c>
      <c r="AF41" s="8" t="s">
        <v>223</v>
      </c>
      <c r="AG41" s="8" t="s">
        <v>224</v>
      </c>
    </row>
    <row r="42" customFormat="false" ht="15" hidden="false" customHeight="false" outlineLevel="0" collapsed="false">
      <c r="A42" s="8" t="s">
        <v>6347</v>
      </c>
      <c r="B42" s="8" t="s">
        <v>6348</v>
      </c>
      <c r="C42" s="8"/>
      <c r="D42" s="8" t="s">
        <v>5046</v>
      </c>
      <c r="E42" s="8"/>
      <c r="F42" s="8" t="s">
        <v>72</v>
      </c>
      <c r="G42" s="8" t="s">
        <v>5047</v>
      </c>
      <c r="H42" s="8" t="s">
        <v>92</v>
      </c>
      <c r="I42" s="8" t="s">
        <v>218</v>
      </c>
      <c r="J42" s="8" t="s">
        <v>6349</v>
      </c>
      <c r="K42" s="8" t="n">
        <v>2</v>
      </c>
      <c r="L42" s="8" t="n">
        <v>3</v>
      </c>
      <c r="M42" s="18" t="n">
        <f aca="false">INDEX('All Items'!$Q:$Q,MATCH($A42,'All Items'!$A:$A,0))</f>
        <v>7.4</v>
      </c>
      <c r="N42" s="8" t="s">
        <v>345</v>
      </c>
      <c r="O42" s="8" t="s">
        <v>1313</v>
      </c>
      <c r="P42" s="8" t="s">
        <v>852</v>
      </c>
      <c r="Q42" s="8" t="s">
        <v>5998</v>
      </c>
      <c r="R42" s="8" t="s">
        <v>4039</v>
      </c>
      <c r="S42" s="8"/>
      <c r="T42" s="19" t="s">
        <v>6350</v>
      </c>
      <c r="U42" s="8" t="s">
        <v>6351</v>
      </c>
      <c r="V42" s="8"/>
      <c r="W42" s="8" t="n">
        <f aca="false">COUNTA(N42:S42)</f>
        <v>5</v>
      </c>
      <c r="X42" s="8" t="s">
        <v>218</v>
      </c>
      <c r="Y42" s="8" t="s">
        <v>259</v>
      </c>
      <c r="Z42" s="8" t="s">
        <v>218</v>
      </c>
      <c r="AA42" s="8"/>
      <c r="AB42" s="8" t="s">
        <v>6352</v>
      </c>
      <c r="AC42" s="20"/>
      <c r="AD42" s="20"/>
      <c r="AE42" s="20"/>
      <c r="AF42" s="8" t="s">
        <v>237</v>
      </c>
      <c r="AG42" s="8" t="s">
        <v>224</v>
      </c>
    </row>
    <row r="43" customFormat="false" ht="15" hidden="false" customHeight="false" outlineLevel="0" collapsed="false">
      <c r="A43" s="8" t="s">
        <v>6353</v>
      </c>
      <c r="B43" s="8" t="s">
        <v>6354</v>
      </c>
      <c r="C43" s="8"/>
      <c r="D43" s="8" t="s">
        <v>4448</v>
      </c>
      <c r="E43" s="8"/>
      <c r="F43" s="8" t="s">
        <v>71</v>
      </c>
      <c r="G43" s="8" t="s">
        <v>4449</v>
      </c>
      <c r="H43" s="8" t="s">
        <v>92</v>
      </c>
      <c r="I43" s="8" t="s">
        <v>218</v>
      </c>
      <c r="J43" s="8" t="s">
        <v>6035</v>
      </c>
      <c r="K43" s="8" t="n">
        <v>2</v>
      </c>
      <c r="L43" s="8" t="n">
        <v>3</v>
      </c>
      <c r="M43" s="18" t="n">
        <f aca="false">INDEX('All Items'!$Q:$Q,MATCH($A43,'All Items'!$A:$A,0))</f>
        <v>7.4</v>
      </c>
      <c r="N43" s="8" t="s">
        <v>552</v>
      </c>
      <c r="O43" s="8" t="s">
        <v>6355</v>
      </c>
      <c r="P43" s="8" t="s">
        <v>6059</v>
      </c>
      <c r="Q43" s="8" t="s">
        <v>6356</v>
      </c>
      <c r="R43" s="8" t="s">
        <v>6357</v>
      </c>
      <c r="S43" s="8" t="s">
        <v>6146</v>
      </c>
      <c r="T43" s="19" t="s">
        <v>6358</v>
      </c>
      <c r="U43" s="8" t="s">
        <v>6359</v>
      </c>
      <c r="V43" s="8"/>
      <c r="W43" s="8" t="n">
        <f aca="false">COUNTA(N43:S43)</f>
        <v>6</v>
      </c>
      <c r="X43" s="8" t="s">
        <v>218</v>
      </c>
      <c r="Y43" s="8" t="s">
        <v>259</v>
      </c>
      <c r="Z43" s="8" t="s">
        <v>218</v>
      </c>
      <c r="AA43" s="8"/>
      <c r="AB43" s="8" t="s">
        <v>6360</v>
      </c>
      <c r="AC43" s="20"/>
      <c r="AD43" s="20"/>
      <c r="AE43" s="20"/>
      <c r="AF43" s="8" t="s">
        <v>237</v>
      </c>
      <c r="AG43" s="8" t="s">
        <v>224</v>
      </c>
    </row>
    <row r="44" customFormat="false" ht="15" hidden="false" customHeight="false" outlineLevel="0" collapsed="false">
      <c r="A44" s="8" t="s">
        <v>6361</v>
      </c>
      <c r="B44" s="8" t="s">
        <v>6362</v>
      </c>
      <c r="C44" s="8"/>
      <c r="D44" s="8" t="s">
        <v>5255</v>
      </c>
      <c r="E44" s="8"/>
      <c r="F44" s="8" t="s">
        <v>72</v>
      </c>
      <c r="G44" s="8" t="s">
        <v>5047</v>
      </c>
      <c r="H44" s="8" t="s">
        <v>92</v>
      </c>
      <c r="I44" s="8" t="s">
        <v>218</v>
      </c>
      <c r="J44" s="8" t="s">
        <v>6363</v>
      </c>
      <c r="K44" s="8" t="n">
        <v>2</v>
      </c>
      <c r="L44" s="8" t="n">
        <v>3</v>
      </c>
      <c r="M44" s="18" t="n">
        <f aca="false">INDEX('All Items'!$Q:$Q,MATCH($A44,'All Items'!$A:$A,0))</f>
        <v>7.15</v>
      </c>
      <c r="N44" s="8" t="s">
        <v>1032</v>
      </c>
      <c r="O44" s="8" t="s">
        <v>6364</v>
      </c>
      <c r="P44" s="8" t="s">
        <v>6365</v>
      </c>
      <c r="Q44" s="8" t="s">
        <v>6144</v>
      </c>
      <c r="R44" s="8" t="s">
        <v>6366</v>
      </c>
      <c r="S44" s="8"/>
      <c r="T44" s="19" t="s">
        <v>6367</v>
      </c>
      <c r="U44" s="8" t="s">
        <v>6368</v>
      </c>
      <c r="V44" s="8"/>
      <c r="W44" s="8" t="n">
        <f aca="false">COUNTA(N44:S44)</f>
        <v>5</v>
      </c>
      <c r="X44" s="8" t="s">
        <v>218</v>
      </c>
      <c r="Y44" s="8" t="s">
        <v>259</v>
      </c>
      <c r="Z44" s="8" t="s">
        <v>218</v>
      </c>
      <c r="AA44" s="8"/>
      <c r="AB44" s="8" t="s">
        <v>6369</v>
      </c>
      <c r="AC44" s="20" t="s">
        <v>6370</v>
      </c>
      <c r="AD44" s="20" t="s">
        <v>5065</v>
      </c>
      <c r="AE44" s="20" t="s">
        <v>6371</v>
      </c>
      <c r="AF44" s="8" t="s">
        <v>223</v>
      </c>
      <c r="AG44" s="8" t="s">
        <v>224</v>
      </c>
    </row>
    <row r="45" customFormat="false" ht="15" hidden="false" customHeight="false" outlineLevel="0" collapsed="false">
      <c r="A45" s="8" t="s">
        <v>6372</v>
      </c>
      <c r="B45" s="8" t="s">
        <v>6373</v>
      </c>
      <c r="C45" s="8"/>
      <c r="D45" s="8" t="s">
        <v>4613</v>
      </c>
      <c r="E45" s="8"/>
      <c r="F45" s="8" t="s">
        <v>71</v>
      </c>
      <c r="G45" s="8" t="s">
        <v>4082</v>
      </c>
      <c r="H45" s="8" t="s">
        <v>92</v>
      </c>
      <c r="I45" s="8" t="s">
        <v>218</v>
      </c>
      <c r="J45" s="8" t="s">
        <v>6374</v>
      </c>
      <c r="K45" s="8" t="n">
        <v>2</v>
      </c>
      <c r="L45" s="8" t="n">
        <v>3</v>
      </c>
      <c r="M45" s="18" t="n">
        <f aca="false">INDEX('All Items'!$Q:$Q,MATCH($A45,'All Items'!$A:$A,0))</f>
        <v>6.9</v>
      </c>
      <c r="N45" s="8" t="s">
        <v>6375</v>
      </c>
      <c r="O45" s="8" t="s">
        <v>6376</v>
      </c>
      <c r="P45" s="8" t="s">
        <v>6377</v>
      </c>
      <c r="Q45" s="8" t="s">
        <v>6378</v>
      </c>
      <c r="R45" s="8" t="s">
        <v>4617</v>
      </c>
      <c r="S45" s="8"/>
      <c r="T45" s="19" t="s">
        <v>6379</v>
      </c>
      <c r="U45" s="8" t="s">
        <v>6380</v>
      </c>
      <c r="V45" s="8"/>
      <c r="W45" s="8" t="n">
        <f aca="false">COUNTA(N45:S45)</f>
        <v>5</v>
      </c>
      <c r="X45" s="8" t="s">
        <v>218</v>
      </c>
      <c r="Y45" s="8" t="s">
        <v>259</v>
      </c>
      <c r="Z45" s="8" t="s">
        <v>218</v>
      </c>
      <c r="AA45" s="8"/>
      <c r="AB45" s="8" t="s">
        <v>6381</v>
      </c>
      <c r="AC45" s="20"/>
      <c r="AD45" s="20"/>
      <c r="AE45" s="20"/>
      <c r="AF45" s="8" t="s">
        <v>237</v>
      </c>
      <c r="AG45" s="8" t="s">
        <v>224</v>
      </c>
    </row>
    <row r="46" customFormat="false" ht="15" hidden="false" customHeight="false" outlineLevel="0" collapsed="false">
      <c r="A46" s="8" t="s">
        <v>6382</v>
      </c>
      <c r="B46" s="8" t="s">
        <v>6383</v>
      </c>
      <c r="C46" s="8"/>
      <c r="D46" s="8" t="s">
        <v>2859</v>
      </c>
      <c r="E46" s="8"/>
      <c r="F46" s="8" t="s">
        <v>70</v>
      </c>
      <c r="G46" s="8" t="s">
        <v>2533</v>
      </c>
      <c r="H46" s="8" t="s">
        <v>96</v>
      </c>
      <c r="I46" s="8" t="s">
        <v>218</v>
      </c>
      <c r="J46" s="8" t="s">
        <v>6384</v>
      </c>
      <c r="K46" s="8" t="n">
        <v>1</v>
      </c>
      <c r="L46" s="8" t="n">
        <v>4</v>
      </c>
      <c r="M46" s="18" t="n">
        <f aca="false">INDEX('All Items'!$Q:$Q,MATCH($A46,'All Items'!$A:$A,0))</f>
        <v>8.45</v>
      </c>
      <c r="N46" s="8" t="s">
        <v>275</v>
      </c>
      <c r="O46" s="8" t="s">
        <v>6385</v>
      </c>
      <c r="P46" s="8" t="s">
        <v>6386</v>
      </c>
      <c r="Q46" s="8" t="s">
        <v>1695</v>
      </c>
      <c r="R46" s="8" t="s">
        <v>6387</v>
      </c>
      <c r="S46" s="8" t="s">
        <v>2865</v>
      </c>
      <c r="T46" s="19" t="s">
        <v>6388</v>
      </c>
      <c r="U46" s="8" t="s">
        <v>6389</v>
      </c>
      <c r="V46" s="8"/>
      <c r="W46" s="8" t="n">
        <f aca="false">COUNTA(N46:S46)</f>
        <v>6</v>
      </c>
      <c r="X46" s="8" t="s">
        <v>218</v>
      </c>
      <c r="Y46" s="8" t="s">
        <v>259</v>
      </c>
      <c r="Z46" s="8" t="s">
        <v>218</v>
      </c>
      <c r="AA46" s="8"/>
      <c r="AB46" s="8" t="s">
        <v>6390</v>
      </c>
      <c r="AC46" s="20" t="s">
        <v>6391</v>
      </c>
      <c r="AD46" s="20" t="s">
        <v>221</v>
      </c>
      <c r="AE46" s="20" t="s">
        <v>6392</v>
      </c>
      <c r="AF46" s="8" t="s">
        <v>223</v>
      </c>
      <c r="AG46" s="8" t="s">
        <v>224</v>
      </c>
    </row>
    <row r="47" customFormat="false" ht="15" hidden="false" customHeight="false" outlineLevel="0" collapsed="false">
      <c r="A47" s="8" t="s">
        <v>6393</v>
      </c>
      <c r="B47" s="8" t="s">
        <v>6394</v>
      </c>
      <c r="C47" s="8"/>
      <c r="D47" s="8" t="s">
        <v>3137</v>
      </c>
      <c r="E47" s="8"/>
      <c r="F47" s="8" t="s">
        <v>70</v>
      </c>
      <c r="G47" s="8" t="s">
        <v>2533</v>
      </c>
      <c r="H47" s="8" t="s">
        <v>95</v>
      </c>
      <c r="I47" s="8" t="s">
        <v>218</v>
      </c>
      <c r="J47" s="8" t="s">
        <v>6363</v>
      </c>
      <c r="K47" s="8" t="n">
        <v>1</v>
      </c>
      <c r="L47" s="8" t="n">
        <v>4</v>
      </c>
      <c r="M47" s="18" t="n">
        <f aca="false">INDEX('All Items'!$Q:$Q,MATCH($A47,'All Items'!$A:$A,0))</f>
        <v>7.95</v>
      </c>
      <c r="N47" s="8" t="s">
        <v>275</v>
      </c>
      <c r="O47" s="8" t="s">
        <v>6395</v>
      </c>
      <c r="P47" s="8" t="s">
        <v>2891</v>
      </c>
      <c r="Q47" s="8" t="s">
        <v>6396</v>
      </c>
      <c r="R47" s="8" t="s">
        <v>6397</v>
      </c>
      <c r="S47" s="8" t="s">
        <v>3187</v>
      </c>
      <c r="T47" s="19" t="s">
        <v>6398</v>
      </c>
      <c r="U47" s="8" t="s">
        <v>6399</v>
      </c>
      <c r="V47" s="8"/>
      <c r="W47" s="8" t="n">
        <f aca="false">COUNTA(N47:S47)</f>
        <v>6</v>
      </c>
      <c r="X47" s="8" t="s">
        <v>218</v>
      </c>
      <c r="Y47" s="8" t="s">
        <v>259</v>
      </c>
      <c r="Z47" s="8" t="s">
        <v>218</v>
      </c>
      <c r="AA47" s="8"/>
      <c r="AB47" s="8" t="s">
        <v>6400</v>
      </c>
      <c r="AC47" s="20"/>
      <c r="AD47" s="20"/>
      <c r="AE47" s="20"/>
      <c r="AF47" s="8" t="s">
        <v>237</v>
      </c>
      <c r="AG47" s="8" t="s">
        <v>224</v>
      </c>
    </row>
    <row r="48" customFormat="false" ht="15" hidden="false" customHeight="false" outlineLevel="0" collapsed="false">
      <c r="A48" s="8" t="s">
        <v>6401</v>
      </c>
      <c r="B48" s="8" t="s">
        <v>6402</v>
      </c>
      <c r="C48" s="8"/>
      <c r="D48" s="8" t="s">
        <v>2532</v>
      </c>
      <c r="E48" s="8"/>
      <c r="F48" s="8" t="s">
        <v>70</v>
      </c>
      <c r="G48" s="8" t="s">
        <v>2533</v>
      </c>
      <c r="H48" s="8" t="s">
        <v>95</v>
      </c>
      <c r="I48" s="8" t="s">
        <v>218</v>
      </c>
      <c r="J48" s="8" t="s">
        <v>6403</v>
      </c>
      <c r="K48" s="8" t="n">
        <v>2</v>
      </c>
      <c r="L48" s="8" t="n">
        <v>3</v>
      </c>
      <c r="M48" s="18" t="n">
        <f aca="false">INDEX('All Items'!$Q:$Q,MATCH($A48,'All Items'!$A:$A,0))</f>
        <v>6.9</v>
      </c>
      <c r="N48" s="8" t="s">
        <v>6404</v>
      </c>
      <c r="O48" s="8" t="s">
        <v>1695</v>
      </c>
      <c r="P48" s="8" t="s">
        <v>6405</v>
      </c>
      <c r="Q48" s="8" t="s">
        <v>6406</v>
      </c>
      <c r="R48" s="8" t="s">
        <v>6407</v>
      </c>
      <c r="S48" s="8" t="s">
        <v>6408</v>
      </c>
      <c r="T48" s="19" t="s">
        <v>6409</v>
      </c>
      <c r="U48" s="8" t="s">
        <v>6404</v>
      </c>
      <c r="V48" s="8"/>
      <c r="W48" s="8" t="n">
        <f aca="false">COUNTA(N48:S48)</f>
        <v>6</v>
      </c>
      <c r="X48" s="8" t="s">
        <v>218</v>
      </c>
      <c r="Y48" s="8" t="s">
        <v>259</v>
      </c>
      <c r="Z48" s="8" t="s">
        <v>218</v>
      </c>
      <c r="AA48" s="8"/>
      <c r="AB48" s="8" t="s">
        <v>6410</v>
      </c>
      <c r="AC48" s="20"/>
      <c r="AD48" s="20"/>
      <c r="AE48" s="20"/>
      <c r="AF48" s="8" t="s">
        <v>237</v>
      </c>
      <c r="AG48" s="8" t="s">
        <v>224</v>
      </c>
    </row>
    <row r="49" customFormat="false" ht="15" hidden="false" customHeight="false" outlineLevel="0" collapsed="false">
      <c r="A49" s="8" t="s">
        <v>6411</v>
      </c>
      <c r="B49" s="8" t="s">
        <v>6412</v>
      </c>
      <c r="C49" s="8"/>
      <c r="D49" s="8" t="s">
        <v>3137</v>
      </c>
      <c r="E49" s="8"/>
      <c r="F49" s="8" t="s">
        <v>70</v>
      </c>
      <c r="G49" s="8" t="s">
        <v>2533</v>
      </c>
      <c r="H49" s="8" t="s">
        <v>96</v>
      </c>
      <c r="I49" s="8" t="s">
        <v>218</v>
      </c>
      <c r="J49" s="8" t="s">
        <v>6413</v>
      </c>
      <c r="K49" s="8" t="n">
        <v>2</v>
      </c>
      <c r="L49" s="8" t="n">
        <v>3</v>
      </c>
      <c r="M49" s="18" t="n">
        <f aca="false">INDEX('All Items'!$Q:$Q,MATCH($A49,'All Items'!$A:$A,0))</f>
        <v>7.15</v>
      </c>
      <c r="N49" s="8" t="s">
        <v>275</v>
      </c>
      <c r="O49" s="8" t="s">
        <v>6414</v>
      </c>
      <c r="P49" s="8" t="s">
        <v>6415</v>
      </c>
      <c r="Q49" s="8" t="s">
        <v>6416</v>
      </c>
      <c r="R49" s="8" t="s">
        <v>6417</v>
      </c>
      <c r="S49" s="8" t="s">
        <v>3187</v>
      </c>
      <c r="T49" s="19" t="s">
        <v>6418</v>
      </c>
      <c r="U49" s="8" t="s">
        <v>6419</v>
      </c>
      <c r="V49" s="8"/>
      <c r="W49" s="8" t="n">
        <f aca="false">COUNTA(N49:S49)</f>
        <v>6</v>
      </c>
      <c r="X49" s="8" t="s">
        <v>218</v>
      </c>
      <c r="Y49" s="8" t="s">
        <v>259</v>
      </c>
      <c r="Z49" s="8" t="s">
        <v>218</v>
      </c>
      <c r="AA49" s="8"/>
      <c r="AB49" s="8" t="s">
        <v>6420</v>
      </c>
      <c r="AC49" s="20"/>
      <c r="AD49" s="20"/>
      <c r="AE49" s="20"/>
      <c r="AF49" s="8" t="s">
        <v>237</v>
      </c>
      <c r="AG49" s="8" t="s">
        <v>224</v>
      </c>
    </row>
    <row r="50" customFormat="false" ht="15" hidden="false" customHeight="false" outlineLevel="0" collapsed="false">
      <c r="A50" s="8" t="s">
        <v>6421</v>
      </c>
      <c r="B50" s="8" t="s">
        <v>6422</v>
      </c>
      <c r="C50" s="8"/>
      <c r="D50" s="8" t="s">
        <v>5207</v>
      </c>
      <c r="E50" s="8"/>
      <c r="F50" s="8" t="s">
        <v>72</v>
      </c>
      <c r="G50" s="8" t="s">
        <v>5047</v>
      </c>
      <c r="H50" s="8" t="s">
        <v>95</v>
      </c>
      <c r="I50" s="8" t="s">
        <v>218</v>
      </c>
      <c r="J50" s="8" t="s">
        <v>6363</v>
      </c>
      <c r="K50" s="8" t="n">
        <v>1</v>
      </c>
      <c r="L50" s="8" t="n">
        <v>4</v>
      </c>
      <c r="M50" s="18" t="n">
        <f aca="false">INDEX('All Items'!$Q:$Q,MATCH($A50,'All Items'!$A:$A,0))</f>
        <v>7.95</v>
      </c>
      <c r="N50" s="8" t="s">
        <v>552</v>
      </c>
      <c r="O50" s="8" t="s">
        <v>6423</v>
      </c>
      <c r="P50" s="8" t="s">
        <v>6424</v>
      </c>
      <c r="Q50" s="8" t="s">
        <v>6425</v>
      </c>
      <c r="R50" s="8" t="s">
        <v>5276</v>
      </c>
      <c r="S50" s="8" t="s">
        <v>5367</v>
      </c>
      <c r="T50" s="19" t="s">
        <v>6426</v>
      </c>
      <c r="U50" s="8" t="s">
        <v>6427</v>
      </c>
      <c r="V50" s="8"/>
      <c r="W50" s="8" t="n">
        <f aca="false">COUNTA(N50:S50)</f>
        <v>6</v>
      </c>
      <c r="X50" s="8" t="s">
        <v>218</v>
      </c>
      <c r="Y50" s="8" t="s">
        <v>259</v>
      </c>
      <c r="Z50" s="8" t="s">
        <v>218</v>
      </c>
      <c r="AA50" s="8"/>
      <c r="AB50" s="8" t="s">
        <v>6428</v>
      </c>
      <c r="AC50" s="20" t="s">
        <v>6429</v>
      </c>
      <c r="AD50" s="20" t="s">
        <v>221</v>
      </c>
      <c r="AE50" s="20" t="s">
        <v>6430</v>
      </c>
      <c r="AF50" s="8" t="s">
        <v>223</v>
      </c>
      <c r="AG50" s="8" t="s">
        <v>224</v>
      </c>
    </row>
    <row r="51" customFormat="false" ht="15" hidden="false" customHeight="false" outlineLevel="0" collapsed="false">
      <c r="A51" s="8" t="s">
        <v>6431</v>
      </c>
      <c r="B51" s="8" t="s">
        <v>6432</v>
      </c>
      <c r="C51" s="8"/>
      <c r="D51" s="8" t="s">
        <v>5207</v>
      </c>
      <c r="E51" s="8"/>
      <c r="F51" s="8" t="s">
        <v>72</v>
      </c>
      <c r="G51" s="8" t="s">
        <v>5047</v>
      </c>
      <c r="H51" s="8" t="s">
        <v>95</v>
      </c>
      <c r="I51" s="8" t="s">
        <v>218</v>
      </c>
      <c r="J51" s="8" t="s">
        <v>6433</v>
      </c>
      <c r="K51" s="8" t="n">
        <v>2</v>
      </c>
      <c r="L51" s="8" t="n">
        <v>3</v>
      </c>
      <c r="M51" s="18" t="n">
        <f aca="false">INDEX('All Items'!$Q:$Q,MATCH($A51,'All Items'!$A:$A,0))</f>
        <v>6.9</v>
      </c>
      <c r="N51" s="8" t="s">
        <v>612</v>
      </c>
      <c r="O51" s="8" t="s">
        <v>743</v>
      </c>
      <c r="P51" s="8" t="s">
        <v>6424</v>
      </c>
      <c r="Q51" s="8" t="s">
        <v>6434</v>
      </c>
      <c r="R51" s="8" t="s">
        <v>5276</v>
      </c>
      <c r="S51" s="8" t="s">
        <v>6435</v>
      </c>
      <c r="T51" s="19" t="s">
        <v>6436</v>
      </c>
      <c r="U51" s="8" t="s">
        <v>6424</v>
      </c>
      <c r="V51" s="8"/>
      <c r="W51" s="8" t="n">
        <f aca="false">COUNTA(N51:S51)</f>
        <v>6</v>
      </c>
      <c r="X51" s="8" t="s">
        <v>218</v>
      </c>
      <c r="Y51" s="8" t="s">
        <v>259</v>
      </c>
      <c r="Z51" s="8" t="s">
        <v>218</v>
      </c>
      <c r="AA51" s="8"/>
      <c r="AB51" s="8" t="s">
        <v>6437</v>
      </c>
      <c r="AC51" s="20" t="s">
        <v>6438</v>
      </c>
      <c r="AD51" s="20" t="s">
        <v>221</v>
      </c>
      <c r="AE51" s="20" t="s">
        <v>6439</v>
      </c>
      <c r="AF51" s="8" t="s">
        <v>223</v>
      </c>
      <c r="AG51" s="8" t="s">
        <v>224</v>
      </c>
    </row>
    <row r="52" customFormat="false" ht="15" hidden="false" customHeight="false" outlineLevel="0" collapsed="false">
      <c r="A52" s="8" t="s">
        <v>6440</v>
      </c>
      <c r="B52" s="8" t="s">
        <v>6441</v>
      </c>
      <c r="C52" s="8"/>
      <c r="D52" s="8" t="s">
        <v>5446</v>
      </c>
      <c r="E52" s="8"/>
      <c r="F52" s="8" t="s">
        <v>72</v>
      </c>
      <c r="G52" s="8" t="s">
        <v>5447</v>
      </c>
      <c r="H52" s="8" t="s">
        <v>95</v>
      </c>
      <c r="I52" s="8" t="s">
        <v>218</v>
      </c>
      <c r="J52" s="8" t="s">
        <v>6442</v>
      </c>
      <c r="K52" s="8" t="n">
        <v>2</v>
      </c>
      <c r="L52" s="8" t="n">
        <v>3</v>
      </c>
      <c r="M52" s="18" t="n">
        <f aca="false">INDEX('All Items'!$Q:$Q,MATCH($A52,'All Items'!$A:$A,0))</f>
        <v>6.9</v>
      </c>
      <c r="N52" s="8" t="s">
        <v>6423</v>
      </c>
      <c r="O52" s="8" t="s">
        <v>6443</v>
      </c>
      <c r="P52" s="8" t="s">
        <v>6314</v>
      </c>
      <c r="Q52" s="8" t="s">
        <v>6444</v>
      </c>
      <c r="R52" s="8" t="s">
        <v>6445</v>
      </c>
      <c r="S52" s="8" t="s">
        <v>6446</v>
      </c>
      <c r="T52" s="19" t="s">
        <v>6447</v>
      </c>
      <c r="U52" s="8" t="s">
        <v>6314</v>
      </c>
      <c r="V52" s="8"/>
      <c r="W52" s="8" t="n">
        <f aca="false">COUNTA(N52:S52)</f>
        <v>6</v>
      </c>
      <c r="X52" s="8" t="s">
        <v>218</v>
      </c>
      <c r="Y52" s="8" t="s">
        <v>259</v>
      </c>
      <c r="Z52" s="8" t="s">
        <v>259</v>
      </c>
      <c r="AA52" s="8" t="s">
        <v>6139</v>
      </c>
      <c r="AB52" s="8" t="s">
        <v>6448</v>
      </c>
      <c r="AC52" s="20" t="s">
        <v>6449</v>
      </c>
      <c r="AD52" s="20" t="s">
        <v>221</v>
      </c>
      <c r="AE52" s="20" t="s">
        <v>6274</v>
      </c>
      <c r="AF52" s="8" t="s">
        <v>223</v>
      </c>
      <c r="AG52" s="8" t="s">
        <v>224</v>
      </c>
    </row>
    <row r="53" customFormat="false" ht="15" hidden="false" customHeight="false" outlineLevel="0" collapsed="false">
      <c r="A53" s="8" t="s">
        <v>6450</v>
      </c>
      <c r="B53" s="8" t="s">
        <v>6451</v>
      </c>
      <c r="C53" s="8"/>
      <c r="D53" s="8" t="s">
        <v>4923</v>
      </c>
      <c r="E53" s="8"/>
      <c r="F53" s="8" t="s">
        <v>71</v>
      </c>
      <c r="G53" s="8" t="s">
        <v>3829</v>
      </c>
      <c r="H53" s="8" t="s">
        <v>95</v>
      </c>
      <c r="I53" s="8" t="s">
        <v>218</v>
      </c>
      <c r="J53" s="8" t="s">
        <v>6442</v>
      </c>
      <c r="K53" s="8" t="n">
        <v>2</v>
      </c>
      <c r="L53" s="8" t="n">
        <v>3</v>
      </c>
      <c r="M53" s="18" t="n">
        <f aca="false">INDEX('All Items'!$Q:$Q,MATCH($A53,'All Items'!$A:$A,0))</f>
        <v>6.65</v>
      </c>
      <c r="N53" s="8" t="s">
        <v>6415</v>
      </c>
      <c r="O53" s="8" t="s">
        <v>6452</v>
      </c>
      <c r="P53" s="8" t="s">
        <v>6453</v>
      </c>
      <c r="Q53" s="8" t="s">
        <v>6454</v>
      </c>
      <c r="R53" s="8" t="s">
        <v>6455</v>
      </c>
      <c r="S53" s="8" t="s">
        <v>4925</v>
      </c>
      <c r="T53" s="19" t="s">
        <v>6456</v>
      </c>
      <c r="U53" s="8" t="s">
        <v>6454</v>
      </c>
      <c r="V53" s="8"/>
      <c r="W53" s="8" t="n">
        <f aca="false">COUNTA(N53:S53)</f>
        <v>6</v>
      </c>
      <c r="X53" s="8" t="s">
        <v>218</v>
      </c>
      <c r="Y53" s="8" t="s">
        <v>259</v>
      </c>
      <c r="Z53" s="8" t="s">
        <v>218</v>
      </c>
      <c r="AA53" s="8"/>
      <c r="AB53" s="8" t="s">
        <v>6457</v>
      </c>
      <c r="AC53" s="20"/>
      <c r="AD53" s="20"/>
      <c r="AE53" s="20"/>
      <c r="AF53" s="8" t="s">
        <v>237</v>
      </c>
      <c r="AG53" s="8" t="s">
        <v>224</v>
      </c>
    </row>
    <row r="54" customFormat="false" ht="15" hidden="false" customHeight="false" outlineLevel="0" collapsed="false">
      <c r="A54" s="8" t="s">
        <v>6458</v>
      </c>
      <c r="B54" s="8" t="s">
        <v>6459</v>
      </c>
      <c r="C54" s="8"/>
      <c r="D54" s="8" t="s">
        <v>4987</v>
      </c>
      <c r="E54" s="8"/>
      <c r="F54" s="8" t="s">
        <v>70</v>
      </c>
      <c r="G54" s="8" t="s">
        <v>4902</v>
      </c>
      <c r="H54" s="8" t="s">
        <v>95</v>
      </c>
      <c r="I54" s="8" t="s">
        <v>218</v>
      </c>
      <c r="J54" s="8" t="s">
        <v>6460</v>
      </c>
      <c r="K54" s="8" t="n">
        <v>2</v>
      </c>
      <c r="L54" s="8" t="n">
        <v>3</v>
      </c>
      <c r="M54" s="18" t="n">
        <f aca="false">INDEX('All Items'!$Q:$Q,MATCH($A54,'All Items'!$A:$A,0))</f>
        <v>6.65</v>
      </c>
      <c r="N54" s="8" t="s">
        <v>6415</v>
      </c>
      <c r="O54" s="8" t="s">
        <v>6461</v>
      </c>
      <c r="P54" s="8" t="s">
        <v>6454</v>
      </c>
      <c r="Q54" s="8" t="s">
        <v>6462</v>
      </c>
      <c r="R54" s="8" t="s">
        <v>6455</v>
      </c>
      <c r="S54" s="8" t="s">
        <v>4991</v>
      </c>
      <c r="T54" s="19" t="s">
        <v>6463</v>
      </c>
      <c r="U54" s="8" t="s">
        <v>6464</v>
      </c>
      <c r="V54" s="8"/>
      <c r="W54" s="8" t="n">
        <f aca="false">COUNTA(N54:S54)</f>
        <v>6</v>
      </c>
      <c r="X54" s="8" t="s">
        <v>218</v>
      </c>
      <c r="Y54" s="8" t="s">
        <v>259</v>
      </c>
      <c r="Z54" s="8" t="s">
        <v>218</v>
      </c>
      <c r="AA54" s="8"/>
      <c r="AB54" s="8" t="s">
        <v>6465</v>
      </c>
      <c r="AC54" s="20"/>
      <c r="AD54" s="20"/>
      <c r="AE54" s="20"/>
      <c r="AF54" s="8" t="s">
        <v>237</v>
      </c>
      <c r="AG54" s="8" t="s">
        <v>224</v>
      </c>
    </row>
    <row r="55" customFormat="false" ht="15" hidden="false" customHeight="false" outlineLevel="0" collapsed="false">
      <c r="A55" s="8" t="s">
        <v>6466</v>
      </c>
      <c r="B55" s="8" t="s">
        <v>6467</v>
      </c>
      <c r="C55" s="8"/>
      <c r="D55" s="8" t="s">
        <v>3828</v>
      </c>
      <c r="E55" s="8"/>
      <c r="F55" s="8" t="s">
        <v>71</v>
      </c>
      <c r="G55" s="8" t="s">
        <v>3829</v>
      </c>
      <c r="H55" s="8" t="s">
        <v>95</v>
      </c>
      <c r="I55" s="8" t="s">
        <v>218</v>
      </c>
      <c r="J55" s="8" t="s">
        <v>6468</v>
      </c>
      <c r="K55" s="8" t="n">
        <v>2</v>
      </c>
      <c r="L55" s="8" t="n">
        <v>3</v>
      </c>
      <c r="M55" s="18" t="n">
        <f aca="false">INDEX('All Items'!$Q:$Q,MATCH($A55,'All Items'!$A:$A,0))</f>
        <v>6.65</v>
      </c>
      <c r="N55" s="8" t="s">
        <v>6423</v>
      </c>
      <c r="O55" s="8" t="s">
        <v>6443</v>
      </c>
      <c r="P55" s="8" t="s">
        <v>6469</v>
      </c>
      <c r="Q55" s="8" t="s">
        <v>6470</v>
      </c>
      <c r="R55" s="8" t="s">
        <v>6471</v>
      </c>
      <c r="S55" s="8" t="s">
        <v>3854</v>
      </c>
      <c r="T55" s="19" t="s">
        <v>6472</v>
      </c>
      <c r="U55" s="8" t="s">
        <v>6470</v>
      </c>
      <c r="V55" s="8"/>
      <c r="W55" s="8" t="n">
        <f aca="false">COUNTA(N55:S55)</f>
        <v>6</v>
      </c>
      <c r="X55" s="8" t="s">
        <v>218</v>
      </c>
      <c r="Y55" s="8" t="s">
        <v>259</v>
      </c>
      <c r="Z55" s="8" t="s">
        <v>218</v>
      </c>
      <c r="AA55" s="8"/>
      <c r="AB55" s="8" t="s">
        <v>6473</v>
      </c>
      <c r="AC55" s="20" t="s">
        <v>6474</v>
      </c>
      <c r="AD55" s="20" t="s">
        <v>516</v>
      </c>
      <c r="AE55" s="20" t="s">
        <v>6475</v>
      </c>
      <c r="AF55" s="8" t="s">
        <v>223</v>
      </c>
      <c r="AG55" s="8" t="s">
        <v>224</v>
      </c>
    </row>
    <row r="56" customFormat="false" ht="15" hidden="false" customHeight="false" outlineLevel="0" collapsed="false">
      <c r="A56" s="8" t="s">
        <v>6476</v>
      </c>
      <c r="B56" s="8" t="s">
        <v>6477</v>
      </c>
      <c r="C56" s="8"/>
      <c r="D56" s="8" t="s">
        <v>3828</v>
      </c>
      <c r="E56" s="8"/>
      <c r="F56" s="8" t="s">
        <v>71</v>
      </c>
      <c r="G56" s="8" t="s">
        <v>3829</v>
      </c>
      <c r="H56" s="8" t="s">
        <v>100</v>
      </c>
      <c r="I56" s="8" t="s">
        <v>218</v>
      </c>
      <c r="J56" s="8" t="s">
        <v>6478</v>
      </c>
      <c r="K56" s="8" t="n">
        <v>1</v>
      </c>
      <c r="L56" s="8" t="n">
        <v>4</v>
      </c>
      <c r="M56" s="18" t="n">
        <f aca="false">INDEX('All Items'!$Q:$Q,MATCH($A56,'All Items'!$A:$A,0))</f>
        <v>8.45</v>
      </c>
      <c r="N56" s="8" t="s">
        <v>6479</v>
      </c>
      <c r="O56" s="8" t="s">
        <v>6188</v>
      </c>
      <c r="P56" s="8" t="s">
        <v>6480</v>
      </c>
      <c r="Q56" s="8" t="s">
        <v>6481</v>
      </c>
      <c r="R56" s="8" t="s">
        <v>6482</v>
      </c>
      <c r="S56" s="8"/>
      <c r="T56" s="19" t="s">
        <v>6483</v>
      </c>
      <c r="U56" s="8" t="s">
        <v>6484</v>
      </c>
      <c r="V56" s="8"/>
      <c r="W56" s="8" t="n">
        <f aca="false">COUNTA(N56:S56)</f>
        <v>5</v>
      </c>
      <c r="X56" s="8" t="s">
        <v>218</v>
      </c>
      <c r="Y56" s="8" t="s">
        <v>259</v>
      </c>
      <c r="Z56" s="8" t="s">
        <v>218</v>
      </c>
      <c r="AA56" s="8"/>
      <c r="AB56" s="8" t="s">
        <v>6485</v>
      </c>
      <c r="AC56" s="20"/>
      <c r="AD56" s="20"/>
      <c r="AE56" s="20"/>
      <c r="AF56" s="8" t="s">
        <v>237</v>
      </c>
      <c r="AG56" s="8" t="s">
        <v>224</v>
      </c>
    </row>
    <row r="57" customFormat="false" ht="15" hidden="false" customHeight="false" outlineLevel="0" collapsed="false">
      <c r="A57" s="8" t="s">
        <v>6486</v>
      </c>
      <c r="B57" s="8" t="s">
        <v>6487</v>
      </c>
      <c r="C57" s="8"/>
      <c r="D57" s="8" t="s">
        <v>4296</v>
      </c>
      <c r="E57" s="8"/>
      <c r="F57" s="8" t="s">
        <v>71</v>
      </c>
      <c r="G57" s="8" t="s">
        <v>4082</v>
      </c>
      <c r="H57" s="8" t="s">
        <v>95</v>
      </c>
      <c r="I57" s="8" t="s">
        <v>218</v>
      </c>
      <c r="J57" s="8" t="s">
        <v>6488</v>
      </c>
      <c r="K57" s="8" t="n">
        <v>2</v>
      </c>
      <c r="L57" s="8" t="n">
        <v>3</v>
      </c>
      <c r="M57" s="18" t="n">
        <f aca="false">INDEX('All Items'!$Q:$Q,MATCH($A57,'All Items'!$A:$A,0))</f>
        <v>6.65</v>
      </c>
      <c r="N57" s="8" t="s">
        <v>6489</v>
      </c>
      <c r="O57" s="8" t="s">
        <v>6490</v>
      </c>
      <c r="P57" s="8" t="s">
        <v>6491</v>
      </c>
      <c r="Q57" s="8" t="s">
        <v>6454</v>
      </c>
      <c r="R57" s="8" t="s">
        <v>6492</v>
      </c>
      <c r="S57" s="8"/>
      <c r="T57" s="19" t="s">
        <v>6493</v>
      </c>
      <c r="U57" s="8" t="s">
        <v>6494</v>
      </c>
      <c r="V57" s="8"/>
      <c r="W57" s="8" t="n">
        <f aca="false">COUNTA(N57:S57)</f>
        <v>5</v>
      </c>
      <c r="X57" s="8" t="s">
        <v>218</v>
      </c>
      <c r="Y57" s="8" t="s">
        <v>259</v>
      </c>
      <c r="Z57" s="8" t="s">
        <v>259</v>
      </c>
      <c r="AA57" s="8" t="s">
        <v>6495</v>
      </c>
      <c r="AB57" s="8" t="s">
        <v>6496</v>
      </c>
      <c r="AC57" s="20"/>
      <c r="AD57" s="20"/>
      <c r="AE57" s="20"/>
      <c r="AF57" s="8" t="s">
        <v>237</v>
      </c>
      <c r="AG57" s="8" t="s">
        <v>224</v>
      </c>
    </row>
    <row r="58" customFormat="false" ht="15" hidden="false" customHeight="false" outlineLevel="0" collapsed="false">
      <c r="A58" s="8" t="s">
        <v>6497</v>
      </c>
      <c r="B58" s="8" t="s">
        <v>6498</v>
      </c>
      <c r="C58" s="8"/>
      <c r="D58" s="8" t="s">
        <v>4081</v>
      </c>
      <c r="E58" s="8"/>
      <c r="F58" s="8" t="s">
        <v>71</v>
      </c>
      <c r="G58" s="8" t="s">
        <v>4082</v>
      </c>
      <c r="H58" s="8" t="s">
        <v>95</v>
      </c>
      <c r="I58" s="8" t="s">
        <v>218</v>
      </c>
      <c r="J58" s="8" t="s">
        <v>6499</v>
      </c>
      <c r="K58" s="8" t="n">
        <v>1</v>
      </c>
      <c r="L58" s="8" t="n">
        <v>3</v>
      </c>
      <c r="M58" s="18" t="n">
        <f aca="false">INDEX('All Items'!$Q:$Q,MATCH($A58,'All Items'!$A:$A,0))</f>
        <v>6.9</v>
      </c>
      <c r="N58" s="8" t="s">
        <v>6500</v>
      </c>
      <c r="O58" s="8" t="s">
        <v>6501</v>
      </c>
      <c r="P58" s="8" t="s">
        <v>3860</v>
      </c>
      <c r="Q58" s="8" t="s">
        <v>6444</v>
      </c>
      <c r="R58" s="8" t="s">
        <v>4136</v>
      </c>
      <c r="S58" s="8" t="s">
        <v>6502</v>
      </c>
      <c r="T58" s="19" t="s">
        <v>6503</v>
      </c>
      <c r="U58" s="8" t="s">
        <v>3860</v>
      </c>
      <c r="V58" s="8"/>
      <c r="W58" s="8" t="n">
        <f aca="false">COUNTA(N58:S58)</f>
        <v>6</v>
      </c>
      <c r="X58" s="8" t="s">
        <v>218</v>
      </c>
      <c r="Y58" s="8" t="s">
        <v>259</v>
      </c>
      <c r="Z58" s="8" t="s">
        <v>218</v>
      </c>
      <c r="AA58" s="8"/>
      <c r="AB58" s="8" t="s">
        <v>6504</v>
      </c>
      <c r="AC58" s="20" t="s">
        <v>6505</v>
      </c>
      <c r="AD58" s="20" t="s">
        <v>1174</v>
      </c>
      <c r="AE58" s="20" t="s">
        <v>6506</v>
      </c>
      <c r="AF58" s="8" t="s">
        <v>223</v>
      </c>
      <c r="AG58" s="8" t="s">
        <v>224</v>
      </c>
    </row>
    <row r="59" customFormat="false" ht="15" hidden="false" customHeight="false" outlineLevel="0" collapsed="false">
      <c r="A59" s="8" t="s">
        <v>6507</v>
      </c>
      <c r="B59" s="8" t="s">
        <v>6508</v>
      </c>
      <c r="C59" s="8"/>
      <c r="D59" s="8" t="s">
        <v>4081</v>
      </c>
      <c r="E59" s="8"/>
      <c r="F59" s="8" t="s">
        <v>71</v>
      </c>
      <c r="G59" s="8" t="s">
        <v>4082</v>
      </c>
      <c r="H59" s="8" t="s">
        <v>98</v>
      </c>
      <c r="I59" s="8" t="s">
        <v>218</v>
      </c>
      <c r="J59" s="8" t="s">
        <v>6187</v>
      </c>
      <c r="K59" s="8" t="n">
        <v>1</v>
      </c>
      <c r="L59" s="8" t="n">
        <v>4</v>
      </c>
      <c r="M59" s="18" t="n">
        <f aca="false">INDEX('All Items'!$Q:$Q,MATCH($A59,'All Items'!$A:$A,0))</f>
        <v>7.95</v>
      </c>
      <c r="N59" s="8" t="s">
        <v>6509</v>
      </c>
      <c r="O59" s="8" t="s">
        <v>6200</v>
      </c>
      <c r="P59" s="8" t="s">
        <v>6510</v>
      </c>
      <c r="Q59" s="8" t="s">
        <v>6198</v>
      </c>
      <c r="R59" s="8" t="s">
        <v>4136</v>
      </c>
      <c r="S59" s="8" t="s">
        <v>6511</v>
      </c>
      <c r="T59" s="19" t="s">
        <v>6512</v>
      </c>
      <c r="U59" s="8" t="s">
        <v>6510</v>
      </c>
      <c r="V59" s="8"/>
      <c r="W59" s="8" t="n">
        <f aca="false">COUNTA(N59:S59)</f>
        <v>6</v>
      </c>
      <c r="X59" s="8" t="s">
        <v>218</v>
      </c>
      <c r="Y59" s="8" t="s">
        <v>259</v>
      </c>
      <c r="Z59" s="8" t="s">
        <v>218</v>
      </c>
      <c r="AA59" s="8"/>
      <c r="AB59" s="8" t="s">
        <v>6513</v>
      </c>
      <c r="AC59" s="20"/>
      <c r="AD59" s="20"/>
      <c r="AE59" s="20"/>
      <c r="AF59" s="8" t="s">
        <v>237</v>
      </c>
      <c r="AG59" s="8" t="s">
        <v>224</v>
      </c>
    </row>
    <row r="60" customFormat="false" ht="15" hidden="false" customHeight="false" outlineLevel="0" collapsed="false">
      <c r="A60" s="8" t="s">
        <v>6514</v>
      </c>
      <c r="B60" s="8" t="s">
        <v>6515</v>
      </c>
      <c r="C60" s="8"/>
      <c r="D60" s="8" t="s">
        <v>3828</v>
      </c>
      <c r="E60" s="8"/>
      <c r="F60" s="8" t="s">
        <v>71</v>
      </c>
      <c r="G60" s="8" t="s">
        <v>3829</v>
      </c>
      <c r="H60" s="8" t="s">
        <v>98</v>
      </c>
      <c r="I60" s="8" t="s">
        <v>218</v>
      </c>
      <c r="J60" s="8" t="s">
        <v>6187</v>
      </c>
      <c r="K60" s="8" t="n">
        <v>1</v>
      </c>
      <c r="L60" s="8" t="n">
        <v>4</v>
      </c>
      <c r="M60" s="18" t="n">
        <f aca="false">INDEX('All Items'!$Q:$Q,MATCH($A60,'All Items'!$A:$A,0))</f>
        <v>7.95</v>
      </c>
      <c r="N60" s="8" t="s">
        <v>6516</v>
      </c>
      <c r="O60" s="8" t="s">
        <v>6200</v>
      </c>
      <c r="P60" s="8" t="s">
        <v>6517</v>
      </c>
      <c r="Q60" s="8" t="s">
        <v>6198</v>
      </c>
      <c r="R60" s="8" t="s">
        <v>3854</v>
      </c>
      <c r="S60" s="8" t="s">
        <v>6518</v>
      </c>
      <c r="T60" s="19" t="s">
        <v>6519</v>
      </c>
      <c r="U60" s="8" t="s">
        <v>6517</v>
      </c>
      <c r="V60" s="8"/>
      <c r="W60" s="8" t="n">
        <f aca="false">COUNTA(N60:S60)</f>
        <v>6</v>
      </c>
      <c r="X60" s="8" t="s">
        <v>218</v>
      </c>
      <c r="Y60" s="8" t="s">
        <v>259</v>
      </c>
      <c r="Z60" s="8" t="s">
        <v>218</v>
      </c>
      <c r="AA60" s="8"/>
      <c r="AB60" s="8" t="s">
        <v>6520</v>
      </c>
      <c r="AC60" s="20" t="s">
        <v>6521</v>
      </c>
      <c r="AD60" s="20" t="s">
        <v>595</v>
      </c>
      <c r="AE60" s="20" t="s">
        <v>6522</v>
      </c>
      <c r="AF60" s="8" t="s">
        <v>223</v>
      </c>
      <c r="AG60" s="8" t="s">
        <v>224</v>
      </c>
    </row>
    <row r="61" customFormat="false" ht="15" hidden="false" customHeight="false" outlineLevel="0" collapsed="false">
      <c r="A61" s="8" t="s">
        <v>6523</v>
      </c>
      <c r="B61" s="8" t="s">
        <v>6524</v>
      </c>
      <c r="C61" s="8"/>
      <c r="D61" s="8" t="s">
        <v>4403</v>
      </c>
      <c r="E61" s="8"/>
      <c r="F61" s="8" t="s">
        <v>71</v>
      </c>
      <c r="G61" s="8" t="s">
        <v>3829</v>
      </c>
      <c r="H61" s="8" t="s">
        <v>98</v>
      </c>
      <c r="I61" s="8" t="s">
        <v>218</v>
      </c>
      <c r="J61" s="8" t="s">
        <v>6442</v>
      </c>
      <c r="K61" s="8" t="n">
        <v>2</v>
      </c>
      <c r="L61" s="8" t="n">
        <v>3</v>
      </c>
      <c r="M61" s="18" t="n">
        <f aca="false">INDEX('All Items'!$Q:$Q,MATCH($A61,'All Items'!$A:$A,0))</f>
        <v>6.9</v>
      </c>
      <c r="N61" s="8" t="s">
        <v>6444</v>
      </c>
      <c r="O61" s="8" t="s">
        <v>6525</v>
      </c>
      <c r="P61" s="8" t="s">
        <v>731</v>
      </c>
      <c r="Q61" s="8" t="s">
        <v>3871</v>
      </c>
      <c r="R61" s="8" t="s">
        <v>4436</v>
      </c>
      <c r="S61" s="8" t="s">
        <v>6526</v>
      </c>
      <c r="T61" s="19" t="s">
        <v>6527</v>
      </c>
      <c r="U61" s="8" t="s">
        <v>6528</v>
      </c>
      <c r="V61" s="8"/>
      <c r="W61" s="8" t="n">
        <f aca="false">COUNTA(N61:S61)</f>
        <v>6</v>
      </c>
      <c r="X61" s="8" t="s">
        <v>218</v>
      </c>
      <c r="Y61" s="8" t="s">
        <v>259</v>
      </c>
      <c r="Z61" s="8" t="s">
        <v>218</v>
      </c>
      <c r="AA61" s="8"/>
      <c r="AB61" s="8" t="s">
        <v>6529</v>
      </c>
      <c r="AC61" s="20" t="s">
        <v>6530</v>
      </c>
      <c r="AD61" s="20" t="s">
        <v>384</v>
      </c>
      <c r="AE61" s="20" t="s">
        <v>6531</v>
      </c>
      <c r="AF61" s="8" t="s">
        <v>223</v>
      </c>
      <c r="AG61" s="8" t="s">
        <v>224</v>
      </c>
    </row>
    <row r="62" customFormat="false" ht="15" hidden="false" customHeight="false" outlineLevel="0" collapsed="false">
      <c r="A62" s="8" t="s">
        <v>6532</v>
      </c>
      <c r="B62" s="8" t="s">
        <v>6533</v>
      </c>
      <c r="C62" s="8"/>
      <c r="D62" s="8" t="s">
        <v>4325</v>
      </c>
      <c r="E62" s="8"/>
      <c r="F62" s="8" t="s">
        <v>71</v>
      </c>
      <c r="G62" s="8" t="s">
        <v>3829</v>
      </c>
      <c r="H62" s="8" t="s">
        <v>98</v>
      </c>
      <c r="I62" s="8" t="s">
        <v>218</v>
      </c>
      <c r="J62" s="8" t="s">
        <v>6433</v>
      </c>
      <c r="K62" s="8" t="n">
        <v>2</v>
      </c>
      <c r="L62" s="8" t="n">
        <v>3</v>
      </c>
      <c r="M62" s="18" t="n">
        <f aca="false">INDEX('All Items'!$Q:$Q,MATCH($A62,'All Items'!$A:$A,0))</f>
        <v>6.9</v>
      </c>
      <c r="N62" s="8" t="s">
        <v>6534</v>
      </c>
      <c r="O62" s="8" t="s">
        <v>6535</v>
      </c>
      <c r="P62" s="8" t="s">
        <v>6525</v>
      </c>
      <c r="Q62" s="8" t="s">
        <v>6536</v>
      </c>
      <c r="R62" s="8" t="s">
        <v>4337</v>
      </c>
      <c r="S62" s="8" t="s">
        <v>6537</v>
      </c>
      <c r="T62" s="19" t="s">
        <v>6538</v>
      </c>
      <c r="U62" s="8" t="s">
        <v>6536</v>
      </c>
      <c r="V62" s="8"/>
      <c r="W62" s="8" t="n">
        <f aca="false">COUNTA(N62:S62)</f>
        <v>6</v>
      </c>
      <c r="X62" s="8" t="s">
        <v>218</v>
      </c>
      <c r="Y62" s="8" t="s">
        <v>259</v>
      </c>
      <c r="Z62" s="8" t="s">
        <v>218</v>
      </c>
      <c r="AA62" s="8"/>
      <c r="AB62" s="8" t="s">
        <v>6539</v>
      </c>
      <c r="AC62" s="20"/>
      <c r="AD62" s="20"/>
      <c r="AE62" s="20"/>
      <c r="AF62" s="8" t="s">
        <v>237</v>
      </c>
      <c r="AG62" s="8" t="s">
        <v>224</v>
      </c>
    </row>
    <row r="63" customFormat="false" ht="15" hidden="false" customHeight="false" outlineLevel="0" collapsed="false">
      <c r="A63" s="8" t="s">
        <v>6540</v>
      </c>
      <c r="B63" s="8" t="s">
        <v>6541</v>
      </c>
      <c r="C63" s="8"/>
      <c r="D63" s="8" t="s">
        <v>4448</v>
      </c>
      <c r="E63" s="8"/>
      <c r="F63" s="8" t="s">
        <v>71</v>
      </c>
      <c r="G63" s="8" t="s">
        <v>4449</v>
      </c>
      <c r="H63" s="8" t="s">
        <v>95</v>
      </c>
      <c r="I63" s="8" t="s">
        <v>218</v>
      </c>
      <c r="J63" s="8" t="s">
        <v>6542</v>
      </c>
      <c r="K63" s="8" t="n">
        <v>1</v>
      </c>
      <c r="L63" s="8" t="n">
        <v>4</v>
      </c>
      <c r="M63" s="18" t="n">
        <f aca="false">INDEX('All Items'!$Q:$Q,MATCH($A63,'All Items'!$A:$A,0))</f>
        <v>7.95</v>
      </c>
      <c r="N63" s="8" t="s">
        <v>6543</v>
      </c>
      <c r="O63" s="8" t="s">
        <v>6544</v>
      </c>
      <c r="P63" s="8" t="s">
        <v>6545</v>
      </c>
      <c r="Q63" s="8" t="s">
        <v>4564</v>
      </c>
      <c r="R63" s="8" t="s">
        <v>4566</v>
      </c>
      <c r="S63" s="8"/>
      <c r="T63" s="19" t="s">
        <v>6546</v>
      </c>
      <c r="U63" s="8" t="s">
        <v>6547</v>
      </c>
      <c r="V63" s="8"/>
      <c r="W63" s="8" t="n">
        <f aca="false">COUNTA(N63:S63)</f>
        <v>5</v>
      </c>
      <c r="X63" s="8" t="s">
        <v>218</v>
      </c>
      <c r="Y63" s="8" t="s">
        <v>259</v>
      </c>
      <c r="Z63" s="8" t="s">
        <v>218</v>
      </c>
      <c r="AA63" s="8"/>
      <c r="AB63" s="8" t="s">
        <v>6548</v>
      </c>
      <c r="AC63" s="20" t="s">
        <v>6549</v>
      </c>
      <c r="AD63" s="20" t="s">
        <v>1174</v>
      </c>
      <c r="AE63" s="20" t="s">
        <v>6550</v>
      </c>
      <c r="AF63" s="8" t="s">
        <v>223</v>
      </c>
      <c r="AG63" s="8" t="s">
        <v>224</v>
      </c>
    </row>
    <row r="64" customFormat="false" ht="15" hidden="false" customHeight="false" outlineLevel="0" collapsed="false">
      <c r="A64" s="8" t="s">
        <v>6551</v>
      </c>
      <c r="B64" s="8" t="s">
        <v>6552</v>
      </c>
      <c r="C64" s="8"/>
      <c r="D64" s="8" t="s">
        <v>5046</v>
      </c>
      <c r="E64" s="8"/>
      <c r="F64" s="8" t="s">
        <v>72</v>
      </c>
      <c r="G64" s="8" t="s">
        <v>5047</v>
      </c>
      <c r="H64" s="8" t="s">
        <v>95</v>
      </c>
      <c r="I64" s="8" t="s">
        <v>218</v>
      </c>
      <c r="J64" s="8" t="s">
        <v>5996</v>
      </c>
      <c r="K64" s="8" t="n">
        <v>1</v>
      </c>
      <c r="L64" s="8" t="n">
        <v>3</v>
      </c>
      <c r="M64" s="18" t="n">
        <f aca="false">INDEX('All Items'!$Q:$Q,MATCH($A64,'All Items'!$A:$A,0))</f>
        <v>6.65</v>
      </c>
      <c r="N64" s="8" t="s">
        <v>6553</v>
      </c>
      <c r="O64" s="8" t="s">
        <v>731</v>
      </c>
      <c r="P64" s="8" t="s">
        <v>6554</v>
      </c>
      <c r="Q64" s="8" t="s">
        <v>6555</v>
      </c>
      <c r="R64" s="8" t="s">
        <v>5050</v>
      </c>
      <c r="S64" s="8" t="s">
        <v>6556</v>
      </c>
      <c r="T64" s="19" t="s">
        <v>6557</v>
      </c>
      <c r="U64" s="8" t="s">
        <v>6554</v>
      </c>
      <c r="V64" s="8"/>
      <c r="W64" s="8" t="n">
        <f aca="false">COUNTA(N64:S64)</f>
        <v>6</v>
      </c>
      <c r="X64" s="8" t="s">
        <v>218</v>
      </c>
      <c r="Y64" s="8" t="s">
        <v>259</v>
      </c>
      <c r="Z64" s="8" t="s">
        <v>218</v>
      </c>
      <c r="AA64" s="8"/>
      <c r="AB64" s="8" t="s">
        <v>6558</v>
      </c>
      <c r="AC64" s="20"/>
      <c r="AD64" s="20"/>
      <c r="AE64" s="20"/>
      <c r="AF64" s="8" t="s">
        <v>237</v>
      </c>
      <c r="AG64" s="8" t="s">
        <v>224</v>
      </c>
    </row>
    <row r="65" customFormat="false" ht="15" hidden="false" customHeight="false" outlineLevel="0" collapsed="false">
      <c r="A65" s="8" t="s">
        <v>6559</v>
      </c>
      <c r="B65" s="8" t="s">
        <v>6560</v>
      </c>
      <c r="C65" s="8"/>
      <c r="D65" s="8" t="s">
        <v>4574</v>
      </c>
      <c r="E65" s="8"/>
      <c r="F65" s="8" t="s">
        <v>71</v>
      </c>
      <c r="G65" s="8" t="s">
        <v>4449</v>
      </c>
      <c r="H65" s="8" t="s">
        <v>95</v>
      </c>
      <c r="I65" s="8" t="s">
        <v>218</v>
      </c>
      <c r="J65" s="8" t="s">
        <v>5996</v>
      </c>
      <c r="K65" s="8" t="n">
        <v>2</v>
      </c>
      <c r="L65" s="8" t="n">
        <v>3</v>
      </c>
      <c r="M65" s="18" t="n">
        <f aca="false">INDEX('All Items'!$Q:$Q,MATCH($A65,'All Items'!$A:$A,0))</f>
        <v>6.65</v>
      </c>
      <c r="N65" s="8" t="s">
        <v>6543</v>
      </c>
      <c r="O65" s="8" t="s">
        <v>6561</v>
      </c>
      <c r="P65" s="8" t="s">
        <v>6562</v>
      </c>
      <c r="Q65" s="8" t="s">
        <v>6563</v>
      </c>
      <c r="R65" s="8" t="s">
        <v>6564</v>
      </c>
      <c r="S65" s="8" t="s">
        <v>6565</v>
      </c>
      <c r="T65" s="19" t="s">
        <v>6566</v>
      </c>
      <c r="U65" s="8" t="s">
        <v>6563</v>
      </c>
      <c r="V65" s="8"/>
      <c r="W65" s="8" t="n">
        <f aca="false">COUNTA(N65:S65)</f>
        <v>6</v>
      </c>
      <c r="X65" s="8" t="s">
        <v>218</v>
      </c>
      <c r="Y65" s="8" t="s">
        <v>259</v>
      </c>
      <c r="Z65" s="8" t="s">
        <v>218</v>
      </c>
      <c r="AA65" s="8"/>
      <c r="AB65" s="8" t="s">
        <v>6567</v>
      </c>
      <c r="AC65" s="20" t="s">
        <v>6568</v>
      </c>
      <c r="AD65" s="20" t="s">
        <v>1174</v>
      </c>
      <c r="AE65" s="20" t="s">
        <v>6569</v>
      </c>
      <c r="AF65" s="8" t="s">
        <v>223</v>
      </c>
      <c r="AG65" s="8" t="s">
        <v>224</v>
      </c>
    </row>
    <row r="66" customFormat="false" ht="15" hidden="false" customHeight="false" outlineLevel="0" collapsed="false">
      <c r="A66" s="8" t="s">
        <v>6570</v>
      </c>
      <c r="B66" s="8" t="s">
        <v>6571</v>
      </c>
      <c r="C66" s="8"/>
      <c r="D66" s="8" t="s">
        <v>2859</v>
      </c>
      <c r="E66" s="8"/>
      <c r="F66" s="8" t="s">
        <v>70</v>
      </c>
      <c r="G66" s="8" t="s">
        <v>2533</v>
      </c>
      <c r="H66" s="8" t="s">
        <v>95</v>
      </c>
      <c r="I66" s="8" t="s">
        <v>218</v>
      </c>
      <c r="J66" s="8" t="s">
        <v>5963</v>
      </c>
      <c r="K66" s="8" t="n">
        <v>2</v>
      </c>
      <c r="L66" s="8" t="n">
        <v>3</v>
      </c>
      <c r="M66" s="18" t="n">
        <f aca="false">INDEX('All Items'!$Q:$Q,MATCH($A66,'All Items'!$A:$A,0))</f>
        <v>6.65</v>
      </c>
      <c r="N66" s="8" t="s">
        <v>6572</v>
      </c>
      <c r="O66" s="8" t="s">
        <v>6072</v>
      </c>
      <c r="P66" s="8" t="s">
        <v>6545</v>
      </c>
      <c r="Q66" s="8" t="s">
        <v>6573</v>
      </c>
      <c r="R66" s="8" t="s">
        <v>6574</v>
      </c>
      <c r="S66" s="8"/>
      <c r="T66" s="19" t="s">
        <v>6575</v>
      </c>
      <c r="U66" s="8" t="s">
        <v>6545</v>
      </c>
      <c r="V66" s="8"/>
      <c r="W66" s="8" t="n">
        <f aca="false">COUNTA(N66:S66)</f>
        <v>5</v>
      </c>
      <c r="X66" s="8" t="s">
        <v>218</v>
      </c>
      <c r="Y66" s="8" t="s">
        <v>259</v>
      </c>
      <c r="Z66" s="8" t="s">
        <v>218</v>
      </c>
      <c r="AA66" s="8"/>
      <c r="AB66" s="8" t="s">
        <v>6576</v>
      </c>
      <c r="AC66" s="20"/>
      <c r="AD66" s="20"/>
      <c r="AE66" s="20"/>
      <c r="AF66" s="8" t="s">
        <v>237</v>
      </c>
      <c r="AG66" s="8" t="s">
        <v>224</v>
      </c>
    </row>
    <row r="67" customFormat="false" ht="15" hidden="false" customHeight="false" outlineLevel="0" collapsed="false">
      <c r="A67" s="8" t="s">
        <v>6577</v>
      </c>
      <c r="B67" s="8" t="s">
        <v>6578</v>
      </c>
      <c r="C67" s="8"/>
      <c r="D67" s="8" t="s">
        <v>6579</v>
      </c>
      <c r="E67" s="8"/>
      <c r="F67" s="8" t="s">
        <v>6579</v>
      </c>
      <c r="G67" s="8"/>
      <c r="H67" s="8" t="s">
        <v>95</v>
      </c>
      <c r="I67" s="8" t="s">
        <v>218</v>
      </c>
      <c r="J67" s="8" t="s">
        <v>5996</v>
      </c>
      <c r="K67" s="8" t="n">
        <v>1</v>
      </c>
      <c r="L67" s="8" t="n">
        <v>4</v>
      </c>
      <c r="M67" s="18" t="n">
        <f aca="false">INDEX('All Items'!$Q:$Q,MATCH($A67,'All Items'!$A:$A,0))</f>
        <v>8.2</v>
      </c>
      <c r="N67" s="8" t="s">
        <v>6543</v>
      </c>
      <c r="O67" s="8" t="s">
        <v>6580</v>
      </c>
      <c r="P67" s="8" t="s">
        <v>6423</v>
      </c>
      <c r="Q67" s="8" t="s">
        <v>6581</v>
      </c>
      <c r="R67" s="8" t="s">
        <v>5406</v>
      </c>
      <c r="S67" s="8"/>
      <c r="T67" s="19" t="s">
        <v>6582</v>
      </c>
      <c r="U67" s="8" t="s">
        <v>6583</v>
      </c>
      <c r="V67" s="8"/>
      <c r="W67" s="8" t="n">
        <f aca="false">COUNTA(N67:S67)</f>
        <v>5</v>
      </c>
      <c r="X67" s="8" t="s">
        <v>218</v>
      </c>
      <c r="Y67" s="8" t="s">
        <v>259</v>
      </c>
      <c r="Z67" s="8" t="s">
        <v>259</v>
      </c>
      <c r="AA67" s="8" t="s">
        <v>6584</v>
      </c>
      <c r="AB67" s="8" t="s">
        <v>6585</v>
      </c>
      <c r="AC67" s="20"/>
      <c r="AD67" s="20"/>
      <c r="AE67" s="20"/>
      <c r="AF67" s="8" t="s">
        <v>237</v>
      </c>
      <c r="AG67" s="8" t="s">
        <v>224</v>
      </c>
    </row>
    <row r="68" customFormat="false" ht="15" hidden="false" customHeight="false" outlineLevel="0" collapsed="false">
      <c r="A68" s="8" t="s">
        <v>6586</v>
      </c>
      <c r="B68" s="8" t="s">
        <v>6587</v>
      </c>
      <c r="C68" s="8"/>
      <c r="D68" s="8" t="s">
        <v>4448</v>
      </c>
      <c r="E68" s="8"/>
      <c r="F68" s="8" t="s">
        <v>71</v>
      </c>
      <c r="G68" s="8" t="s">
        <v>4449</v>
      </c>
      <c r="H68" s="8" t="s">
        <v>95</v>
      </c>
      <c r="I68" s="8" t="s">
        <v>218</v>
      </c>
      <c r="J68" s="8" t="s">
        <v>6588</v>
      </c>
      <c r="K68" s="8" t="n">
        <v>1</v>
      </c>
      <c r="L68" s="8" t="n">
        <v>4</v>
      </c>
      <c r="M68" s="18" t="n">
        <f aca="false">INDEX('All Items'!$Q:$Q,MATCH($A68,'All Items'!$A:$A,0))</f>
        <v>7.95</v>
      </c>
      <c r="N68" s="8" t="s">
        <v>6589</v>
      </c>
      <c r="O68" s="8" t="s">
        <v>6590</v>
      </c>
      <c r="P68" s="8" t="s">
        <v>6591</v>
      </c>
      <c r="Q68" s="8" t="s">
        <v>4686</v>
      </c>
      <c r="R68" s="8" t="s">
        <v>6592</v>
      </c>
      <c r="S68" s="8" t="s">
        <v>4465</v>
      </c>
      <c r="T68" s="19" t="s">
        <v>6593</v>
      </c>
      <c r="U68" s="8" t="s">
        <v>6594</v>
      </c>
      <c r="V68" s="8"/>
      <c r="W68" s="8" t="n">
        <f aca="false">COUNTA(N68:S68)</f>
        <v>6</v>
      </c>
      <c r="X68" s="8" t="s">
        <v>218</v>
      </c>
      <c r="Y68" s="8" t="s">
        <v>259</v>
      </c>
      <c r="Z68" s="8" t="s">
        <v>259</v>
      </c>
      <c r="AA68" s="8" t="s">
        <v>6595</v>
      </c>
      <c r="AB68" s="8" t="s">
        <v>6596</v>
      </c>
      <c r="AC68" s="20"/>
      <c r="AD68" s="20"/>
      <c r="AE68" s="20"/>
      <c r="AF68" s="8" t="s">
        <v>237</v>
      </c>
      <c r="AG68" s="8" t="s">
        <v>224</v>
      </c>
    </row>
    <row r="69" customFormat="false" ht="15" hidden="false" customHeight="false" outlineLevel="0" collapsed="false">
      <c r="A69" s="8" t="s">
        <v>6597</v>
      </c>
      <c r="B69" s="8" t="s">
        <v>6598</v>
      </c>
      <c r="C69" s="8"/>
      <c r="D69" s="8" t="s">
        <v>6579</v>
      </c>
      <c r="E69" s="8"/>
      <c r="F69" s="8" t="s">
        <v>6579</v>
      </c>
      <c r="G69" s="8"/>
      <c r="H69" s="8" t="s">
        <v>95</v>
      </c>
      <c r="I69" s="8" t="s">
        <v>218</v>
      </c>
      <c r="J69" s="8" t="s">
        <v>6363</v>
      </c>
      <c r="K69" s="8" t="n">
        <v>1</v>
      </c>
      <c r="L69" s="8" t="n">
        <v>4</v>
      </c>
      <c r="M69" s="18" t="n">
        <f aca="false">INDEX('All Items'!$Q:$Q,MATCH($A69,'All Items'!$A:$A,0))</f>
        <v>7.95</v>
      </c>
      <c r="N69" s="8" t="s">
        <v>251</v>
      </c>
      <c r="O69" s="8" t="s">
        <v>6599</v>
      </c>
      <c r="P69" s="8" t="s">
        <v>6600</v>
      </c>
      <c r="Q69" s="8" t="s">
        <v>6443</v>
      </c>
      <c r="R69" s="8" t="s">
        <v>6601</v>
      </c>
      <c r="S69" s="8" t="s">
        <v>6602</v>
      </c>
      <c r="T69" s="19" t="s">
        <v>6603</v>
      </c>
      <c r="U69" s="8" t="s">
        <v>6604</v>
      </c>
      <c r="V69" s="8"/>
      <c r="W69" s="8" t="n">
        <f aca="false">COUNTA(N69:S69)</f>
        <v>6</v>
      </c>
      <c r="X69" s="8" t="s">
        <v>218</v>
      </c>
      <c r="Y69" s="8" t="s">
        <v>259</v>
      </c>
      <c r="Z69" s="8" t="s">
        <v>259</v>
      </c>
      <c r="AA69" s="8" t="s">
        <v>6605</v>
      </c>
      <c r="AB69" s="8" t="s">
        <v>6606</v>
      </c>
      <c r="AC69" s="20" t="s">
        <v>6607</v>
      </c>
      <c r="AD69" s="20" t="s">
        <v>1837</v>
      </c>
      <c r="AE69" s="20" t="s">
        <v>6608</v>
      </c>
      <c r="AF69" s="8" t="s">
        <v>223</v>
      </c>
      <c r="AG69" s="8" t="s">
        <v>224</v>
      </c>
    </row>
    <row r="70" customFormat="false" ht="15" hidden="false" customHeight="false" outlineLevel="0" collapsed="false">
      <c r="A70" s="8" t="s">
        <v>6609</v>
      </c>
      <c r="B70" s="8" t="s">
        <v>6610</v>
      </c>
      <c r="C70" s="8"/>
      <c r="D70" s="8" t="s">
        <v>206</v>
      </c>
      <c r="E70" s="8" t="s">
        <v>103</v>
      </c>
      <c r="F70" s="8" t="s">
        <v>70</v>
      </c>
      <c r="G70" s="8" t="s">
        <v>207</v>
      </c>
      <c r="H70" s="8" t="s">
        <v>95</v>
      </c>
      <c r="I70" s="8" t="s">
        <v>218</v>
      </c>
      <c r="J70" s="8" t="s">
        <v>6442</v>
      </c>
      <c r="K70" s="8" t="n">
        <v>2</v>
      </c>
      <c r="L70" s="8" t="n">
        <v>3</v>
      </c>
      <c r="M70" s="18" t="n">
        <f aca="false">INDEX('All Items'!$Q:$Q,MATCH($A70,'All Items'!$A:$A,0))</f>
        <v>6.65</v>
      </c>
      <c r="N70" s="8" t="s">
        <v>6611</v>
      </c>
      <c r="O70" s="8" t="s">
        <v>6423</v>
      </c>
      <c r="P70" s="8" t="s">
        <v>6612</v>
      </c>
      <c r="Q70" s="8" t="s">
        <v>6613</v>
      </c>
      <c r="R70" s="8" t="s">
        <v>116</v>
      </c>
      <c r="S70" s="8"/>
      <c r="T70" s="19" t="s">
        <v>6614</v>
      </c>
      <c r="U70" s="8" t="s">
        <v>6612</v>
      </c>
      <c r="V70" s="8"/>
      <c r="W70" s="8" t="n">
        <f aca="false">COUNTA(N70:S70)</f>
        <v>5</v>
      </c>
      <c r="X70" s="8" t="s">
        <v>259</v>
      </c>
      <c r="Y70" s="8" t="s">
        <v>218</v>
      </c>
      <c r="Z70" s="8" t="s">
        <v>218</v>
      </c>
      <c r="AA70" s="8"/>
      <c r="AB70" s="8" t="s">
        <v>6615</v>
      </c>
      <c r="AC70" s="20"/>
      <c r="AD70" s="20"/>
      <c r="AE70" s="20"/>
      <c r="AF70" s="8" t="s">
        <v>237</v>
      </c>
      <c r="AG70" s="8" t="s">
        <v>224</v>
      </c>
    </row>
    <row r="71" customFormat="false" ht="15" hidden="false" customHeight="false" outlineLevel="0" collapsed="false">
      <c r="A71" s="8" t="s">
        <v>6616</v>
      </c>
      <c r="B71" s="8" t="s">
        <v>6617</v>
      </c>
      <c r="C71" s="8" t="s">
        <v>6618</v>
      </c>
      <c r="D71" s="8" t="s">
        <v>206</v>
      </c>
      <c r="E71" s="8" t="s">
        <v>103</v>
      </c>
      <c r="F71" s="8" t="s">
        <v>70</v>
      </c>
      <c r="G71" s="8" t="s">
        <v>207</v>
      </c>
      <c r="H71" s="8" t="s">
        <v>96</v>
      </c>
      <c r="I71" s="8" t="s">
        <v>218</v>
      </c>
      <c r="J71" s="8" t="s">
        <v>6619</v>
      </c>
      <c r="K71" s="8" t="n">
        <v>3</v>
      </c>
      <c r="L71" s="8" t="n">
        <v>3</v>
      </c>
      <c r="M71" s="18" t="n">
        <f aca="false">INDEX('All Items'!$Q:$Q,MATCH($A71,'All Items'!$A:$A,0))</f>
        <v>7.4</v>
      </c>
      <c r="N71" s="8" t="s">
        <v>6620</v>
      </c>
      <c r="O71" s="8" t="s">
        <v>1695</v>
      </c>
      <c r="P71" s="8" t="s">
        <v>6621</v>
      </c>
      <c r="Q71" s="8" t="s">
        <v>6622</v>
      </c>
      <c r="R71" s="8" t="s">
        <v>6623</v>
      </c>
      <c r="S71" s="8" t="s">
        <v>107</v>
      </c>
      <c r="T71" s="19" t="s">
        <v>6624</v>
      </c>
      <c r="U71" s="8" t="s">
        <v>6625</v>
      </c>
      <c r="V71" s="8"/>
      <c r="W71" s="8" t="n">
        <f aca="false">COUNTA(N71:S71)</f>
        <v>6</v>
      </c>
      <c r="X71" s="8" t="s">
        <v>259</v>
      </c>
      <c r="Y71" s="8" t="s">
        <v>218</v>
      </c>
      <c r="Z71" s="8" t="s">
        <v>218</v>
      </c>
      <c r="AA71" s="8"/>
      <c r="AB71" s="8" t="s">
        <v>6626</v>
      </c>
      <c r="AC71" s="20"/>
      <c r="AD71" s="20"/>
      <c r="AE71" s="20"/>
      <c r="AF71" s="8" t="s">
        <v>237</v>
      </c>
      <c r="AG71" s="8" t="s">
        <v>224</v>
      </c>
    </row>
    <row r="72" customFormat="false" ht="15" hidden="false" customHeight="false" outlineLevel="0" collapsed="false">
      <c r="A72" s="8" t="s">
        <v>6627</v>
      </c>
      <c r="B72" s="8" t="s">
        <v>6628</v>
      </c>
      <c r="C72" s="8"/>
      <c r="D72" s="8" t="s">
        <v>4448</v>
      </c>
      <c r="E72" s="8"/>
      <c r="F72" s="8" t="s">
        <v>71</v>
      </c>
      <c r="G72" s="8" t="s">
        <v>4449</v>
      </c>
      <c r="H72" s="8" t="s">
        <v>96</v>
      </c>
      <c r="I72" s="8" t="s">
        <v>218</v>
      </c>
      <c r="J72" s="8" t="s">
        <v>6305</v>
      </c>
      <c r="K72" s="8" t="n">
        <v>2</v>
      </c>
      <c r="L72" s="8" t="n">
        <v>3</v>
      </c>
      <c r="M72" s="18" t="n">
        <f aca="false">INDEX('All Items'!$Q:$Q,MATCH($A72,'All Items'!$A:$A,0))</f>
        <v>6.9</v>
      </c>
      <c r="N72" s="8" t="s">
        <v>1695</v>
      </c>
      <c r="O72" s="8" t="s">
        <v>4224</v>
      </c>
      <c r="P72" s="8" t="s">
        <v>6629</v>
      </c>
      <c r="Q72" s="8" t="s">
        <v>6630</v>
      </c>
      <c r="R72" s="8" t="s">
        <v>6631</v>
      </c>
      <c r="S72" s="8" t="s">
        <v>6632</v>
      </c>
      <c r="T72" s="19" t="s">
        <v>6633</v>
      </c>
      <c r="U72" s="8" t="s">
        <v>4224</v>
      </c>
      <c r="V72" s="8"/>
      <c r="W72" s="8" t="n">
        <f aca="false">COUNTA(N72:S72)</f>
        <v>6</v>
      </c>
      <c r="X72" s="8" t="s">
        <v>218</v>
      </c>
      <c r="Y72" s="8" t="s">
        <v>259</v>
      </c>
      <c r="Z72" s="8" t="s">
        <v>218</v>
      </c>
      <c r="AA72" s="8"/>
      <c r="AB72" s="8" t="s">
        <v>6634</v>
      </c>
      <c r="AC72" s="20" t="s">
        <v>6635</v>
      </c>
      <c r="AD72" s="20" t="s">
        <v>595</v>
      </c>
      <c r="AE72" s="20" t="s">
        <v>6636</v>
      </c>
      <c r="AF72" s="8" t="s">
        <v>223</v>
      </c>
      <c r="AG72" s="8" t="s">
        <v>224</v>
      </c>
    </row>
    <row r="73" customFormat="false" ht="15" hidden="false" customHeight="false" outlineLevel="0" collapsed="false">
      <c r="A73" s="8" t="s">
        <v>6637</v>
      </c>
      <c r="B73" s="8" t="s">
        <v>6638</v>
      </c>
      <c r="C73" s="8"/>
      <c r="D73" s="8" t="s">
        <v>2532</v>
      </c>
      <c r="E73" s="8"/>
      <c r="F73" s="8" t="s">
        <v>70</v>
      </c>
      <c r="G73" s="8" t="s">
        <v>2533</v>
      </c>
      <c r="H73" s="8" t="s">
        <v>96</v>
      </c>
      <c r="I73" s="8" t="s">
        <v>259</v>
      </c>
      <c r="J73" s="8" t="s">
        <v>6639</v>
      </c>
      <c r="K73" s="8" t="n">
        <v>2</v>
      </c>
      <c r="L73" s="8" t="n">
        <v>3</v>
      </c>
      <c r="M73" s="18" t="n">
        <f aca="false">INDEX('All Items'!$Q:$Q,MATCH($A73,'All Items'!$A:$A,0))</f>
        <v>7.15</v>
      </c>
      <c r="N73" s="8" t="s">
        <v>6164</v>
      </c>
      <c r="O73" s="8" t="s">
        <v>1695</v>
      </c>
      <c r="P73" s="8" t="s">
        <v>6640</v>
      </c>
      <c r="Q73" s="8" t="s">
        <v>6641</v>
      </c>
      <c r="R73" s="8" t="s">
        <v>6642</v>
      </c>
      <c r="S73" s="8" t="s">
        <v>6643</v>
      </c>
      <c r="T73" s="19" t="s">
        <v>6644</v>
      </c>
      <c r="U73" s="8" t="s">
        <v>6640</v>
      </c>
      <c r="V73" s="8"/>
      <c r="W73" s="8" t="n">
        <f aca="false">COUNTA(N73:S73)</f>
        <v>6</v>
      </c>
      <c r="X73" s="8" t="s">
        <v>218</v>
      </c>
      <c r="Y73" s="8" t="s">
        <v>259</v>
      </c>
      <c r="Z73" s="8" t="s">
        <v>259</v>
      </c>
      <c r="AA73" s="8" t="s">
        <v>6645</v>
      </c>
      <c r="AB73" s="8" t="s">
        <v>6646</v>
      </c>
      <c r="AC73" s="20"/>
      <c r="AD73" s="20"/>
      <c r="AE73" s="20"/>
      <c r="AF73" s="8" t="s">
        <v>237</v>
      </c>
      <c r="AG73" s="8" t="s">
        <v>224</v>
      </c>
    </row>
    <row r="74" customFormat="false" ht="15" hidden="false" customHeight="false" outlineLevel="0" collapsed="false">
      <c r="A74" s="8" t="s">
        <v>6647</v>
      </c>
      <c r="B74" s="8" t="s">
        <v>6648</v>
      </c>
      <c r="C74" s="8"/>
      <c r="D74" s="8" t="s">
        <v>4987</v>
      </c>
      <c r="E74" s="8"/>
      <c r="F74" s="8" t="s">
        <v>70</v>
      </c>
      <c r="G74" s="8" t="s">
        <v>4902</v>
      </c>
      <c r="H74" s="8" t="s">
        <v>96</v>
      </c>
      <c r="I74" s="8" t="s">
        <v>259</v>
      </c>
      <c r="J74" s="8" t="s">
        <v>6649</v>
      </c>
      <c r="K74" s="8" t="n">
        <v>2</v>
      </c>
      <c r="L74" s="8" t="n">
        <v>3</v>
      </c>
      <c r="M74" s="18" t="n">
        <f aca="false">INDEX('All Items'!$Q:$Q,MATCH($A74,'All Items'!$A:$A,0))</f>
        <v>6.9</v>
      </c>
      <c r="N74" s="8" t="s">
        <v>324</v>
      </c>
      <c r="O74" s="8" t="s">
        <v>6650</v>
      </c>
      <c r="P74" s="8" t="s">
        <v>4345</v>
      </c>
      <c r="Q74" s="8" t="s">
        <v>6651</v>
      </c>
      <c r="R74" s="8" t="s">
        <v>4991</v>
      </c>
      <c r="S74" s="8"/>
      <c r="T74" s="19" t="s">
        <v>6652</v>
      </c>
      <c r="U74" s="8" t="s">
        <v>324</v>
      </c>
      <c r="V74" s="8"/>
      <c r="W74" s="8" t="n">
        <f aca="false">COUNTA(N74:S74)</f>
        <v>5</v>
      </c>
      <c r="X74" s="8" t="s">
        <v>218</v>
      </c>
      <c r="Y74" s="8" t="s">
        <v>259</v>
      </c>
      <c r="Z74" s="8" t="s">
        <v>218</v>
      </c>
      <c r="AA74" s="8"/>
      <c r="AB74" s="8" t="s">
        <v>6653</v>
      </c>
      <c r="AC74" s="20"/>
      <c r="AD74" s="20"/>
      <c r="AE74" s="20"/>
      <c r="AF74" s="8" t="s">
        <v>237</v>
      </c>
      <c r="AG74" s="8" t="s">
        <v>224</v>
      </c>
    </row>
    <row r="75" customFormat="false" ht="15" hidden="false" customHeight="false" outlineLevel="0" collapsed="false">
      <c r="A75" s="8" t="s">
        <v>6654</v>
      </c>
      <c r="B75" s="8" t="s">
        <v>6655</v>
      </c>
      <c r="C75" s="8"/>
      <c r="D75" s="8" t="s">
        <v>4574</v>
      </c>
      <c r="E75" s="8"/>
      <c r="F75" s="8" t="s">
        <v>71</v>
      </c>
      <c r="G75" s="8" t="s">
        <v>4449</v>
      </c>
      <c r="H75" s="8" t="s">
        <v>97</v>
      </c>
      <c r="I75" s="8" t="s">
        <v>218</v>
      </c>
      <c r="J75" s="8" t="s">
        <v>6305</v>
      </c>
      <c r="K75" s="8" t="n">
        <v>1</v>
      </c>
      <c r="L75" s="8" t="n">
        <v>3</v>
      </c>
      <c r="M75" s="18" t="n">
        <f aca="false">INDEX('All Items'!$Q:$Q,MATCH($A75,'All Items'!$A:$A,0))</f>
        <v>6.65</v>
      </c>
      <c r="N75" s="8" t="s">
        <v>6656</v>
      </c>
      <c r="O75" s="8" t="s">
        <v>6657</v>
      </c>
      <c r="P75" s="8" t="s">
        <v>6658</v>
      </c>
      <c r="Q75" s="8" t="s">
        <v>6659</v>
      </c>
      <c r="R75" s="8" t="s">
        <v>6660</v>
      </c>
      <c r="S75" s="8" t="s">
        <v>6661</v>
      </c>
      <c r="T75" s="19" t="s">
        <v>6662</v>
      </c>
      <c r="U75" s="8" t="s">
        <v>6663</v>
      </c>
      <c r="V75" s="8"/>
      <c r="W75" s="8" t="n">
        <f aca="false">COUNTA(N75:S75)</f>
        <v>6</v>
      </c>
      <c r="X75" s="8" t="s">
        <v>218</v>
      </c>
      <c r="Y75" s="8" t="s">
        <v>259</v>
      </c>
      <c r="Z75" s="8" t="s">
        <v>218</v>
      </c>
      <c r="AA75" s="8"/>
      <c r="AB75" s="8" t="s">
        <v>6664</v>
      </c>
      <c r="AC75" s="20"/>
      <c r="AD75" s="20"/>
      <c r="AE75" s="20"/>
      <c r="AF75" s="8" t="s">
        <v>237</v>
      </c>
      <c r="AG75" s="8" t="s">
        <v>224</v>
      </c>
    </row>
    <row r="76" customFormat="false" ht="15" hidden="false" customHeight="false" outlineLevel="0" collapsed="false">
      <c r="A76" s="8" t="s">
        <v>6665</v>
      </c>
      <c r="B76" s="8" t="s">
        <v>6666</v>
      </c>
      <c r="C76" s="8"/>
      <c r="D76" s="8" t="s">
        <v>3828</v>
      </c>
      <c r="E76" s="8"/>
      <c r="F76" s="8" t="s">
        <v>71</v>
      </c>
      <c r="G76" s="8" t="s">
        <v>3829</v>
      </c>
      <c r="H76" s="8" t="s">
        <v>94</v>
      </c>
      <c r="I76" s="8" t="s">
        <v>259</v>
      </c>
      <c r="J76" s="8" t="s">
        <v>6667</v>
      </c>
      <c r="K76" s="8" t="n">
        <v>1</v>
      </c>
      <c r="L76" s="8" t="n">
        <v>5</v>
      </c>
      <c r="M76" s="18" t="n">
        <f aca="false">INDEX('All Items'!$Q:$Q,MATCH($A76,'All Items'!$A:$A,0))</f>
        <v>9.75</v>
      </c>
      <c r="N76" s="8" t="s">
        <v>5284</v>
      </c>
      <c r="O76" s="8" t="s">
        <v>6668</v>
      </c>
      <c r="P76" s="8" t="s">
        <v>6669</v>
      </c>
      <c r="Q76" s="8" t="s">
        <v>6670</v>
      </c>
      <c r="R76" s="8" t="s">
        <v>6671</v>
      </c>
      <c r="S76" s="8" t="s">
        <v>3854</v>
      </c>
      <c r="T76" s="19" t="s">
        <v>6672</v>
      </c>
      <c r="U76" s="8" t="s">
        <v>6673</v>
      </c>
      <c r="V76" s="8"/>
      <c r="W76" s="8" t="n">
        <f aca="false">COUNTA(N76:S76)</f>
        <v>6</v>
      </c>
      <c r="X76" s="8" t="s">
        <v>218</v>
      </c>
      <c r="Y76" s="8" t="s">
        <v>259</v>
      </c>
      <c r="Z76" s="8" t="s">
        <v>218</v>
      </c>
      <c r="AA76" s="8"/>
      <c r="AB76" s="8" t="s">
        <v>6674</v>
      </c>
      <c r="AC76" s="20" t="s">
        <v>6675</v>
      </c>
      <c r="AD76" s="20" t="s">
        <v>221</v>
      </c>
      <c r="AE76" s="20" t="s">
        <v>6676</v>
      </c>
      <c r="AF76" s="8" t="s">
        <v>223</v>
      </c>
      <c r="AG76" s="8" t="s">
        <v>224</v>
      </c>
    </row>
    <row r="77" customFormat="false" ht="15" hidden="false" customHeight="false" outlineLevel="0" collapsed="false">
      <c r="A77" s="8" t="s">
        <v>6677</v>
      </c>
      <c r="B77" s="8" t="s">
        <v>6678</v>
      </c>
      <c r="C77" s="8"/>
      <c r="D77" s="8" t="s">
        <v>3828</v>
      </c>
      <c r="E77" s="8"/>
      <c r="F77" s="8" t="s">
        <v>71</v>
      </c>
      <c r="G77" s="8" t="s">
        <v>3829</v>
      </c>
      <c r="H77" s="8" t="s">
        <v>94</v>
      </c>
      <c r="I77" s="8" t="s">
        <v>259</v>
      </c>
      <c r="J77" s="8" t="s">
        <v>6679</v>
      </c>
      <c r="K77" s="8" t="n">
        <v>1</v>
      </c>
      <c r="L77" s="8" t="n">
        <v>5</v>
      </c>
      <c r="M77" s="18" t="n">
        <f aca="false">INDEX('All Items'!$Q:$Q,MATCH($A77,'All Items'!$A:$A,0))</f>
        <v>9.75</v>
      </c>
      <c r="N77" s="8" t="s">
        <v>6680</v>
      </c>
      <c r="O77" s="8" t="s">
        <v>3939</v>
      </c>
      <c r="P77" s="8" t="s">
        <v>6681</v>
      </c>
      <c r="Q77" s="8" t="s">
        <v>6682</v>
      </c>
      <c r="R77" s="8" t="s">
        <v>6683</v>
      </c>
      <c r="S77" s="8" t="s">
        <v>6684</v>
      </c>
      <c r="T77" s="19" t="s">
        <v>6685</v>
      </c>
      <c r="U77" s="8" t="s">
        <v>6686</v>
      </c>
      <c r="V77" s="8"/>
      <c r="W77" s="8" t="n">
        <f aca="false">COUNTA(N77:S77)</f>
        <v>6</v>
      </c>
      <c r="X77" s="8" t="s">
        <v>218</v>
      </c>
      <c r="Y77" s="8" t="s">
        <v>259</v>
      </c>
      <c r="Z77" s="8" t="s">
        <v>218</v>
      </c>
      <c r="AA77" s="8"/>
      <c r="AB77" s="8" t="s">
        <v>6687</v>
      </c>
      <c r="AC77" s="20" t="s">
        <v>6688</v>
      </c>
      <c r="AD77" s="20" t="s">
        <v>384</v>
      </c>
      <c r="AE77" s="20" t="s">
        <v>6689</v>
      </c>
      <c r="AF77" s="8" t="s">
        <v>223</v>
      </c>
      <c r="AG77" s="8" t="s">
        <v>224</v>
      </c>
    </row>
    <row r="78" customFormat="false" ht="15" hidden="false" customHeight="false" outlineLevel="0" collapsed="false">
      <c r="A78" s="8" t="s">
        <v>6690</v>
      </c>
      <c r="B78" s="8" t="s">
        <v>6691</v>
      </c>
      <c r="C78" s="8"/>
      <c r="D78" s="8" t="s">
        <v>3828</v>
      </c>
      <c r="E78" s="8"/>
      <c r="F78" s="8" t="s">
        <v>71</v>
      </c>
      <c r="G78" s="8" t="s">
        <v>3829</v>
      </c>
      <c r="H78" s="8" t="s">
        <v>94</v>
      </c>
      <c r="I78" s="8" t="s">
        <v>259</v>
      </c>
      <c r="J78" s="8" t="s">
        <v>6692</v>
      </c>
      <c r="K78" s="8" t="n">
        <v>1</v>
      </c>
      <c r="L78" s="8" t="n">
        <v>5</v>
      </c>
      <c r="M78" s="18" t="n">
        <f aca="false">INDEX('All Items'!$Q:$Q,MATCH($A78,'All Items'!$A:$A,0))</f>
        <v>9.75</v>
      </c>
      <c r="N78" s="8" t="s">
        <v>3939</v>
      </c>
      <c r="O78" s="8" t="s">
        <v>6693</v>
      </c>
      <c r="P78" s="8" t="s">
        <v>6681</v>
      </c>
      <c r="Q78" s="8" t="s">
        <v>6694</v>
      </c>
      <c r="R78" s="8" t="s">
        <v>3854</v>
      </c>
      <c r="S78" s="8" t="s">
        <v>6695</v>
      </c>
      <c r="T78" s="19" t="s">
        <v>6696</v>
      </c>
      <c r="U78" s="8" t="s">
        <v>6697</v>
      </c>
      <c r="V78" s="8" t="s">
        <v>6695</v>
      </c>
      <c r="W78" s="8" t="n">
        <f aca="false">COUNTA(N78:S78)</f>
        <v>6</v>
      </c>
      <c r="X78" s="8" t="s">
        <v>218</v>
      </c>
      <c r="Y78" s="8" t="s">
        <v>259</v>
      </c>
      <c r="Z78" s="8" t="s">
        <v>218</v>
      </c>
      <c r="AA78" s="8"/>
      <c r="AB78" s="8" t="s">
        <v>6698</v>
      </c>
      <c r="AC78" s="20" t="s">
        <v>6699</v>
      </c>
      <c r="AD78" s="20" t="s">
        <v>527</v>
      </c>
      <c r="AE78" s="20" t="s">
        <v>6700</v>
      </c>
      <c r="AF78" s="8" t="s">
        <v>223</v>
      </c>
      <c r="AG78" s="8" t="s">
        <v>224</v>
      </c>
    </row>
    <row r="79" customFormat="false" ht="15" hidden="false" customHeight="false" outlineLevel="0" collapsed="false">
      <c r="A79" s="8" t="s">
        <v>6701</v>
      </c>
      <c r="B79" s="8" t="s">
        <v>6702</v>
      </c>
      <c r="C79" s="8"/>
      <c r="D79" s="8" t="s">
        <v>5915</v>
      </c>
      <c r="E79" s="8"/>
      <c r="F79" s="8" t="s">
        <v>74</v>
      </c>
      <c r="G79" s="8" t="s">
        <v>5916</v>
      </c>
      <c r="H79" s="8" t="s">
        <v>94</v>
      </c>
      <c r="I79" s="8" t="s">
        <v>259</v>
      </c>
      <c r="J79" s="8" t="s">
        <v>6403</v>
      </c>
      <c r="K79" s="8" t="n">
        <v>1</v>
      </c>
      <c r="L79" s="8" t="n">
        <v>4</v>
      </c>
      <c r="M79" s="18" t="n">
        <f aca="false">INDEX('All Items'!$Q:$Q,MATCH($A79,'All Items'!$A:$A,0))</f>
        <v>8.45</v>
      </c>
      <c r="N79" s="8" t="s">
        <v>6703</v>
      </c>
      <c r="O79" s="8" t="s">
        <v>6704</v>
      </c>
      <c r="P79" s="8" t="s">
        <v>3939</v>
      </c>
      <c r="Q79" s="8" t="s">
        <v>6681</v>
      </c>
      <c r="R79" s="8" t="s">
        <v>6705</v>
      </c>
      <c r="S79" s="8" t="s">
        <v>5918</v>
      </c>
      <c r="T79" s="19" t="s">
        <v>6706</v>
      </c>
      <c r="U79" s="8" t="s">
        <v>6707</v>
      </c>
      <c r="V79" s="8"/>
      <c r="W79" s="8" t="n">
        <f aca="false">COUNTA(N79:S79)</f>
        <v>6</v>
      </c>
      <c r="X79" s="8" t="s">
        <v>218</v>
      </c>
      <c r="Y79" s="8" t="s">
        <v>259</v>
      </c>
      <c r="Z79" s="8" t="s">
        <v>218</v>
      </c>
      <c r="AA79" s="8"/>
      <c r="AB79" s="8" t="s">
        <v>6708</v>
      </c>
      <c r="AC79" s="20"/>
      <c r="AD79" s="20"/>
      <c r="AE79" s="20"/>
      <c r="AF79" s="8" t="s">
        <v>237</v>
      </c>
      <c r="AG79" s="8" t="s">
        <v>224</v>
      </c>
    </row>
    <row r="80" customFormat="false" ht="15" hidden="false" customHeight="false" outlineLevel="0" collapsed="false">
      <c r="A80" s="8" t="s">
        <v>6709</v>
      </c>
      <c r="B80" s="8" t="s">
        <v>6710</v>
      </c>
      <c r="C80" s="8"/>
      <c r="D80" s="8" t="s">
        <v>3828</v>
      </c>
      <c r="E80" s="8"/>
      <c r="F80" s="8" t="s">
        <v>71</v>
      </c>
      <c r="G80" s="8" t="s">
        <v>3829</v>
      </c>
      <c r="H80" s="8" t="s">
        <v>94</v>
      </c>
      <c r="I80" s="8" t="s">
        <v>259</v>
      </c>
      <c r="J80" s="8" t="s">
        <v>6328</v>
      </c>
      <c r="K80" s="8" t="n">
        <v>2</v>
      </c>
      <c r="L80" s="8" t="n">
        <v>3</v>
      </c>
      <c r="M80" s="18" t="n">
        <f aca="false">INDEX('All Items'!$Q:$Q,MATCH($A80,'All Items'!$A:$A,0))</f>
        <v>6.65</v>
      </c>
      <c r="N80" s="8" t="s">
        <v>6711</v>
      </c>
      <c r="O80" s="8" t="s">
        <v>3939</v>
      </c>
      <c r="P80" s="8" t="s">
        <v>6330</v>
      </c>
      <c r="Q80" s="8" t="s">
        <v>3854</v>
      </c>
      <c r="R80" s="8" t="s">
        <v>6712</v>
      </c>
      <c r="S80" s="8"/>
      <c r="T80" s="19" t="s">
        <v>6713</v>
      </c>
      <c r="U80" s="8" t="s">
        <v>6714</v>
      </c>
      <c r="V80" s="8"/>
      <c r="W80" s="8" t="n">
        <f aca="false">COUNTA(N80:S80)</f>
        <v>5</v>
      </c>
      <c r="X80" s="8" t="s">
        <v>218</v>
      </c>
      <c r="Y80" s="8" t="s">
        <v>259</v>
      </c>
      <c r="Z80" s="8" t="s">
        <v>218</v>
      </c>
      <c r="AA80" s="8"/>
      <c r="AB80" s="8" t="s">
        <v>6715</v>
      </c>
      <c r="AC80" s="20" t="s">
        <v>6716</v>
      </c>
      <c r="AD80" s="20" t="s">
        <v>5065</v>
      </c>
      <c r="AE80" s="20" t="s">
        <v>6717</v>
      </c>
      <c r="AF80" s="8" t="s">
        <v>223</v>
      </c>
      <c r="AG80" s="8" t="s">
        <v>224</v>
      </c>
    </row>
    <row r="81" customFormat="false" ht="15" hidden="false" customHeight="false" outlineLevel="0" collapsed="false">
      <c r="A81" s="8" t="s">
        <v>6718</v>
      </c>
      <c r="B81" s="8" t="s">
        <v>6719</v>
      </c>
      <c r="C81" s="8"/>
      <c r="D81" s="8" t="s">
        <v>3828</v>
      </c>
      <c r="E81" s="8"/>
      <c r="F81" s="8" t="s">
        <v>71</v>
      </c>
      <c r="G81" s="8" t="s">
        <v>3829</v>
      </c>
      <c r="H81" s="8" t="s">
        <v>94</v>
      </c>
      <c r="I81" s="8" t="s">
        <v>259</v>
      </c>
      <c r="J81" s="8" t="s">
        <v>6667</v>
      </c>
      <c r="K81" s="8" t="n">
        <v>2</v>
      </c>
      <c r="L81" s="8" t="n">
        <v>3</v>
      </c>
      <c r="M81" s="18" t="n">
        <f aca="false">INDEX('All Items'!$Q:$Q,MATCH($A81,'All Items'!$A:$A,0))</f>
        <v>7.15</v>
      </c>
      <c r="N81" s="8" t="s">
        <v>6720</v>
      </c>
      <c r="O81" s="8" t="s">
        <v>3939</v>
      </c>
      <c r="P81" s="8" t="s">
        <v>6721</v>
      </c>
      <c r="Q81" s="8" t="s">
        <v>6722</v>
      </c>
      <c r="R81" s="8" t="s">
        <v>3854</v>
      </c>
      <c r="S81" s="8"/>
      <c r="T81" s="19" t="s">
        <v>6723</v>
      </c>
      <c r="U81" s="8" t="s">
        <v>6724</v>
      </c>
      <c r="V81" s="8"/>
      <c r="W81" s="8" t="n">
        <f aca="false">COUNTA(N81:S81)</f>
        <v>5</v>
      </c>
      <c r="X81" s="8" t="s">
        <v>218</v>
      </c>
      <c r="Y81" s="8" t="s">
        <v>259</v>
      </c>
      <c r="Z81" s="8" t="s">
        <v>218</v>
      </c>
      <c r="AA81" s="8"/>
      <c r="AB81" s="8" t="s">
        <v>6725</v>
      </c>
      <c r="AC81" s="20"/>
      <c r="AD81" s="20"/>
      <c r="AE81" s="20"/>
      <c r="AF81" s="8" t="s">
        <v>237</v>
      </c>
      <c r="AG81" s="8" t="s">
        <v>224</v>
      </c>
    </row>
    <row r="82" customFormat="false" ht="15" hidden="false" customHeight="false" outlineLevel="0" collapsed="false">
      <c r="A82" s="8" t="s">
        <v>6726</v>
      </c>
      <c r="B82" s="8" t="s">
        <v>6727</v>
      </c>
      <c r="C82" s="8"/>
      <c r="D82" s="8" t="s">
        <v>3828</v>
      </c>
      <c r="E82" s="8"/>
      <c r="F82" s="8" t="s">
        <v>71</v>
      </c>
      <c r="G82" s="8" t="s">
        <v>3829</v>
      </c>
      <c r="H82" s="8" t="s">
        <v>94</v>
      </c>
      <c r="I82" s="8" t="s">
        <v>259</v>
      </c>
      <c r="J82" s="8" t="s">
        <v>6328</v>
      </c>
      <c r="K82" s="8" t="n">
        <v>2</v>
      </c>
      <c r="L82" s="8" t="n">
        <v>3</v>
      </c>
      <c r="M82" s="18" t="n">
        <f aca="false">INDEX('All Items'!$Q:$Q,MATCH($A82,'All Items'!$A:$A,0))</f>
        <v>7.15</v>
      </c>
      <c r="N82" s="8" t="s">
        <v>6681</v>
      </c>
      <c r="O82" s="8" t="s">
        <v>3939</v>
      </c>
      <c r="P82" s="8" t="s">
        <v>5167</v>
      </c>
      <c r="Q82" s="8" t="s">
        <v>3937</v>
      </c>
      <c r="R82" s="8" t="s">
        <v>5219</v>
      </c>
      <c r="S82" s="8" t="s">
        <v>6728</v>
      </c>
      <c r="T82" s="19" t="s">
        <v>6729</v>
      </c>
      <c r="U82" s="8" t="s">
        <v>6730</v>
      </c>
      <c r="V82" s="8"/>
      <c r="W82" s="8" t="n">
        <f aca="false">COUNTA(N82:S82)</f>
        <v>6</v>
      </c>
      <c r="X82" s="8" t="s">
        <v>218</v>
      </c>
      <c r="Y82" s="8" t="s">
        <v>259</v>
      </c>
      <c r="Z82" s="8" t="s">
        <v>259</v>
      </c>
      <c r="AA82" s="8" t="s">
        <v>6731</v>
      </c>
      <c r="AB82" s="8" t="s">
        <v>6732</v>
      </c>
      <c r="AC82" s="20"/>
      <c r="AD82" s="20"/>
      <c r="AE82" s="20"/>
      <c r="AF82" s="8" t="s">
        <v>237</v>
      </c>
      <c r="AG82" s="8" t="s">
        <v>224</v>
      </c>
    </row>
    <row r="83" customFormat="false" ht="15" hidden="false" customHeight="false" outlineLevel="0" collapsed="false">
      <c r="A83" s="8" t="s">
        <v>6733</v>
      </c>
      <c r="B83" s="8" t="s">
        <v>6734</v>
      </c>
      <c r="C83" s="8"/>
      <c r="D83" s="8" t="s">
        <v>4987</v>
      </c>
      <c r="E83" s="8"/>
      <c r="F83" s="8" t="s">
        <v>70</v>
      </c>
      <c r="G83" s="8" t="s">
        <v>4902</v>
      </c>
      <c r="H83" s="8" t="s">
        <v>94</v>
      </c>
      <c r="I83" s="8" t="s">
        <v>259</v>
      </c>
      <c r="J83" s="8" t="s">
        <v>6403</v>
      </c>
      <c r="K83" s="8" t="n">
        <v>1</v>
      </c>
      <c r="L83" s="8" t="n">
        <v>4</v>
      </c>
      <c r="M83" s="18" t="n">
        <f aca="false">INDEX('All Items'!$Q:$Q,MATCH($A83,'All Items'!$A:$A,0))</f>
        <v>8.7</v>
      </c>
      <c r="N83" s="8" t="s">
        <v>764</v>
      </c>
      <c r="O83" s="8" t="s">
        <v>6735</v>
      </c>
      <c r="P83" s="8" t="s">
        <v>6736</v>
      </c>
      <c r="Q83" s="8" t="s">
        <v>6737</v>
      </c>
      <c r="R83" s="8" t="s">
        <v>6738</v>
      </c>
      <c r="S83" s="8"/>
      <c r="T83" s="19" t="s">
        <v>6739</v>
      </c>
      <c r="U83" s="8" t="s">
        <v>6740</v>
      </c>
      <c r="V83" s="8" t="s">
        <v>6738</v>
      </c>
      <c r="W83" s="8" t="n">
        <f aca="false">COUNTA(N83:S83)</f>
        <v>5</v>
      </c>
      <c r="X83" s="8" t="s">
        <v>218</v>
      </c>
      <c r="Y83" s="8" t="s">
        <v>259</v>
      </c>
      <c r="Z83" s="8" t="s">
        <v>259</v>
      </c>
      <c r="AA83" s="8" t="s">
        <v>6741</v>
      </c>
      <c r="AB83" s="8" t="s">
        <v>6742</v>
      </c>
      <c r="AC83" s="20"/>
      <c r="AD83" s="20"/>
      <c r="AE83" s="20"/>
      <c r="AF83" s="8" t="s">
        <v>237</v>
      </c>
      <c r="AG83" s="8" t="s">
        <v>224</v>
      </c>
    </row>
    <row r="84" customFormat="false" ht="15" hidden="false" customHeight="false" outlineLevel="0" collapsed="false">
      <c r="A84" s="8" t="s">
        <v>6743</v>
      </c>
      <c r="B84" s="8" t="s">
        <v>6744</v>
      </c>
      <c r="C84" s="8"/>
      <c r="D84" s="8" t="s">
        <v>4325</v>
      </c>
      <c r="E84" s="8"/>
      <c r="F84" s="8" t="s">
        <v>71</v>
      </c>
      <c r="G84" s="8" t="s">
        <v>3829</v>
      </c>
      <c r="H84" s="8" t="s">
        <v>94</v>
      </c>
      <c r="I84" s="8" t="s">
        <v>259</v>
      </c>
      <c r="J84" s="8" t="s">
        <v>6692</v>
      </c>
      <c r="K84" s="8" t="n">
        <v>2</v>
      </c>
      <c r="L84" s="8" t="n">
        <v>3</v>
      </c>
      <c r="M84" s="18" t="n">
        <f aca="false">INDEX('All Items'!$Q:$Q,MATCH($A84,'All Items'!$A:$A,0))</f>
        <v>7.15</v>
      </c>
      <c r="N84" s="8" t="s">
        <v>6720</v>
      </c>
      <c r="O84" s="8" t="s">
        <v>6020</v>
      </c>
      <c r="P84" s="8" t="s">
        <v>3939</v>
      </c>
      <c r="Q84" s="8" t="s">
        <v>6745</v>
      </c>
      <c r="R84" s="8" t="s">
        <v>6746</v>
      </c>
      <c r="S84" s="8" t="s">
        <v>4337</v>
      </c>
      <c r="T84" s="19" t="s">
        <v>6747</v>
      </c>
      <c r="U84" s="8" t="s">
        <v>6748</v>
      </c>
      <c r="V84" s="8"/>
      <c r="W84" s="8" t="n">
        <f aca="false">COUNTA(N84:S84)</f>
        <v>6</v>
      </c>
      <c r="X84" s="8" t="s">
        <v>218</v>
      </c>
      <c r="Y84" s="8" t="s">
        <v>259</v>
      </c>
      <c r="Z84" s="8" t="s">
        <v>218</v>
      </c>
      <c r="AA84" s="8"/>
      <c r="AB84" s="8" t="s">
        <v>6749</v>
      </c>
      <c r="AC84" s="20"/>
      <c r="AD84" s="20"/>
      <c r="AE84" s="20"/>
      <c r="AF84" s="8" t="s">
        <v>237</v>
      </c>
      <c r="AG84" s="8" t="s">
        <v>224</v>
      </c>
    </row>
    <row r="85" customFormat="false" ht="15" hidden="false" customHeight="false" outlineLevel="0" collapsed="false">
      <c r="A85" s="8" t="s">
        <v>6750</v>
      </c>
      <c r="B85" s="8" t="s">
        <v>6751</v>
      </c>
      <c r="C85" s="8"/>
      <c r="D85" s="8" t="s">
        <v>3137</v>
      </c>
      <c r="E85" s="8"/>
      <c r="F85" s="8" t="s">
        <v>70</v>
      </c>
      <c r="G85" s="8" t="s">
        <v>2533</v>
      </c>
      <c r="H85" s="8" t="s">
        <v>94</v>
      </c>
      <c r="I85" s="8" t="s">
        <v>259</v>
      </c>
      <c r="J85" s="8" t="s">
        <v>6692</v>
      </c>
      <c r="K85" s="8" t="n">
        <v>2</v>
      </c>
      <c r="L85" s="8" t="n">
        <v>4</v>
      </c>
      <c r="M85" s="18" t="n">
        <f aca="false">INDEX('All Items'!$Q:$Q,MATCH($A85,'All Items'!$A:$A,0))</f>
        <v>8.2</v>
      </c>
      <c r="N85" s="8" t="s">
        <v>6752</v>
      </c>
      <c r="O85" s="8" t="s">
        <v>6753</v>
      </c>
      <c r="P85" s="8" t="s">
        <v>6754</v>
      </c>
      <c r="Q85" s="8" t="s">
        <v>6755</v>
      </c>
      <c r="R85" s="8" t="s">
        <v>6756</v>
      </c>
      <c r="S85" s="8"/>
      <c r="T85" s="19" t="s">
        <v>6757</v>
      </c>
      <c r="U85" s="8" t="s">
        <v>6758</v>
      </c>
      <c r="V85" s="8" t="s">
        <v>6759</v>
      </c>
      <c r="W85" s="8" t="n">
        <f aca="false">COUNTA(N85:S85)</f>
        <v>5</v>
      </c>
      <c r="X85" s="8" t="s">
        <v>218</v>
      </c>
      <c r="Y85" s="8" t="s">
        <v>259</v>
      </c>
      <c r="Z85" s="8" t="s">
        <v>218</v>
      </c>
      <c r="AA85" s="8"/>
      <c r="AB85" s="8" t="s">
        <v>6760</v>
      </c>
      <c r="AC85" s="20"/>
      <c r="AD85" s="20"/>
      <c r="AE85" s="20"/>
      <c r="AF85" s="8" t="s">
        <v>237</v>
      </c>
      <c r="AG85" s="8" t="s">
        <v>224</v>
      </c>
    </row>
    <row r="86" customFormat="false" ht="15" hidden="false" customHeight="false" outlineLevel="0" collapsed="false">
      <c r="A86" s="8" t="s">
        <v>6761</v>
      </c>
      <c r="B86" s="8" t="s">
        <v>6762</v>
      </c>
      <c r="C86" s="8"/>
      <c r="D86" s="8" t="s">
        <v>5207</v>
      </c>
      <c r="E86" s="8"/>
      <c r="F86" s="8" t="s">
        <v>72</v>
      </c>
      <c r="G86" s="8" t="s">
        <v>5047</v>
      </c>
      <c r="H86" s="8" t="s">
        <v>94</v>
      </c>
      <c r="I86" s="8" t="s">
        <v>259</v>
      </c>
      <c r="J86" s="8" t="s">
        <v>6328</v>
      </c>
      <c r="K86" s="8" t="n">
        <v>1</v>
      </c>
      <c r="L86" s="8" t="n">
        <v>5</v>
      </c>
      <c r="M86" s="18" t="n">
        <f aca="false">INDEX('All Items'!$Q:$Q,MATCH($A86,'All Items'!$A:$A,0))</f>
        <v>9.75</v>
      </c>
      <c r="N86" s="8" t="s">
        <v>3949</v>
      </c>
      <c r="O86" s="8" t="s">
        <v>1363</v>
      </c>
      <c r="P86" s="8" t="s">
        <v>5219</v>
      </c>
      <c r="Q86" s="8" t="s">
        <v>3937</v>
      </c>
      <c r="R86" s="8" t="s">
        <v>6763</v>
      </c>
      <c r="S86" s="8"/>
      <c r="T86" s="19" t="s">
        <v>6764</v>
      </c>
      <c r="U86" s="8" t="s">
        <v>6765</v>
      </c>
      <c r="V86" s="8"/>
      <c r="W86" s="8" t="n">
        <f aca="false">COUNTA(N86:S86)</f>
        <v>5</v>
      </c>
      <c r="X86" s="8" t="s">
        <v>218</v>
      </c>
      <c r="Y86" s="8" t="s">
        <v>259</v>
      </c>
      <c r="Z86" s="8" t="s">
        <v>259</v>
      </c>
      <c r="AA86" s="8" t="s">
        <v>6766</v>
      </c>
      <c r="AB86" s="8" t="s">
        <v>6767</v>
      </c>
      <c r="AC86" s="20"/>
      <c r="AD86" s="20"/>
      <c r="AE86" s="20"/>
      <c r="AF86" s="8" t="s">
        <v>237</v>
      </c>
      <c r="AG86" s="8" t="s">
        <v>224</v>
      </c>
    </row>
    <row r="87" customFormat="false" ht="15" hidden="false" customHeight="false" outlineLevel="0" collapsed="false">
      <c r="A87" s="8" t="s">
        <v>6768</v>
      </c>
      <c r="B87" s="8" t="s">
        <v>6769</v>
      </c>
      <c r="C87" s="8"/>
      <c r="D87" s="8" t="s">
        <v>2859</v>
      </c>
      <c r="E87" s="8"/>
      <c r="F87" s="8" t="s">
        <v>70</v>
      </c>
      <c r="G87" s="8" t="s">
        <v>2533</v>
      </c>
      <c r="H87" s="8" t="s">
        <v>94</v>
      </c>
      <c r="I87" s="8" t="s">
        <v>259</v>
      </c>
      <c r="J87" s="8" t="s">
        <v>6328</v>
      </c>
      <c r="K87" s="8" t="n">
        <v>1</v>
      </c>
      <c r="L87" s="8" t="n">
        <v>4</v>
      </c>
      <c r="M87" s="18" t="n">
        <f aca="false">INDEX('All Items'!$Q:$Q,MATCH($A87,'All Items'!$A:$A,0))</f>
        <v>8.45</v>
      </c>
      <c r="N87" s="8" t="s">
        <v>3090</v>
      </c>
      <c r="O87" s="8" t="s">
        <v>6770</v>
      </c>
      <c r="P87" s="8" t="s">
        <v>6681</v>
      </c>
      <c r="Q87" s="8" t="s">
        <v>3108</v>
      </c>
      <c r="R87" s="8" t="s">
        <v>6771</v>
      </c>
      <c r="S87" s="8" t="s">
        <v>2865</v>
      </c>
      <c r="T87" s="19" t="s">
        <v>6772</v>
      </c>
      <c r="U87" s="8" t="s">
        <v>6773</v>
      </c>
      <c r="V87" s="8"/>
      <c r="W87" s="8" t="n">
        <f aca="false">COUNTA(N87:S87)</f>
        <v>6</v>
      </c>
      <c r="X87" s="8" t="s">
        <v>218</v>
      </c>
      <c r="Y87" s="8" t="s">
        <v>259</v>
      </c>
      <c r="Z87" s="8" t="s">
        <v>218</v>
      </c>
      <c r="AA87" s="8"/>
      <c r="AB87" s="8" t="s">
        <v>6774</v>
      </c>
      <c r="AC87" s="20"/>
      <c r="AD87" s="20"/>
      <c r="AE87" s="20"/>
      <c r="AF87" s="8" t="s">
        <v>237</v>
      </c>
      <c r="AG87" s="8" t="s">
        <v>224</v>
      </c>
    </row>
    <row r="88" customFormat="false" ht="15" hidden="false" customHeight="false" outlineLevel="0" collapsed="false">
      <c r="A88" s="8" t="s">
        <v>6775</v>
      </c>
      <c r="B88" s="8" t="s">
        <v>6776</v>
      </c>
      <c r="C88" s="8"/>
      <c r="D88" s="8" t="s">
        <v>2859</v>
      </c>
      <c r="E88" s="8"/>
      <c r="F88" s="8" t="s">
        <v>70</v>
      </c>
      <c r="G88" s="8" t="s">
        <v>2533</v>
      </c>
      <c r="H88" s="8" t="s">
        <v>94</v>
      </c>
      <c r="I88" s="8" t="s">
        <v>259</v>
      </c>
      <c r="J88" s="8" t="s">
        <v>6777</v>
      </c>
      <c r="K88" s="8" t="n">
        <v>2</v>
      </c>
      <c r="L88" s="8" t="n">
        <v>3</v>
      </c>
      <c r="M88" s="18" t="n">
        <f aca="false">INDEX('All Items'!$Q:$Q,MATCH($A88,'All Items'!$A:$A,0))</f>
        <v>6.65</v>
      </c>
      <c r="N88" s="8" t="s">
        <v>6778</v>
      </c>
      <c r="O88" s="8" t="s">
        <v>6779</v>
      </c>
      <c r="P88" s="8" t="s">
        <v>6780</v>
      </c>
      <c r="Q88" s="8" t="s">
        <v>3108</v>
      </c>
      <c r="R88" s="8" t="s">
        <v>6781</v>
      </c>
      <c r="S88" s="8" t="s">
        <v>6782</v>
      </c>
      <c r="T88" s="19" t="s">
        <v>6783</v>
      </c>
      <c r="U88" s="8" t="s">
        <v>3108</v>
      </c>
      <c r="V88" s="8"/>
      <c r="W88" s="8" t="n">
        <f aca="false">COUNTA(N88:S88)</f>
        <v>6</v>
      </c>
      <c r="X88" s="8" t="s">
        <v>218</v>
      </c>
      <c r="Y88" s="8" t="s">
        <v>259</v>
      </c>
      <c r="Z88" s="8" t="s">
        <v>218</v>
      </c>
      <c r="AA88" s="8"/>
      <c r="AB88" s="8" t="s">
        <v>6784</v>
      </c>
      <c r="AC88" s="20" t="s">
        <v>6785</v>
      </c>
      <c r="AD88" s="20" t="s">
        <v>221</v>
      </c>
      <c r="AE88" s="20" t="s">
        <v>6786</v>
      </c>
      <c r="AF88" s="8" t="s">
        <v>223</v>
      </c>
      <c r="AG88" s="8" t="s">
        <v>224</v>
      </c>
    </row>
    <row r="89" customFormat="false" ht="15" hidden="false" customHeight="false" outlineLevel="0" collapsed="false">
      <c r="A89" s="8" t="s">
        <v>6787</v>
      </c>
      <c r="B89" s="8" t="s">
        <v>6788</v>
      </c>
      <c r="C89" s="8"/>
      <c r="D89" s="8" t="s">
        <v>2532</v>
      </c>
      <c r="E89" s="8"/>
      <c r="F89" s="8" t="s">
        <v>70</v>
      </c>
      <c r="G89" s="8" t="s">
        <v>2533</v>
      </c>
      <c r="H89" s="8" t="s">
        <v>94</v>
      </c>
      <c r="I89" s="8" t="s">
        <v>259</v>
      </c>
      <c r="J89" s="8" t="s">
        <v>6403</v>
      </c>
      <c r="K89" s="8" t="n">
        <v>2</v>
      </c>
      <c r="L89" s="8" t="n">
        <v>3</v>
      </c>
      <c r="M89" s="18" t="n">
        <f aca="false">INDEX('All Items'!$Q:$Q,MATCH($A89,'All Items'!$A:$A,0))</f>
        <v>6.65</v>
      </c>
      <c r="N89" s="8" t="s">
        <v>6789</v>
      </c>
      <c r="O89" s="8" t="s">
        <v>782</v>
      </c>
      <c r="P89" s="8" t="s">
        <v>6790</v>
      </c>
      <c r="Q89" s="8" t="s">
        <v>6791</v>
      </c>
      <c r="R89" s="8" t="s">
        <v>6792</v>
      </c>
      <c r="S89" s="8" t="s">
        <v>6793</v>
      </c>
      <c r="T89" s="19" t="s">
        <v>6794</v>
      </c>
      <c r="U89" s="8"/>
      <c r="V89" s="8"/>
      <c r="W89" s="8" t="n">
        <f aca="false">COUNTA(N89:S89)</f>
        <v>6</v>
      </c>
      <c r="X89" s="8" t="s">
        <v>218</v>
      </c>
      <c r="Y89" s="8" t="s">
        <v>259</v>
      </c>
      <c r="Z89" s="8" t="s">
        <v>218</v>
      </c>
      <c r="AA89" s="8"/>
      <c r="AB89" s="8" t="s">
        <v>6795</v>
      </c>
      <c r="AC89" s="20"/>
      <c r="AD89" s="20"/>
      <c r="AE89" s="20"/>
      <c r="AF89" s="8" t="s">
        <v>237</v>
      </c>
      <c r="AG89" s="8" t="s">
        <v>224</v>
      </c>
    </row>
    <row r="90" customFormat="false" ht="15" hidden="false" customHeight="false" outlineLevel="0" collapsed="false">
      <c r="A90" s="8" t="s">
        <v>6796</v>
      </c>
      <c r="B90" s="8" t="s">
        <v>6797</v>
      </c>
      <c r="C90" s="8" t="s">
        <v>6798</v>
      </c>
      <c r="D90" s="8" t="s">
        <v>6793</v>
      </c>
      <c r="E90" s="8"/>
      <c r="F90" s="8" t="s">
        <v>70</v>
      </c>
      <c r="G90" s="8" t="s">
        <v>2533</v>
      </c>
      <c r="H90" s="8" t="s">
        <v>93</v>
      </c>
      <c r="I90" s="8" t="s">
        <v>259</v>
      </c>
      <c r="J90" s="8" t="s">
        <v>6799</v>
      </c>
      <c r="K90" s="8" t="n">
        <v>1</v>
      </c>
      <c r="L90" s="8" t="n">
        <v>4</v>
      </c>
      <c r="M90" s="18" t="n">
        <f aca="false">INDEX('All Items'!$Q:$Q,MATCH($A90,'All Items'!$A:$A,0))</f>
        <v>8.45</v>
      </c>
      <c r="N90" s="8" t="s">
        <v>1363</v>
      </c>
      <c r="O90" s="8" t="s">
        <v>6800</v>
      </c>
      <c r="P90" s="8" t="s">
        <v>6801</v>
      </c>
      <c r="Q90" s="8" t="s">
        <v>846</v>
      </c>
      <c r="R90" s="8" t="s">
        <v>6802</v>
      </c>
      <c r="S90" s="8" t="s">
        <v>6803</v>
      </c>
      <c r="T90" s="19" t="s">
        <v>6804</v>
      </c>
      <c r="U90" s="8" t="s">
        <v>6805</v>
      </c>
      <c r="V90" s="8" t="s">
        <v>6803</v>
      </c>
      <c r="W90" s="8" t="n">
        <f aca="false">COUNTA(N90:S90)</f>
        <v>6</v>
      </c>
      <c r="X90" s="8" t="s">
        <v>218</v>
      </c>
      <c r="Y90" s="8" t="s">
        <v>259</v>
      </c>
      <c r="Z90" s="8" t="s">
        <v>259</v>
      </c>
      <c r="AA90" s="8" t="s">
        <v>6793</v>
      </c>
      <c r="AB90" s="8" t="s">
        <v>6806</v>
      </c>
      <c r="AC90" s="20"/>
      <c r="AD90" s="20"/>
      <c r="AE90" s="20"/>
      <c r="AF90" s="8" t="s">
        <v>237</v>
      </c>
      <c r="AG90" s="8" t="s">
        <v>224</v>
      </c>
    </row>
    <row r="91" customFormat="false" ht="15" hidden="false" customHeight="false" outlineLevel="0" collapsed="false">
      <c r="A91" s="8" t="s">
        <v>6807</v>
      </c>
      <c r="B91" s="8" t="s">
        <v>6808</v>
      </c>
      <c r="C91" s="8"/>
      <c r="D91" s="8" t="s">
        <v>2532</v>
      </c>
      <c r="E91" s="8"/>
      <c r="F91" s="8" t="s">
        <v>70</v>
      </c>
      <c r="G91" s="8" t="s">
        <v>2533</v>
      </c>
      <c r="H91" s="8" t="s">
        <v>94</v>
      </c>
      <c r="I91" s="8" t="s">
        <v>259</v>
      </c>
      <c r="J91" s="8" t="s">
        <v>6679</v>
      </c>
      <c r="K91" s="8" t="n">
        <v>2</v>
      </c>
      <c r="L91" s="8" t="n">
        <v>3</v>
      </c>
      <c r="M91" s="18" t="n">
        <f aca="false">INDEX('All Items'!$Q:$Q,MATCH($A91,'All Items'!$A:$A,0))</f>
        <v>6.9</v>
      </c>
      <c r="N91" s="8" t="s">
        <v>6809</v>
      </c>
      <c r="O91" s="8" t="s">
        <v>6810</v>
      </c>
      <c r="P91" s="8" t="s">
        <v>2494</v>
      </c>
      <c r="Q91" s="8" t="s">
        <v>6811</v>
      </c>
      <c r="R91" s="8" t="s">
        <v>6812</v>
      </c>
      <c r="S91" s="8" t="s">
        <v>5393</v>
      </c>
      <c r="T91" s="19" t="s">
        <v>6813</v>
      </c>
      <c r="U91" s="8" t="s">
        <v>6814</v>
      </c>
      <c r="V91" s="8" t="s">
        <v>6815</v>
      </c>
      <c r="W91" s="8" t="n">
        <f aca="false">COUNTA(N91:S91)</f>
        <v>6</v>
      </c>
      <c r="X91" s="8" t="s">
        <v>218</v>
      </c>
      <c r="Y91" s="8" t="s">
        <v>259</v>
      </c>
      <c r="Z91" s="8" t="s">
        <v>218</v>
      </c>
      <c r="AA91" s="8"/>
      <c r="AB91" s="8" t="s">
        <v>6816</v>
      </c>
      <c r="AC91" s="20"/>
      <c r="AD91" s="20"/>
      <c r="AE91" s="20"/>
      <c r="AF91" s="8" t="s">
        <v>237</v>
      </c>
      <c r="AG91" s="8" t="s">
        <v>224</v>
      </c>
    </row>
    <row r="92" customFormat="false" ht="15" hidden="false" customHeight="false" outlineLevel="0" collapsed="false">
      <c r="A92" s="8" t="s">
        <v>6817</v>
      </c>
      <c r="B92" s="8" t="s">
        <v>6818</v>
      </c>
      <c r="C92" s="8"/>
      <c r="D92" s="8" t="s">
        <v>3508</v>
      </c>
      <c r="E92" s="8"/>
      <c r="F92" s="8" t="s">
        <v>70</v>
      </c>
      <c r="G92" s="8" t="s">
        <v>2789</v>
      </c>
      <c r="H92" s="8" t="s">
        <v>94</v>
      </c>
      <c r="I92" s="8" t="s">
        <v>259</v>
      </c>
      <c r="J92" s="8" t="s">
        <v>6692</v>
      </c>
      <c r="K92" s="8" t="n">
        <v>2</v>
      </c>
      <c r="L92" s="8" t="n">
        <v>3</v>
      </c>
      <c r="M92" s="18" t="n">
        <f aca="false">INDEX('All Items'!$Q:$Q,MATCH($A92,'All Items'!$A:$A,0))</f>
        <v>7.15</v>
      </c>
      <c r="N92" s="8" t="s">
        <v>6803</v>
      </c>
      <c r="O92" s="8" t="s">
        <v>6650</v>
      </c>
      <c r="P92" s="8" t="s">
        <v>6819</v>
      </c>
      <c r="Q92" s="8" t="s">
        <v>2494</v>
      </c>
      <c r="R92" s="8" t="s">
        <v>6820</v>
      </c>
      <c r="S92" s="8" t="s">
        <v>3532</v>
      </c>
      <c r="T92" s="19" t="s">
        <v>6821</v>
      </c>
      <c r="U92" s="8" t="s">
        <v>6822</v>
      </c>
      <c r="V92" s="8"/>
      <c r="W92" s="8" t="n">
        <f aca="false">COUNTA(N92:S92)</f>
        <v>6</v>
      </c>
      <c r="X92" s="8" t="s">
        <v>218</v>
      </c>
      <c r="Y92" s="8" t="s">
        <v>259</v>
      </c>
      <c r="Z92" s="8" t="s">
        <v>218</v>
      </c>
      <c r="AA92" s="8"/>
      <c r="AB92" s="8" t="s">
        <v>6823</v>
      </c>
      <c r="AC92" s="20" t="s">
        <v>6824</v>
      </c>
      <c r="AD92" s="20" t="s">
        <v>221</v>
      </c>
      <c r="AE92" s="20" t="s">
        <v>6825</v>
      </c>
      <c r="AF92" s="8" t="s">
        <v>223</v>
      </c>
      <c r="AG92" s="8" t="s">
        <v>224</v>
      </c>
    </row>
    <row r="93" customFormat="false" ht="15" hidden="false" customHeight="false" outlineLevel="0" collapsed="false">
      <c r="A93" s="8" t="s">
        <v>6826</v>
      </c>
      <c r="B93" s="8" t="s">
        <v>6827</v>
      </c>
      <c r="C93" s="8"/>
      <c r="D93" s="8" t="s">
        <v>5544</v>
      </c>
      <c r="E93" s="8"/>
      <c r="F93" s="8" t="s">
        <v>72</v>
      </c>
      <c r="G93" s="8" t="s">
        <v>5447</v>
      </c>
      <c r="H93" s="8" t="s">
        <v>94</v>
      </c>
      <c r="I93" s="8" t="s">
        <v>259</v>
      </c>
      <c r="J93" s="8" t="s">
        <v>6828</v>
      </c>
      <c r="K93" s="8" t="n">
        <v>1</v>
      </c>
      <c r="L93" s="8" t="n">
        <v>4</v>
      </c>
      <c r="M93" s="18" t="n">
        <f aca="false">INDEX('All Items'!$Q:$Q,MATCH($A93,'All Items'!$A:$A,0))</f>
        <v>8.45</v>
      </c>
      <c r="N93" s="8" t="s">
        <v>6829</v>
      </c>
      <c r="O93" s="8" t="s">
        <v>6830</v>
      </c>
      <c r="P93" s="8" t="s">
        <v>6831</v>
      </c>
      <c r="Q93" s="8" t="s">
        <v>6832</v>
      </c>
      <c r="R93" s="8" t="s">
        <v>5550</v>
      </c>
      <c r="S93" s="8" t="s">
        <v>6833</v>
      </c>
      <c r="T93" s="19" t="s">
        <v>6834</v>
      </c>
      <c r="U93" s="8" t="s">
        <v>6833</v>
      </c>
      <c r="V93" s="8" t="s">
        <v>6833</v>
      </c>
      <c r="W93" s="8" t="n">
        <f aca="false">COUNTA(N93:S93)</f>
        <v>6</v>
      </c>
      <c r="X93" s="8" t="s">
        <v>218</v>
      </c>
      <c r="Y93" s="8" t="s">
        <v>259</v>
      </c>
      <c r="Z93" s="8" t="s">
        <v>259</v>
      </c>
      <c r="AA93" s="8" t="s">
        <v>6835</v>
      </c>
      <c r="AB93" s="8" t="s">
        <v>6836</v>
      </c>
      <c r="AC93" s="20"/>
      <c r="AD93" s="20"/>
      <c r="AE93" s="20"/>
      <c r="AF93" s="8" t="s">
        <v>237</v>
      </c>
      <c r="AG93" s="8" t="s">
        <v>224</v>
      </c>
    </row>
    <row r="94" customFormat="false" ht="15" hidden="false" customHeight="false" outlineLevel="0" collapsed="false">
      <c r="A94" s="8" t="s">
        <v>6837</v>
      </c>
      <c r="B94" s="8" t="s">
        <v>6838</v>
      </c>
      <c r="C94" s="8"/>
      <c r="D94" s="8" t="s">
        <v>5872</v>
      </c>
      <c r="E94" s="8"/>
      <c r="F94" s="8" t="s">
        <v>73</v>
      </c>
      <c r="G94" s="8" t="s">
        <v>5873</v>
      </c>
      <c r="H94" s="8" t="s">
        <v>94</v>
      </c>
      <c r="I94" s="8" t="s">
        <v>259</v>
      </c>
      <c r="J94" s="8" t="s">
        <v>6328</v>
      </c>
      <c r="K94" s="8" t="n">
        <v>2</v>
      </c>
      <c r="L94" s="8" t="n">
        <v>3</v>
      </c>
      <c r="M94" s="18" t="n">
        <f aca="false">INDEX('All Items'!$Q:$Q,MATCH($A94,'All Items'!$A:$A,0))</f>
        <v>7.4</v>
      </c>
      <c r="N94" s="8" t="s">
        <v>3090</v>
      </c>
      <c r="O94" s="8" t="s">
        <v>1363</v>
      </c>
      <c r="P94" s="8" t="s">
        <v>6839</v>
      </c>
      <c r="Q94" s="8" t="s">
        <v>2309</v>
      </c>
      <c r="R94" s="8" t="s">
        <v>6840</v>
      </c>
      <c r="S94" s="8" t="s">
        <v>5876</v>
      </c>
      <c r="T94" s="19" t="s">
        <v>6841</v>
      </c>
      <c r="U94" s="8" t="s">
        <v>6842</v>
      </c>
      <c r="V94" s="8"/>
      <c r="W94" s="8" t="n">
        <f aca="false">COUNTA(N94:S94)</f>
        <v>6</v>
      </c>
      <c r="X94" s="8" t="s">
        <v>218</v>
      </c>
      <c r="Y94" s="8" t="s">
        <v>259</v>
      </c>
      <c r="Z94" s="8" t="s">
        <v>218</v>
      </c>
      <c r="AA94" s="8"/>
      <c r="AB94" s="8" t="s">
        <v>6843</v>
      </c>
      <c r="AC94" s="20"/>
      <c r="AD94" s="20"/>
      <c r="AE94" s="20"/>
      <c r="AF94" s="8" t="s">
        <v>237</v>
      </c>
      <c r="AG94" s="8" t="s">
        <v>224</v>
      </c>
    </row>
    <row r="95" customFormat="false" ht="15" hidden="false" customHeight="false" outlineLevel="0" collapsed="false">
      <c r="A95" s="8" t="s">
        <v>6844</v>
      </c>
      <c r="B95" s="8" t="s">
        <v>6845</v>
      </c>
      <c r="C95" s="8" t="s">
        <v>6846</v>
      </c>
      <c r="D95" s="8" t="s">
        <v>5783</v>
      </c>
      <c r="E95" s="8"/>
      <c r="F95" s="8" t="s">
        <v>73</v>
      </c>
      <c r="G95" s="8" t="s">
        <v>5622</v>
      </c>
      <c r="H95" s="8" t="s">
        <v>94</v>
      </c>
      <c r="I95" s="8" t="s">
        <v>259</v>
      </c>
      <c r="J95" s="8" t="s">
        <v>6692</v>
      </c>
      <c r="K95" s="8" t="n">
        <v>1</v>
      </c>
      <c r="L95" s="8" t="n">
        <v>4</v>
      </c>
      <c r="M95" s="18" t="n">
        <f aca="false">INDEX('All Items'!$Q:$Q,MATCH($A95,'All Items'!$A:$A,0))</f>
        <v>8.2</v>
      </c>
      <c r="N95" s="8" t="s">
        <v>6847</v>
      </c>
      <c r="O95" s="8" t="s">
        <v>5786</v>
      </c>
      <c r="P95" s="8" t="s">
        <v>6038</v>
      </c>
      <c r="Q95" s="8" t="s">
        <v>6848</v>
      </c>
      <c r="R95" s="8" t="s">
        <v>6849</v>
      </c>
      <c r="S95" s="8" t="s">
        <v>6850</v>
      </c>
      <c r="T95" s="19" t="s">
        <v>6851</v>
      </c>
      <c r="U95" s="8" t="s">
        <v>6852</v>
      </c>
      <c r="V95" s="8" t="s">
        <v>6853</v>
      </c>
      <c r="W95" s="8" t="n">
        <f aca="false">COUNTA(N95:S95)</f>
        <v>6</v>
      </c>
      <c r="X95" s="8" t="s">
        <v>218</v>
      </c>
      <c r="Y95" s="8" t="s">
        <v>259</v>
      </c>
      <c r="Z95" s="8" t="s">
        <v>259</v>
      </c>
      <c r="AA95" s="8" t="s">
        <v>5789</v>
      </c>
      <c r="AB95" s="8" t="s">
        <v>6854</v>
      </c>
      <c r="AC95" s="20"/>
      <c r="AD95" s="20"/>
      <c r="AE95" s="20"/>
      <c r="AF95" s="8" t="s">
        <v>237</v>
      </c>
      <c r="AG95" s="8" t="s">
        <v>224</v>
      </c>
    </row>
    <row r="96" customFormat="false" ht="15" hidden="false" customHeight="false" outlineLevel="0" collapsed="false">
      <c r="A96" s="8" t="s">
        <v>6855</v>
      </c>
      <c r="B96" s="8" t="s">
        <v>6856</v>
      </c>
      <c r="C96" s="8" t="s">
        <v>6857</v>
      </c>
      <c r="D96" s="8" t="s">
        <v>5621</v>
      </c>
      <c r="E96" s="8"/>
      <c r="F96" s="8" t="s">
        <v>73</v>
      </c>
      <c r="G96" s="8" t="s">
        <v>5622</v>
      </c>
      <c r="H96" s="8" t="s">
        <v>93</v>
      </c>
      <c r="I96" s="8" t="s">
        <v>259</v>
      </c>
      <c r="J96" s="8" t="s">
        <v>6692</v>
      </c>
      <c r="K96" s="8" t="n">
        <v>2</v>
      </c>
      <c r="L96" s="8" t="n">
        <v>3</v>
      </c>
      <c r="M96" s="18" t="n">
        <f aca="false">INDEX('All Items'!$Q:$Q,MATCH($A96,'All Items'!$A:$A,0))</f>
        <v>6.9</v>
      </c>
      <c r="N96" s="8" t="s">
        <v>6858</v>
      </c>
      <c r="O96" s="8" t="s">
        <v>6859</v>
      </c>
      <c r="P96" s="8" t="s">
        <v>6860</v>
      </c>
      <c r="Q96" s="8" t="s">
        <v>5766</v>
      </c>
      <c r="R96" s="8" t="s">
        <v>6861</v>
      </c>
      <c r="S96" s="8"/>
      <c r="T96" s="19" t="s">
        <v>6862</v>
      </c>
      <c r="U96" s="8" t="s">
        <v>6861</v>
      </c>
      <c r="V96" s="8" t="s">
        <v>6863</v>
      </c>
      <c r="W96" s="8" t="n">
        <f aca="false">COUNTA(N96:S96)</f>
        <v>5</v>
      </c>
      <c r="X96" s="8" t="s">
        <v>218</v>
      </c>
      <c r="Y96" s="8" t="s">
        <v>259</v>
      </c>
      <c r="Z96" s="8" t="s">
        <v>218</v>
      </c>
      <c r="AA96" s="8"/>
      <c r="AB96" s="8" t="s">
        <v>6864</v>
      </c>
      <c r="AC96" s="20"/>
      <c r="AD96" s="20"/>
      <c r="AE96" s="20"/>
      <c r="AF96" s="8" t="s">
        <v>237</v>
      </c>
      <c r="AG96" s="8" t="s">
        <v>224</v>
      </c>
    </row>
    <row r="97" customFormat="false" ht="15" hidden="false" customHeight="false" outlineLevel="0" collapsed="false">
      <c r="A97" s="8" t="s">
        <v>6865</v>
      </c>
      <c r="B97" s="8" t="s">
        <v>6866</v>
      </c>
      <c r="C97" s="8" t="s">
        <v>6867</v>
      </c>
      <c r="D97" s="8" t="s">
        <v>206</v>
      </c>
      <c r="E97" s="8" t="s">
        <v>103</v>
      </c>
      <c r="F97" s="8" t="s">
        <v>70</v>
      </c>
      <c r="G97" s="8" t="s">
        <v>207</v>
      </c>
      <c r="H97" s="8" t="s">
        <v>94</v>
      </c>
      <c r="I97" s="8" t="s">
        <v>259</v>
      </c>
      <c r="J97" s="8" t="s">
        <v>6328</v>
      </c>
      <c r="K97" s="8" t="n">
        <v>2</v>
      </c>
      <c r="L97" s="8" t="n">
        <v>4</v>
      </c>
      <c r="M97" s="18" t="n">
        <f aca="false">INDEX('All Items'!$Q:$Q,MATCH($A97,'All Items'!$A:$A,0))</f>
        <v>7.95</v>
      </c>
      <c r="N97" s="8" t="s">
        <v>3090</v>
      </c>
      <c r="O97" s="8" t="s">
        <v>6868</v>
      </c>
      <c r="P97" s="8" t="s">
        <v>6869</v>
      </c>
      <c r="Q97" s="8" t="s">
        <v>6870</v>
      </c>
      <c r="R97" s="8" t="s">
        <v>6871</v>
      </c>
      <c r="S97" s="8" t="s">
        <v>1363</v>
      </c>
      <c r="T97" s="19" t="s">
        <v>6872</v>
      </c>
      <c r="U97" s="8" t="s">
        <v>6873</v>
      </c>
      <c r="V97" s="8" t="s">
        <v>6874</v>
      </c>
      <c r="W97" s="8" t="n">
        <f aca="false">COUNTA(N97:S97)</f>
        <v>6</v>
      </c>
      <c r="X97" s="8" t="s">
        <v>259</v>
      </c>
      <c r="Y97" s="8" t="s">
        <v>218</v>
      </c>
      <c r="Z97" s="8" t="s">
        <v>218</v>
      </c>
      <c r="AA97" s="8"/>
      <c r="AB97" s="8" t="s">
        <v>6875</v>
      </c>
      <c r="AC97" s="20" t="s">
        <v>6876</v>
      </c>
      <c r="AD97" s="20" t="s">
        <v>221</v>
      </c>
      <c r="AE97" s="20" t="s">
        <v>6877</v>
      </c>
      <c r="AF97" s="8" t="s">
        <v>223</v>
      </c>
      <c r="AG97" s="8" t="s">
        <v>224</v>
      </c>
    </row>
    <row r="98" customFormat="false" ht="15" hidden="false" customHeight="false" outlineLevel="0" collapsed="false">
      <c r="A98" s="8" t="s">
        <v>6878</v>
      </c>
      <c r="B98" s="8" t="s">
        <v>6879</v>
      </c>
      <c r="C98" s="8"/>
      <c r="D98" s="8" t="s">
        <v>206</v>
      </c>
      <c r="E98" s="8" t="s">
        <v>103</v>
      </c>
      <c r="F98" s="8" t="s">
        <v>70</v>
      </c>
      <c r="G98" s="8" t="s">
        <v>207</v>
      </c>
      <c r="H98" s="8" t="s">
        <v>94</v>
      </c>
      <c r="I98" s="8" t="s">
        <v>259</v>
      </c>
      <c r="J98" s="8" t="s">
        <v>6679</v>
      </c>
      <c r="K98" s="8" t="n">
        <v>3</v>
      </c>
      <c r="L98" s="8" t="n">
        <v>3</v>
      </c>
      <c r="M98" s="18" t="n">
        <f aca="false">INDEX('All Items'!$Q:$Q,MATCH($A98,'All Items'!$A:$A,0))</f>
        <v>6.9</v>
      </c>
      <c r="N98" s="8" t="s">
        <v>764</v>
      </c>
      <c r="O98" s="8" t="s">
        <v>1363</v>
      </c>
      <c r="P98" s="8" t="s">
        <v>6880</v>
      </c>
      <c r="Q98" s="8" t="s">
        <v>6881</v>
      </c>
      <c r="R98" s="8" t="s">
        <v>1364</v>
      </c>
      <c r="S98" s="8"/>
      <c r="T98" s="19" t="s">
        <v>6882</v>
      </c>
      <c r="U98" s="8" t="s">
        <v>6883</v>
      </c>
      <c r="V98" s="8" t="s">
        <v>1364</v>
      </c>
      <c r="W98" s="8" t="n">
        <f aca="false">COUNTA(N98:S98)</f>
        <v>5</v>
      </c>
      <c r="X98" s="8" t="s">
        <v>259</v>
      </c>
      <c r="Y98" s="8" t="s">
        <v>218</v>
      </c>
      <c r="Z98" s="8" t="s">
        <v>218</v>
      </c>
      <c r="AA98" s="8"/>
      <c r="AB98" s="8" t="s">
        <v>6884</v>
      </c>
      <c r="AC98" s="20"/>
      <c r="AD98" s="20"/>
      <c r="AE98" s="20"/>
      <c r="AF98" s="8" t="s">
        <v>237</v>
      </c>
      <c r="AG98" s="8" t="s">
        <v>224</v>
      </c>
    </row>
    <row r="99" customFormat="false" ht="15" hidden="false" customHeight="false" outlineLevel="0" collapsed="false">
      <c r="A99" s="8" t="s">
        <v>6885</v>
      </c>
      <c r="B99" s="8" t="s">
        <v>6886</v>
      </c>
      <c r="C99" s="8"/>
      <c r="D99" s="8" t="s">
        <v>206</v>
      </c>
      <c r="E99" s="8" t="s">
        <v>103</v>
      </c>
      <c r="F99" s="8" t="s">
        <v>70</v>
      </c>
      <c r="G99" s="8" t="s">
        <v>207</v>
      </c>
      <c r="H99" s="8" t="s">
        <v>94</v>
      </c>
      <c r="I99" s="8" t="s">
        <v>259</v>
      </c>
      <c r="J99" s="8" t="s">
        <v>6692</v>
      </c>
      <c r="K99" s="8" t="n">
        <v>3</v>
      </c>
      <c r="L99" s="8" t="n">
        <v>3</v>
      </c>
      <c r="M99" s="18" t="n">
        <f aca="false">INDEX('All Items'!$Q:$Q,MATCH($A99,'All Items'!$A:$A,0))</f>
        <v>7.15</v>
      </c>
      <c r="N99" s="8" t="s">
        <v>764</v>
      </c>
      <c r="O99" s="8" t="s">
        <v>442</v>
      </c>
      <c r="P99" s="8" t="s">
        <v>6803</v>
      </c>
      <c r="Q99" s="8" t="s">
        <v>2834</v>
      </c>
      <c r="R99" s="8" t="s">
        <v>6887</v>
      </c>
      <c r="S99" s="8" t="s">
        <v>6888</v>
      </c>
      <c r="T99" s="19" t="s">
        <v>6889</v>
      </c>
      <c r="U99" s="8" t="s">
        <v>6890</v>
      </c>
      <c r="V99" s="8"/>
      <c r="W99" s="8" t="n">
        <f aca="false">COUNTA(N99:S99)</f>
        <v>6</v>
      </c>
      <c r="X99" s="8" t="s">
        <v>259</v>
      </c>
      <c r="Y99" s="8" t="s">
        <v>218</v>
      </c>
      <c r="Z99" s="8" t="s">
        <v>218</v>
      </c>
      <c r="AA99" s="8"/>
      <c r="AB99" s="8" t="s">
        <v>6891</v>
      </c>
      <c r="AC99" s="20" t="s">
        <v>6892</v>
      </c>
      <c r="AD99" s="20" t="s">
        <v>221</v>
      </c>
      <c r="AE99" s="20" t="s">
        <v>6893</v>
      </c>
      <c r="AF99" s="8" t="s">
        <v>223</v>
      </c>
      <c r="AG99" s="8" t="s">
        <v>224</v>
      </c>
    </row>
    <row r="100" customFormat="false" ht="15" hidden="false" customHeight="false" outlineLevel="0" collapsed="false">
      <c r="A100" s="8" t="s">
        <v>6894</v>
      </c>
      <c r="B100" s="8" t="s">
        <v>6895</v>
      </c>
      <c r="C100" s="8"/>
      <c r="D100" s="8" t="s">
        <v>206</v>
      </c>
      <c r="E100" s="8" t="s">
        <v>103</v>
      </c>
      <c r="F100" s="8" t="s">
        <v>70</v>
      </c>
      <c r="G100" s="8" t="s">
        <v>207</v>
      </c>
      <c r="H100" s="8" t="s">
        <v>94</v>
      </c>
      <c r="I100" s="8" t="s">
        <v>259</v>
      </c>
      <c r="J100" s="8" t="s">
        <v>6442</v>
      </c>
      <c r="K100" s="8" t="n">
        <v>2</v>
      </c>
      <c r="L100" s="8" t="n">
        <v>4</v>
      </c>
      <c r="M100" s="18" t="n">
        <f aca="false">INDEX('All Items'!$Q:$Q,MATCH($A100,'All Items'!$A:$A,0))</f>
        <v>8.45</v>
      </c>
      <c r="N100" s="8" t="s">
        <v>6896</v>
      </c>
      <c r="O100" s="8" t="s">
        <v>6897</v>
      </c>
      <c r="P100" s="8" t="s">
        <v>6038</v>
      </c>
      <c r="Q100" s="8" t="s">
        <v>2834</v>
      </c>
      <c r="R100" s="8" t="s">
        <v>6898</v>
      </c>
      <c r="S100" s="8" t="s">
        <v>962</v>
      </c>
      <c r="T100" s="19" t="s">
        <v>6899</v>
      </c>
      <c r="U100" s="8" t="s">
        <v>6900</v>
      </c>
      <c r="V100" s="8"/>
      <c r="W100" s="8" t="n">
        <f aca="false">COUNTA(N100:S100)</f>
        <v>6</v>
      </c>
      <c r="X100" s="8" t="s">
        <v>259</v>
      </c>
      <c r="Y100" s="8" t="s">
        <v>218</v>
      </c>
      <c r="Z100" s="8" t="s">
        <v>218</v>
      </c>
      <c r="AA100" s="8"/>
      <c r="AB100" s="8" t="s">
        <v>6901</v>
      </c>
      <c r="AC100" s="20"/>
      <c r="AD100" s="20"/>
      <c r="AE100" s="20"/>
      <c r="AF100" s="8" t="s">
        <v>237</v>
      </c>
      <c r="AG100" s="8" t="s">
        <v>224</v>
      </c>
    </row>
    <row r="101" customFormat="false" ht="15" hidden="false" customHeight="false" outlineLevel="0" collapsed="false">
      <c r="A101" s="8" t="s">
        <v>6902</v>
      </c>
      <c r="B101" s="8" t="s">
        <v>6903</v>
      </c>
      <c r="C101" s="8"/>
      <c r="D101" s="8" t="s">
        <v>5207</v>
      </c>
      <c r="E101" s="8"/>
      <c r="F101" s="8" t="s">
        <v>72</v>
      </c>
      <c r="G101" s="8" t="s">
        <v>5047</v>
      </c>
      <c r="H101" s="8" t="s">
        <v>93</v>
      </c>
      <c r="I101" s="8" t="s">
        <v>259</v>
      </c>
      <c r="J101" s="8" t="s">
        <v>6692</v>
      </c>
      <c r="K101" s="8" t="n">
        <v>1</v>
      </c>
      <c r="L101" s="8" t="n">
        <v>4</v>
      </c>
      <c r="M101" s="18" t="n">
        <f aca="false">INDEX('All Items'!$Q:$Q,MATCH($A101,'All Items'!$A:$A,0))</f>
        <v>8.2</v>
      </c>
      <c r="N101" s="8" t="s">
        <v>3949</v>
      </c>
      <c r="O101" s="8" t="s">
        <v>3285</v>
      </c>
      <c r="P101" s="8" t="s">
        <v>6904</v>
      </c>
      <c r="Q101" s="8" t="s">
        <v>5276</v>
      </c>
      <c r="R101" s="8" t="s">
        <v>1521</v>
      </c>
      <c r="S101" s="8" t="s">
        <v>6905</v>
      </c>
      <c r="T101" s="19" t="s">
        <v>6906</v>
      </c>
      <c r="U101" s="8" t="s">
        <v>6907</v>
      </c>
      <c r="V101" s="8"/>
      <c r="W101" s="8" t="n">
        <f aca="false">COUNTA(N101:S101)</f>
        <v>6</v>
      </c>
      <c r="X101" s="8" t="s">
        <v>218</v>
      </c>
      <c r="Y101" s="8" t="s">
        <v>259</v>
      </c>
      <c r="Z101" s="8" t="s">
        <v>218</v>
      </c>
      <c r="AA101" s="8"/>
      <c r="AB101" s="8" t="s">
        <v>6908</v>
      </c>
      <c r="AC101" s="20"/>
      <c r="AD101" s="20"/>
      <c r="AE101" s="20"/>
      <c r="AF101" s="8" t="s">
        <v>237</v>
      </c>
      <c r="AG101" s="8" t="s">
        <v>224</v>
      </c>
    </row>
    <row r="102" customFormat="false" ht="15" hidden="false" customHeight="false" outlineLevel="0" collapsed="false">
      <c r="A102" s="8" t="s">
        <v>6909</v>
      </c>
      <c r="B102" s="8" t="s">
        <v>6910</v>
      </c>
      <c r="C102" s="8"/>
      <c r="D102" s="8" t="s">
        <v>5046</v>
      </c>
      <c r="E102" s="8"/>
      <c r="F102" s="8" t="s">
        <v>72</v>
      </c>
      <c r="G102" s="8" t="s">
        <v>5047</v>
      </c>
      <c r="H102" s="8" t="s">
        <v>93</v>
      </c>
      <c r="I102" s="8" t="s">
        <v>259</v>
      </c>
      <c r="J102" s="8" t="s">
        <v>6692</v>
      </c>
      <c r="K102" s="8" t="n">
        <v>1</v>
      </c>
      <c r="L102" s="8" t="n">
        <v>5</v>
      </c>
      <c r="M102" s="18" t="n">
        <f aca="false">INDEX('All Items'!$Q:$Q,MATCH($A102,'All Items'!$A:$A,0))</f>
        <v>9</v>
      </c>
      <c r="N102" s="8" t="s">
        <v>442</v>
      </c>
      <c r="O102" s="8" t="s">
        <v>6911</v>
      </c>
      <c r="P102" s="8" t="s">
        <v>6912</v>
      </c>
      <c r="Q102" s="8" t="s">
        <v>6038</v>
      </c>
      <c r="R102" s="8" t="s">
        <v>6913</v>
      </c>
      <c r="S102" s="8"/>
      <c r="T102" s="19" t="s">
        <v>6914</v>
      </c>
      <c r="U102" s="8" t="s">
        <v>6915</v>
      </c>
      <c r="V102" s="8"/>
      <c r="W102" s="8" t="n">
        <f aca="false">COUNTA(N102:S102)</f>
        <v>5</v>
      </c>
      <c r="X102" s="8" t="s">
        <v>218</v>
      </c>
      <c r="Y102" s="8" t="s">
        <v>259</v>
      </c>
      <c r="Z102" s="8" t="s">
        <v>218</v>
      </c>
      <c r="AA102" s="8"/>
      <c r="AB102" s="8" t="s">
        <v>6916</v>
      </c>
      <c r="AC102" s="20" t="s">
        <v>6917</v>
      </c>
      <c r="AD102" s="20" t="s">
        <v>384</v>
      </c>
      <c r="AE102" s="20" t="s">
        <v>6918</v>
      </c>
      <c r="AF102" s="8" t="s">
        <v>223</v>
      </c>
      <c r="AG102" s="8" t="s">
        <v>224</v>
      </c>
    </row>
    <row r="103" customFormat="false" ht="15" hidden="false" customHeight="false" outlineLevel="0" collapsed="false">
      <c r="A103" s="8" t="s">
        <v>6919</v>
      </c>
      <c r="B103" s="8" t="s">
        <v>6920</v>
      </c>
      <c r="C103" s="8"/>
      <c r="D103" s="8" t="s">
        <v>5046</v>
      </c>
      <c r="E103" s="8"/>
      <c r="F103" s="8" t="s">
        <v>72</v>
      </c>
      <c r="G103" s="8" t="s">
        <v>5047</v>
      </c>
      <c r="H103" s="8" t="s">
        <v>93</v>
      </c>
      <c r="I103" s="8" t="s">
        <v>259</v>
      </c>
      <c r="J103" s="8" t="s">
        <v>6692</v>
      </c>
      <c r="K103" s="8" t="n">
        <v>1</v>
      </c>
      <c r="L103" s="8" t="n">
        <v>5</v>
      </c>
      <c r="M103" s="18" t="n">
        <f aca="false">INDEX('All Items'!$Q:$Q,MATCH($A103,'All Items'!$A:$A,0))</f>
        <v>9.25</v>
      </c>
      <c r="N103" s="8" t="s">
        <v>442</v>
      </c>
      <c r="O103" s="8" t="s">
        <v>6921</v>
      </c>
      <c r="P103" s="8" t="s">
        <v>6038</v>
      </c>
      <c r="Q103" s="8" t="s">
        <v>6913</v>
      </c>
      <c r="R103" s="8" t="s">
        <v>6922</v>
      </c>
      <c r="S103" s="8" t="s">
        <v>6803</v>
      </c>
      <c r="T103" s="19" t="s">
        <v>6923</v>
      </c>
      <c r="U103" s="8" t="s">
        <v>6924</v>
      </c>
      <c r="V103" s="8" t="s">
        <v>6925</v>
      </c>
      <c r="W103" s="8" t="n">
        <f aca="false">COUNTA(N103:S103)</f>
        <v>6</v>
      </c>
      <c r="X103" s="8" t="s">
        <v>218</v>
      </c>
      <c r="Y103" s="8" t="s">
        <v>259</v>
      </c>
      <c r="Z103" s="8" t="s">
        <v>218</v>
      </c>
      <c r="AA103" s="8"/>
      <c r="AB103" s="8" t="s">
        <v>6926</v>
      </c>
      <c r="AC103" s="20" t="s">
        <v>6927</v>
      </c>
      <c r="AD103" s="20" t="s">
        <v>516</v>
      </c>
      <c r="AE103" s="20" t="s">
        <v>6928</v>
      </c>
      <c r="AF103" s="8" t="s">
        <v>223</v>
      </c>
      <c r="AG103" s="8" t="s">
        <v>224</v>
      </c>
    </row>
    <row r="104" customFormat="false" ht="15" hidden="false" customHeight="false" outlineLevel="0" collapsed="false">
      <c r="A104" s="8" t="s">
        <v>6929</v>
      </c>
      <c r="B104" s="8" t="s">
        <v>6930</v>
      </c>
      <c r="C104" s="8"/>
      <c r="D104" s="8" t="s">
        <v>5046</v>
      </c>
      <c r="E104" s="8"/>
      <c r="F104" s="8" t="s">
        <v>72</v>
      </c>
      <c r="G104" s="8" t="s">
        <v>5047</v>
      </c>
      <c r="H104" s="8" t="s">
        <v>93</v>
      </c>
      <c r="I104" s="8" t="s">
        <v>259</v>
      </c>
      <c r="J104" s="8" t="s">
        <v>6692</v>
      </c>
      <c r="K104" s="8" t="n">
        <v>2</v>
      </c>
      <c r="L104" s="8" t="n">
        <v>3</v>
      </c>
      <c r="M104" s="18" t="n">
        <f aca="false">INDEX('All Items'!$Q:$Q,MATCH($A104,'All Items'!$A:$A,0))</f>
        <v>6.9</v>
      </c>
      <c r="N104" s="8" t="s">
        <v>442</v>
      </c>
      <c r="O104" s="8" t="s">
        <v>6277</v>
      </c>
      <c r="P104" s="8" t="s">
        <v>6931</v>
      </c>
      <c r="Q104" s="8" t="s">
        <v>6932</v>
      </c>
      <c r="R104" s="8" t="s">
        <v>6933</v>
      </c>
      <c r="S104" s="8"/>
      <c r="T104" s="19" t="s">
        <v>6934</v>
      </c>
      <c r="U104" s="8" t="s">
        <v>6935</v>
      </c>
      <c r="V104" s="8"/>
      <c r="W104" s="8" t="n">
        <f aca="false">COUNTA(N104:S104)</f>
        <v>5</v>
      </c>
      <c r="X104" s="8" t="s">
        <v>218</v>
      </c>
      <c r="Y104" s="8" t="s">
        <v>259</v>
      </c>
      <c r="Z104" s="8" t="s">
        <v>218</v>
      </c>
      <c r="AA104" s="8"/>
      <c r="AB104" s="8" t="s">
        <v>6936</v>
      </c>
      <c r="AC104" s="20"/>
      <c r="AD104" s="20"/>
      <c r="AE104" s="20"/>
      <c r="AF104" s="8" t="s">
        <v>237</v>
      </c>
      <c r="AG104" s="8" t="s">
        <v>224</v>
      </c>
    </row>
    <row r="105" customFormat="false" ht="15" hidden="false" customHeight="false" outlineLevel="0" collapsed="false">
      <c r="A105" s="8" t="s">
        <v>6937</v>
      </c>
      <c r="B105" s="8" t="s">
        <v>6938</v>
      </c>
      <c r="C105" s="8"/>
      <c r="D105" s="8" t="s">
        <v>5046</v>
      </c>
      <c r="E105" s="8"/>
      <c r="F105" s="8" t="s">
        <v>72</v>
      </c>
      <c r="G105" s="8" t="s">
        <v>5047</v>
      </c>
      <c r="H105" s="8" t="s">
        <v>93</v>
      </c>
      <c r="I105" s="8" t="s">
        <v>259</v>
      </c>
      <c r="J105" s="8" t="s">
        <v>6939</v>
      </c>
      <c r="K105" s="8" t="n">
        <v>1</v>
      </c>
      <c r="L105" s="8" t="n">
        <v>5</v>
      </c>
      <c r="M105" s="18" t="n">
        <f aca="false">INDEX('All Items'!$Q:$Q,MATCH($A105,'All Items'!$A:$A,0))</f>
        <v>9.75</v>
      </c>
      <c r="N105" s="8" t="s">
        <v>1363</v>
      </c>
      <c r="O105" s="8" t="s">
        <v>5219</v>
      </c>
      <c r="P105" s="8" t="s">
        <v>6047</v>
      </c>
      <c r="Q105" s="8" t="s">
        <v>2256</v>
      </c>
      <c r="R105" s="8" t="s">
        <v>6940</v>
      </c>
      <c r="S105" s="8"/>
      <c r="T105" s="19" t="s">
        <v>6941</v>
      </c>
      <c r="U105" s="8" t="s">
        <v>6942</v>
      </c>
      <c r="V105" s="8"/>
      <c r="W105" s="8" t="n">
        <f aca="false">COUNTA(N105:S105)</f>
        <v>5</v>
      </c>
      <c r="X105" s="8" t="s">
        <v>218</v>
      </c>
      <c r="Y105" s="8" t="s">
        <v>259</v>
      </c>
      <c r="Z105" s="8" t="s">
        <v>218</v>
      </c>
      <c r="AA105" s="8"/>
      <c r="AB105" s="8" t="s">
        <v>6943</v>
      </c>
      <c r="AC105" s="20"/>
      <c r="AD105" s="20"/>
      <c r="AE105" s="20"/>
      <c r="AF105" s="8" t="s">
        <v>237</v>
      </c>
      <c r="AG105" s="8" t="s">
        <v>224</v>
      </c>
    </row>
    <row r="106" customFormat="false" ht="15" hidden="false" customHeight="false" outlineLevel="0" collapsed="false">
      <c r="A106" s="8" t="s">
        <v>6944</v>
      </c>
      <c r="B106" s="8" t="s">
        <v>6945</v>
      </c>
      <c r="C106" s="8"/>
      <c r="D106" s="8" t="s">
        <v>5046</v>
      </c>
      <c r="E106" s="8"/>
      <c r="F106" s="8" t="s">
        <v>72</v>
      </c>
      <c r="G106" s="8" t="s">
        <v>5047</v>
      </c>
      <c r="H106" s="8" t="s">
        <v>93</v>
      </c>
      <c r="I106" s="8" t="s">
        <v>259</v>
      </c>
      <c r="J106" s="8" t="s">
        <v>6328</v>
      </c>
      <c r="K106" s="8" t="n">
        <v>2</v>
      </c>
      <c r="L106" s="8" t="n">
        <v>3</v>
      </c>
      <c r="M106" s="18" t="n">
        <f aca="false">INDEX('All Items'!$Q:$Q,MATCH($A106,'All Items'!$A:$A,0))</f>
        <v>7.15</v>
      </c>
      <c r="N106" s="8" t="s">
        <v>6946</v>
      </c>
      <c r="O106" s="8" t="s">
        <v>6735</v>
      </c>
      <c r="P106" s="8" t="s">
        <v>6947</v>
      </c>
      <c r="Q106" s="8" t="s">
        <v>6948</v>
      </c>
      <c r="R106" s="8" t="s">
        <v>5050</v>
      </c>
      <c r="S106" s="8" t="s">
        <v>6949</v>
      </c>
      <c r="T106" s="19" t="s">
        <v>6950</v>
      </c>
      <c r="U106" s="8" t="s">
        <v>6951</v>
      </c>
      <c r="V106" s="8" t="s">
        <v>6949</v>
      </c>
      <c r="W106" s="8" t="n">
        <f aca="false">COUNTA(N106:S106)</f>
        <v>6</v>
      </c>
      <c r="X106" s="8" t="s">
        <v>218</v>
      </c>
      <c r="Y106" s="8" t="s">
        <v>259</v>
      </c>
      <c r="Z106" s="8" t="s">
        <v>218</v>
      </c>
      <c r="AA106" s="8"/>
      <c r="AB106" s="8" t="s">
        <v>6952</v>
      </c>
      <c r="AC106" s="20" t="s">
        <v>6953</v>
      </c>
      <c r="AD106" s="20" t="s">
        <v>5065</v>
      </c>
      <c r="AE106" s="20" t="s">
        <v>6954</v>
      </c>
      <c r="AF106" s="8" t="s">
        <v>223</v>
      </c>
      <c r="AG106" s="8" t="s">
        <v>224</v>
      </c>
    </row>
    <row r="107" customFormat="false" ht="15" hidden="false" customHeight="false" outlineLevel="0" collapsed="false">
      <c r="A107" s="8" t="s">
        <v>6955</v>
      </c>
      <c r="B107" s="8" t="s">
        <v>6956</v>
      </c>
      <c r="C107" s="8"/>
      <c r="D107" s="8" t="s">
        <v>4923</v>
      </c>
      <c r="E107" s="8"/>
      <c r="F107" s="8" t="s">
        <v>71</v>
      </c>
      <c r="G107" s="8" t="s">
        <v>3829</v>
      </c>
      <c r="H107" s="8" t="s">
        <v>93</v>
      </c>
      <c r="I107" s="8" t="s">
        <v>259</v>
      </c>
      <c r="J107" s="8" t="s">
        <v>6939</v>
      </c>
      <c r="K107" s="8" t="n">
        <v>2</v>
      </c>
      <c r="L107" s="8" t="n">
        <v>3</v>
      </c>
      <c r="M107" s="18" t="n">
        <f aca="false">INDEX('All Items'!$Q:$Q,MATCH($A107,'All Items'!$A:$A,0))</f>
        <v>6.9</v>
      </c>
      <c r="N107" s="8" t="s">
        <v>6036</v>
      </c>
      <c r="O107" s="8" t="s">
        <v>6735</v>
      </c>
      <c r="P107" s="8" t="s">
        <v>6756</v>
      </c>
      <c r="Q107" s="8" t="s">
        <v>6957</v>
      </c>
      <c r="R107" s="8" t="s">
        <v>4925</v>
      </c>
      <c r="S107" s="8"/>
      <c r="T107" s="19" t="s">
        <v>6958</v>
      </c>
      <c r="U107" s="8" t="s">
        <v>6756</v>
      </c>
      <c r="V107" s="8"/>
      <c r="W107" s="8" t="n">
        <f aca="false">COUNTA(N107:S107)</f>
        <v>5</v>
      </c>
      <c r="X107" s="8" t="s">
        <v>218</v>
      </c>
      <c r="Y107" s="8" t="s">
        <v>259</v>
      </c>
      <c r="Z107" s="8" t="s">
        <v>218</v>
      </c>
      <c r="AA107" s="8"/>
      <c r="AB107" s="8" t="s">
        <v>6959</v>
      </c>
      <c r="AC107" s="20"/>
      <c r="AD107" s="20"/>
      <c r="AE107" s="20"/>
      <c r="AF107" s="8" t="s">
        <v>237</v>
      </c>
      <c r="AG107" s="8" t="s">
        <v>224</v>
      </c>
    </row>
    <row r="108" customFormat="false" ht="15" hidden="false" customHeight="false" outlineLevel="0" collapsed="false">
      <c r="A108" s="8" t="s">
        <v>6960</v>
      </c>
      <c r="B108" s="8" t="s">
        <v>6961</v>
      </c>
      <c r="C108" s="8"/>
      <c r="D108" s="8" t="s">
        <v>5046</v>
      </c>
      <c r="E108" s="8"/>
      <c r="F108" s="8" t="s">
        <v>72</v>
      </c>
      <c r="G108" s="8" t="s">
        <v>5047</v>
      </c>
      <c r="H108" s="8" t="s">
        <v>93</v>
      </c>
      <c r="I108" s="8" t="s">
        <v>259</v>
      </c>
      <c r="J108" s="8" t="s">
        <v>6692</v>
      </c>
      <c r="K108" s="8" t="n">
        <v>2</v>
      </c>
      <c r="L108" s="8" t="n">
        <v>3</v>
      </c>
      <c r="M108" s="18" t="n">
        <f aca="false">INDEX('All Items'!$Q:$Q,MATCH($A108,'All Items'!$A:$A,0))</f>
        <v>6.9</v>
      </c>
      <c r="N108" s="8" t="s">
        <v>6962</v>
      </c>
      <c r="O108" s="8" t="s">
        <v>6963</v>
      </c>
      <c r="P108" s="8" t="s">
        <v>6670</v>
      </c>
      <c r="Q108" s="8" t="s">
        <v>6964</v>
      </c>
      <c r="R108" s="8" t="s">
        <v>4345</v>
      </c>
      <c r="S108" s="8" t="s">
        <v>6965</v>
      </c>
      <c r="T108" s="19" t="s">
        <v>6966</v>
      </c>
      <c r="U108" s="8" t="s">
        <v>6967</v>
      </c>
      <c r="V108" s="8" t="s">
        <v>4345</v>
      </c>
      <c r="W108" s="8" t="n">
        <f aca="false">COUNTA(N108:S108)</f>
        <v>6</v>
      </c>
      <c r="X108" s="8" t="s">
        <v>218</v>
      </c>
      <c r="Y108" s="8" t="s">
        <v>259</v>
      </c>
      <c r="Z108" s="8" t="s">
        <v>218</v>
      </c>
      <c r="AA108" s="8"/>
      <c r="AB108" s="8" t="s">
        <v>6968</v>
      </c>
      <c r="AC108" s="20"/>
      <c r="AD108" s="20"/>
      <c r="AE108" s="20"/>
      <c r="AF108" s="8" t="s">
        <v>237</v>
      </c>
      <c r="AG108" s="8" t="s">
        <v>224</v>
      </c>
    </row>
    <row r="109" customFormat="false" ht="15" hidden="false" customHeight="false" outlineLevel="0" collapsed="false">
      <c r="A109" s="8" t="s">
        <v>6969</v>
      </c>
      <c r="B109" s="8" t="s">
        <v>6970</v>
      </c>
      <c r="C109" s="8"/>
      <c r="D109" s="8" t="s">
        <v>5405</v>
      </c>
      <c r="E109" s="8"/>
      <c r="F109" s="8" t="s">
        <v>72</v>
      </c>
      <c r="G109" s="8" t="s">
        <v>5406</v>
      </c>
      <c r="H109" s="8" t="s">
        <v>93</v>
      </c>
      <c r="I109" s="8" t="s">
        <v>259</v>
      </c>
      <c r="J109" s="8" t="s">
        <v>6639</v>
      </c>
      <c r="K109" s="8" t="n">
        <v>2</v>
      </c>
      <c r="L109" s="8" t="n">
        <v>3</v>
      </c>
      <c r="M109" s="18" t="n">
        <f aca="false">INDEX('All Items'!$Q:$Q,MATCH($A109,'All Items'!$A:$A,0))</f>
        <v>7.15</v>
      </c>
      <c r="N109" s="8" t="s">
        <v>552</v>
      </c>
      <c r="O109" s="8" t="s">
        <v>6164</v>
      </c>
      <c r="P109" s="8" t="s">
        <v>6971</v>
      </c>
      <c r="Q109" s="8" t="s">
        <v>6972</v>
      </c>
      <c r="R109" s="8" t="s">
        <v>5406</v>
      </c>
      <c r="S109" s="8" t="s">
        <v>2834</v>
      </c>
      <c r="T109" s="19" t="s">
        <v>6973</v>
      </c>
      <c r="U109" s="8" t="s">
        <v>6974</v>
      </c>
      <c r="V109" s="8" t="s">
        <v>2834</v>
      </c>
      <c r="W109" s="8" t="n">
        <f aca="false">COUNTA(N109:S109)</f>
        <v>6</v>
      </c>
      <c r="X109" s="8" t="s">
        <v>218</v>
      </c>
      <c r="Y109" s="8" t="s">
        <v>259</v>
      </c>
      <c r="Z109" s="8" t="s">
        <v>218</v>
      </c>
      <c r="AA109" s="8"/>
      <c r="AB109" s="8" t="s">
        <v>6975</v>
      </c>
      <c r="AC109" s="20"/>
      <c r="AD109" s="20"/>
      <c r="AE109" s="20"/>
      <c r="AF109" s="8" t="s">
        <v>237</v>
      </c>
      <c r="AG109" s="8" t="s">
        <v>224</v>
      </c>
    </row>
    <row r="110" customFormat="false" ht="15" hidden="false" customHeight="false" outlineLevel="0" collapsed="false">
      <c r="A110" s="8" t="s">
        <v>6976</v>
      </c>
      <c r="B110" s="8" t="s">
        <v>6977</v>
      </c>
      <c r="C110" s="8"/>
      <c r="D110" s="8" t="s">
        <v>5478</v>
      </c>
      <c r="E110" s="8"/>
      <c r="F110" s="8" t="s">
        <v>72</v>
      </c>
      <c r="G110" s="8" t="s">
        <v>5447</v>
      </c>
      <c r="H110" s="8" t="s">
        <v>93</v>
      </c>
      <c r="I110" s="8" t="s">
        <v>259</v>
      </c>
      <c r="J110" s="8" t="s">
        <v>6639</v>
      </c>
      <c r="K110" s="8" t="n">
        <v>2</v>
      </c>
      <c r="L110" s="8" t="n">
        <v>3</v>
      </c>
      <c r="M110" s="18" t="n">
        <f aca="false">INDEX('All Items'!$Q:$Q,MATCH($A110,'All Items'!$A:$A,0))</f>
        <v>6.9</v>
      </c>
      <c r="N110" s="8" t="s">
        <v>6164</v>
      </c>
      <c r="O110" s="8" t="s">
        <v>6978</v>
      </c>
      <c r="P110" s="8" t="s">
        <v>6979</v>
      </c>
      <c r="Q110" s="8" t="s">
        <v>5482</v>
      </c>
      <c r="R110" s="8" t="s">
        <v>6980</v>
      </c>
      <c r="S110" s="8"/>
      <c r="T110" s="19" t="s">
        <v>6981</v>
      </c>
      <c r="U110" s="8" t="s">
        <v>6980</v>
      </c>
      <c r="V110" s="8" t="s">
        <v>6982</v>
      </c>
      <c r="W110" s="8" t="n">
        <f aca="false">COUNTA(N110:S110)</f>
        <v>5</v>
      </c>
      <c r="X110" s="8" t="s">
        <v>218</v>
      </c>
      <c r="Y110" s="8" t="s">
        <v>259</v>
      </c>
      <c r="Z110" s="8" t="s">
        <v>218</v>
      </c>
      <c r="AA110" s="8"/>
      <c r="AB110" s="8" t="s">
        <v>6983</v>
      </c>
      <c r="AC110" s="20"/>
      <c r="AD110" s="20"/>
      <c r="AE110" s="20"/>
      <c r="AF110" s="8" t="s">
        <v>237</v>
      </c>
      <c r="AG110" s="8" t="s">
        <v>224</v>
      </c>
    </row>
    <row r="111" customFormat="false" ht="15" hidden="false" customHeight="false" outlineLevel="0" collapsed="false">
      <c r="A111" s="8" t="s">
        <v>6984</v>
      </c>
      <c r="B111" s="8" t="s">
        <v>6985</v>
      </c>
      <c r="C111" s="8"/>
      <c r="D111" s="8" t="s">
        <v>5446</v>
      </c>
      <c r="E111" s="8"/>
      <c r="F111" s="8" t="s">
        <v>72</v>
      </c>
      <c r="G111" s="8" t="s">
        <v>5447</v>
      </c>
      <c r="H111" s="8" t="s">
        <v>93</v>
      </c>
      <c r="I111" s="8" t="s">
        <v>259</v>
      </c>
      <c r="J111" s="8" t="s">
        <v>6692</v>
      </c>
      <c r="K111" s="8" t="n">
        <v>2</v>
      </c>
      <c r="L111" s="8" t="n">
        <v>3</v>
      </c>
      <c r="M111" s="18" t="n">
        <f aca="false">INDEX('All Items'!$Q:$Q,MATCH($A111,'All Items'!$A:$A,0))</f>
        <v>7.4</v>
      </c>
      <c r="N111" s="8" t="s">
        <v>1868</v>
      </c>
      <c r="O111" s="8" t="s">
        <v>552</v>
      </c>
      <c r="P111" s="8" t="s">
        <v>2426</v>
      </c>
      <c r="Q111" s="8" t="s">
        <v>6986</v>
      </c>
      <c r="R111" s="8" t="s">
        <v>6987</v>
      </c>
      <c r="S111" s="8" t="s">
        <v>5450</v>
      </c>
      <c r="T111" s="19" t="s">
        <v>6988</v>
      </c>
      <c r="U111" s="8" t="s">
        <v>6989</v>
      </c>
      <c r="V111" s="8"/>
      <c r="W111" s="8" t="n">
        <f aca="false">COUNTA(N111:S111)</f>
        <v>6</v>
      </c>
      <c r="X111" s="8" t="s">
        <v>218</v>
      </c>
      <c r="Y111" s="8" t="s">
        <v>259</v>
      </c>
      <c r="Z111" s="8" t="s">
        <v>218</v>
      </c>
      <c r="AA111" s="8"/>
      <c r="AB111" s="8" t="s">
        <v>6990</v>
      </c>
      <c r="AC111" s="20" t="s">
        <v>6991</v>
      </c>
      <c r="AD111" s="20" t="s">
        <v>221</v>
      </c>
      <c r="AE111" s="20" t="s">
        <v>5475</v>
      </c>
      <c r="AF111" s="8" t="s">
        <v>223</v>
      </c>
      <c r="AG111" s="8" t="s">
        <v>224</v>
      </c>
    </row>
    <row r="112" customFormat="false" ht="15" hidden="false" customHeight="false" outlineLevel="0" collapsed="false">
      <c r="A112" s="8" t="s">
        <v>6992</v>
      </c>
      <c r="B112" s="8" t="s">
        <v>6993</v>
      </c>
      <c r="C112" s="8"/>
      <c r="D112" s="8" t="s">
        <v>5687</v>
      </c>
      <c r="E112" s="8"/>
      <c r="F112" s="8" t="s">
        <v>70</v>
      </c>
      <c r="G112" s="8" t="s">
        <v>4902</v>
      </c>
      <c r="H112" s="8" t="s">
        <v>93</v>
      </c>
      <c r="I112" s="8" t="s">
        <v>259</v>
      </c>
      <c r="J112" s="8" t="s">
        <v>6692</v>
      </c>
      <c r="K112" s="8" t="n">
        <v>2</v>
      </c>
      <c r="L112" s="8" t="n">
        <v>3</v>
      </c>
      <c r="M112" s="18" t="n">
        <f aca="false">INDEX('All Items'!$Q:$Q,MATCH($A112,'All Items'!$A:$A,0))</f>
        <v>6.9</v>
      </c>
      <c r="N112" s="8" t="s">
        <v>442</v>
      </c>
      <c r="O112" s="8" t="s">
        <v>5988</v>
      </c>
      <c r="P112" s="8" t="s">
        <v>388</v>
      </c>
      <c r="Q112" s="8" t="s">
        <v>6994</v>
      </c>
      <c r="R112" s="8" t="s">
        <v>6995</v>
      </c>
      <c r="S112" s="8"/>
      <c r="T112" s="19" t="s">
        <v>6996</v>
      </c>
      <c r="U112" s="8" t="s">
        <v>2465</v>
      </c>
      <c r="V112" s="8"/>
      <c r="W112" s="8" t="n">
        <f aca="false">COUNTA(N112:S112)</f>
        <v>5</v>
      </c>
      <c r="X112" s="8" t="s">
        <v>218</v>
      </c>
      <c r="Y112" s="8" t="s">
        <v>259</v>
      </c>
      <c r="Z112" s="8" t="s">
        <v>218</v>
      </c>
      <c r="AA112" s="8"/>
      <c r="AB112" s="8" t="s">
        <v>6997</v>
      </c>
      <c r="AC112" s="20" t="s">
        <v>6998</v>
      </c>
      <c r="AD112" s="20" t="s">
        <v>221</v>
      </c>
      <c r="AE112" s="20" t="s">
        <v>6999</v>
      </c>
      <c r="AF112" s="8" t="s">
        <v>223</v>
      </c>
      <c r="AG112" s="8" t="s">
        <v>224</v>
      </c>
    </row>
    <row r="113" customFormat="false" ht="15" hidden="false" customHeight="false" outlineLevel="0" collapsed="false">
      <c r="A113" s="8" t="s">
        <v>7000</v>
      </c>
      <c r="B113" s="8" t="s">
        <v>7001</v>
      </c>
      <c r="C113" s="8"/>
      <c r="D113" s="8" t="s">
        <v>3508</v>
      </c>
      <c r="E113" s="8"/>
      <c r="F113" s="8" t="s">
        <v>70</v>
      </c>
      <c r="G113" s="8" t="s">
        <v>2789</v>
      </c>
      <c r="H113" s="8" t="s">
        <v>93</v>
      </c>
      <c r="I113" s="8" t="s">
        <v>259</v>
      </c>
      <c r="J113" s="8" t="s">
        <v>6413</v>
      </c>
      <c r="K113" s="8" t="n">
        <v>2</v>
      </c>
      <c r="L113" s="8" t="n">
        <v>3</v>
      </c>
      <c r="M113" s="18" t="n">
        <f aca="false">INDEX('All Items'!$Q:$Q,MATCH($A113,'All Items'!$A:$A,0))</f>
        <v>7.15</v>
      </c>
      <c r="N113" s="8" t="s">
        <v>7002</v>
      </c>
      <c r="O113" s="8" t="s">
        <v>995</v>
      </c>
      <c r="P113" s="8" t="s">
        <v>7003</v>
      </c>
      <c r="Q113" s="8" t="s">
        <v>7004</v>
      </c>
      <c r="R113" s="8" t="s">
        <v>3532</v>
      </c>
      <c r="S113" s="8"/>
      <c r="T113" s="19" t="s">
        <v>7005</v>
      </c>
      <c r="U113" s="8" t="s">
        <v>7006</v>
      </c>
      <c r="V113" s="8"/>
      <c r="W113" s="8" t="n">
        <f aca="false">COUNTA(N113:S113)</f>
        <v>5</v>
      </c>
      <c r="X113" s="8" t="s">
        <v>218</v>
      </c>
      <c r="Y113" s="8" t="s">
        <v>259</v>
      </c>
      <c r="Z113" s="8" t="s">
        <v>218</v>
      </c>
      <c r="AA113" s="8"/>
      <c r="AB113" s="8" t="s">
        <v>7007</v>
      </c>
      <c r="AC113" s="20" t="s">
        <v>7008</v>
      </c>
      <c r="AD113" s="20" t="s">
        <v>527</v>
      </c>
      <c r="AE113" s="20" t="s">
        <v>7009</v>
      </c>
      <c r="AF113" s="8" t="s">
        <v>223</v>
      </c>
      <c r="AG113" s="8" t="s">
        <v>224</v>
      </c>
    </row>
    <row r="114" customFormat="false" ht="15" hidden="false" customHeight="false" outlineLevel="0" collapsed="false">
      <c r="A114" s="8" t="s">
        <v>7010</v>
      </c>
      <c r="B114" s="8" t="s">
        <v>7011</v>
      </c>
      <c r="C114" s="8"/>
      <c r="D114" s="8" t="s">
        <v>206</v>
      </c>
      <c r="E114" s="8" t="s">
        <v>103</v>
      </c>
      <c r="F114" s="8" t="s">
        <v>70</v>
      </c>
      <c r="G114" s="8" t="s">
        <v>207</v>
      </c>
      <c r="H114" s="8" t="s">
        <v>93</v>
      </c>
      <c r="I114" s="8" t="s">
        <v>259</v>
      </c>
      <c r="J114" s="8" t="s">
        <v>6692</v>
      </c>
      <c r="K114" s="8" t="n">
        <v>2</v>
      </c>
      <c r="L114" s="8" t="n">
        <v>4</v>
      </c>
      <c r="M114" s="18" t="n">
        <f aca="false">INDEX('All Items'!$Q:$Q,MATCH($A114,'All Items'!$A:$A,0))</f>
        <v>8.45</v>
      </c>
      <c r="N114" s="8" t="s">
        <v>1363</v>
      </c>
      <c r="O114" s="8" t="s">
        <v>7012</v>
      </c>
      <c r="P114" s="8" t="s">
        <v>7013</v>
      </c>
      <c r="Q114" s="8" t="s">
        <v>7014</v>
      </c>
      <c r="R114" s="8" t="s">
        <v>7015</v>
      </c>
      <c r="S114" s="8" t="s">
        <v>1492</v>
      </c>
      <c r="T114" s="19" t="s">
        <v>7016</v>
      </c>
      <c r="U114" s="8" t="s">
        <v>7017</v>
      </c>
      <c r="V114" s="8"/>
      <c r="W114" s="8" t="n">
        <f aca="false">COUNTA(N114:S114)</f>
        <v>6</v>
      </c>
      <c r="X114" s="8" t="s">
        <v>259</v>
      </c>
      <c r="Y114" s="8" t="s">
        <v>218</v>
      </c>
      <c r="Z114" s="8" t="s">
        <v>218</v>
      </c>
      <c r="AA114" s="8"/>
      <c r="AB114" s="8" t="s">
        <v>7018</v>
      </c>
      <c r="AC114" s="20"/>
      <c r="AD114" s="20"/>
      <c r="AE114" s="20"/>
      <c r="AF114" s="8" t="s">
        <v>237</v>
      </c>
      <c r="AG114" s="8" t="s">
        <v>224</v>
      </c>
    </row>
    <row r="115" customFormat="false" ht="15" hidden="false" customHeight="false" outlineLevel="0" collapsed="false">
      <c r="A115" s="8" t="s">
        <v>7019</v>
      </c>
      <c r="B115" s="8" t="s">
        <v>7020</v>
      </c>
      <c r="C115" s="8"/>
      <c r="D115" s="8" t="s">
        <v>206</v>
      </c>
      <c r="E115" s="8" t="s">
        <v>103</v>
      </c>
      <c r="F115" s="8" t="s">
        <v>70</v>
      </c>
      <c r="G115" s="8" t="s">
        <v>207</v>
      </c>
      <c r="H115" s="8" t="s">
        <v>93</v>
      </c>
      <c r="I115" s="8" t="s">
        <v>259</v>
      </c>
      <c r="J115" s="8" t="s">
        <v>6939</v>
      </c>
      <c r="K115" s="8" t="n">
        <v>2</v>
      </c>
      <c r="L115" s="8" t="n">
        <v>5</v>
      </c>
      <c r="M115" s="18" t="n">
        <f aca="false">INDEX('All Items'!$Q:$Q,MATCH($A115,'All Items'!$A:$A,0))</f>
        <v>9.5</v>
      </c>
      <c r="N115" s="8" t="s">
        <v>1363</v>
      </c>
      <c r="O115" s="8" t="s">
        <v>2256</v>
      </c>
      <c r="P115" s="8" t="s">
        <v>7021</v>
      </c>
      <c r="Q115" s="8" t="s">
        <v>7022</v>
      </c>
      <c r="R115" s="8" t="s">
        <v>6756</v>
      </c>
      <c r="S115" s="8"/>
      <c r="T115" s="19" t="s">
        <v>7023</v>
      </c>
      <c r="U115" s="8" t="s">
        <v>7024</v>
      </c>
      <c r="V115" s="8" t="s">
        <v>7025</v>
      </c>
      <c r="W115" s="8" t="n">
        <f aca="false">COUNTA(N115:S115)</f>
        <v>5</v>
      </c>
      <c r="X115" s="8" t="s">
        <v>259</v>
      </c>
      <c r="Y115" s="8" t="s">
        <v>218</v>
      </c>
      <c r="Z115" s="8" t="s">
        <v>218</v>
      </c>
      <c r="AA115" s="8"/>
      <c r="AB115" s="8" t="s">
        <v>7026</v>
      </c>
      <c r="AC115" s="20"/>
      <c r="AD115" s="20"/>
      <c r="AE115" s="20"/>
      <c r="AF115" s="8" t="s">
        <v>237</v>
      </c>
      <c r="AG115" s="8" t="s">
        <v>224</v>
      </c>
    </row>
    <row r="116" customFormat="false" ht="15" hidden="false" customHeight="false" outlineLevel="0" collapsed="false">
      <c r="A116" s="8" t="s">
        <v>7027</v>
      </c>
      <c r="B116" s="8" t="s">
        <v>7028</v>
      </c>
      <c r="C116" s="8"/>
      <c r="D116" s="8" t="s">
        <v>206</v>
      </c>
      <c r="E116" s="8" t="s">
        <v>103</v>
      </c>
      <c r="F116" s="8" t="s">
        <v>70</v>
      </c>
      <c r="G116" s="8" t="s">
        <v>207</v>
      </c>
      <c r="H116" s="8" t="s">
        <v>93</v>
      </c>
      <c r="I116" s="8" t="s">
        <v>259</v>
      </c>
      <c r="J116" s="8" t="s">
        <v>6692</v>
      </c>
      <c r="K116" s="8" t="n">
        <v>1</v>
      </c>
      <c r="L116" s="8" t="n">
        <v>5</v>
      </c>
      <c r="M116" s="18" t="n">
        <f aca="false">INDEX('All Items'!$Q:$Q,MATCH($A116,'All Items'!$A:$A,0))</f>
        <v>9.25</v>
      </c>
      <c r="N116" s="8" t="s">
        <v>7029</v>
      </c>
      <c r="O116" s="8" t="s">
        <v>7030</v>
      </c>
      <c r="P116" s="8" t="s">
        <v>6038</v>
      </c>
      <c r="Q116" s="8" t="s">
        <v>7031</v>
      </c>
      <c r="R116" s="8" t="s">
        <v>6979</v>
      </c>
      <c r="S116" s="8" t="s">
        <v>552</v>
      </c>
      <c r="T116" s="19" t="s">
        <v>7032</v>
      </c>
      <c r="U116" s="8" t="s">
        <v>7033</v>
      </c>
      <c r="V116" s="8" t="s">
        <v>7034</v>
      </c>
      <c r="W116" s="8" t="n">
        <f aca="false">COUNTA(N116:S116)</f>
        <v>6</v>
      </c>
      <c r="X116" s="8" t="s">
        <v>218</v>
      </c>
      <c r="Y116" s="8" t="s">
        <v>218</v>
      </c>
      <c r="Z116" s="8" t="s">
        <v>218</v>
      </c>
      <c r="AA116" s="8"/>
      <c r="AB116" s="8" t="s">
        <v>7035</v>
      </c>
      <c r="AC116" s="20"/>
      <c r="AD116" s="20"/>
      <c r="AE116" s="20"/>
      <c r="AF116" s="8" t="s">
        <v>237</v>
      </c>
      <c r="AG116" s="8" t="s">
        <v>224</v>
      </c>
    </row>
    <row r="117" customFormat="false" ht="15" hidden="false" customHeight="false" outlineLevel="0" collapsed="false">
      <c r="A117" s="8" t="s">
        <v>7036</v>
      </c>
      <c r="B117" s="8" t="s">
        <v>7037</v>
      </c>
      <c r="C117" s="8"/>
      <c r="D117" s="8" t="s">
        <v>206</v>
      </c>
      <c r="E117" s="8" t="s">
        <v>103</v>
      </c>
      <c r="F117" s="8" t="s">
        <v>70</v>
      </c>
      <c r="G117" s="8" t="s">
        <v>207</v>
      </c>
      <c r="H117" s="8" t="s">
        <v>93</v>
      </c>
      <c r="I117" s="8" t="s">
        <v>259</v>
      </c>
      <c r="J117" s="8" t="s">
        <v>6639</v>
      </c>
      <c r="K117" s="8" t="n">
        <v>3</v>
      </c>
      <c r="L117" s="8" t="n">
        <v>3</v>
      </c>
      <c r="M117" s="18" t="n">
        <f aca="false">INDEX('All Items'!$Q:$Q,MATCH($A117,'All Items'!$A:$A,0))</f>
        <v>6.9</v>
      </c>
      <c r="N117" s="8" t="s">
        <v>7038</v>
      </c>
      <c r="O117" s="8" t="s">
        <v>7039</v>
      </c>
      <c r="P117" s="8" t="s">
        <v>7040</v>
      </c>
      <c r="Q117" s="8" t="s">
        <v>7041</v>
      </c>
      <c r="R117" s="8" t="s">
        <v>6164</v>
      </c>
      <c r="S117" s="8" t="s">
        <v>6979</v>
      </c>
      <c r="T117" s="19" t="s">
        <v>7042</v>
      </c>
      <c r="U117" s="8" t="s">
        <v>7043</v>
      </c>
      <c r="V117" s="8" t="s">
        <v>7044</v>
      </c>
      <c r="W117" s="8" t="n">
        <f aca="false">COUNTA(N117:S117)</f>
        <v>6</v>
      </c>
      <c r="X117" s="8" t="s">
        <v>259</v>
      </c>
      <c r="Y117" s="8" t="s">
        <v>218</v>
      </c>
      <c r="Z117" s="8" t="s">
        <v>218</v>
      </c>
      <c r="AA117" s="8"/>
      <c r="AB117" s="8" t="s">
        <v>7045</v>
      </c>
      <c r="AC117" s="20"/>
      <c r="AD117" s="20"/>
      <c r="AE117" s="20"/>
      <c r="AF117" s="8" t="s">
        <v>237</v>
      </c>
      <c r="AG117" s="8" t="s">
        <v>224</v>
      </c>
    </row>
    <row r="118" customFormat="false" ht="15" hidden="false" customHeight="false" outlineLevel="0" collapsed="false">
      <c r="A118" s="8" t="s">
        <v>7046</v>
      </c>
      <c r="B118" s="8" t="s">
        <v>7047</v>
      </c>
      <c r="C118" s="8"/>
      <c r="D118" s="8" t="s">
        <v>5046</v>
      </c>
      <c r="E118" s="8"/>
      <c r="F118" s="8" t="s">
        <v>72</v>
      </c>
      <c r="G118" s="8" t="s">
        <v>5047</v>
      </c>
      <c r="H118" s="8" t="s">
        <v>99</v>
      </c>
      <c r="I118" s="8" t="s">
        <v>259</v>
      </c>
      <c r="J118" s="8" t="s">
        <v>5963</v>
      </c>
      <c r="K118" s="8" t="n">
        <v>2</v>
      </c>
      <c r="L118" s="8" t="n">
        <v>3</v>
      </c>
      <c r="M118" s="18" t="n">
        <f aca="false">INDEX('All Items'!$Q:$Q,MATCH($A118,'All Items'!$A:$A,0))</f>
        <v>6.9</v>
      </c>
      <c r="N118" s="8" t="s">
        <v>6180</v>
      </c>
      <c r="O118" s="8" t="s">
        <v>7048</v>
      </c>
      <c r="P118" s="8" t="s">
        <v>7049</v>
      </c>
      <c r="Q118" s="8" t="s">
        <v>7050</v>
      </c>
      <c r="R118" s="8" t="s">
        <v>7051</v>
      </c>
      <c r="S118" s="8"/>
      <c r="T118" s="19" t="s">
        <v>7052</v>
      </c>
      <c r="U118" s="8" t="s">
        <v>7053</v>
      </c>
      <c r="V118" s="8"/>
      <c r="W118" s="8" t="n">
        <f aca="false">COUNTA(N118:S118)</f>
        <v>5</v>
      </c>
      <c r="X118" s="8" t="s">
        <v>218</v>
      </c>
      <c r="Y118" s="8" t="s">
        <v>259</v>
      </c>
      <c r="Z118" s="8" t="s">
        <v>218</v>
      </c>
      <c r="AA118" s="8"/>
      <c r="AB118" s="8" t="s">
        <v>7054</v>
      </c>
      <c r="AC118" s="20"/>
      <c r="AD118" s="20"/>
      <c r="AE118" s="20"/>
      <c r="AF118" s="8" t="s">
        <v>237</v>
      </c>
      <c r="AG118" s="8" t="s">
        <v>224</v>
      </c>
    </row>
    <row r="119" customFormat="false" ht="15" hidden="false" customHeight="false" outlineLevel="0" collapsed="false">
      <c r="A119" s="8" t="s">
        <v>7055</v>
      </c>
      <c r="B119" s="8" t="s">
        <v>7056</v>
      </c>
      <c r="C119" s="8"/>
      <c r="D119" s="8" t="s">
        <v>206</v>
      </c>
      <c r="E119" s="8" t="s">
        <v>103</v>
      </c>
      <c r="F119" s="8" t="s">
        <v>70</v>
      </c>
      <c r="G119" s="8" t="s">
        <v>207</v>
      </c>
      <c r="H119" s="8" t="s">
        <v>99</v>
      </c>
      <c r="I119" s="8" t="s">
        <v>259</v>
      </c>
      <c r="J119" s="8" t="s">
        <v>6692</v>
      </c>
      <c r="K119" s="8" t="n">
        <v>3</v>
      </c>
      <c r="L119" s="8" t="n">
        <v>4</v>
      </c>
      <c r="M119" s="18" t="n">
        <f aca="false">INDEX('All Items'!$Q:$Q,MATCH($A119,'All Items'!$A:$A,0))</f>
        <v>7.95</v>
      </c>
      <c r="N119" s="8" t="s">
        <v>552</v>
      </c>
      <c r="O119" s="8" t="s">
        <v>7057</v>
      </c>
      <c r="P119" s="8" t="s">
        <v>7058</v>
      </c>
      <c r="Q119" s="8" t="s">
        <v>7059</v>
      </c>
      <c r="R119" s="8" t="s">
        <v>7060</v>
      </c>
      <c r="S119" s="8" t="s">
        <v>7061</v>
      </c>
      <c r="T119" s="19" t="s">
        <v>7062</v>
      </c>
      <c r="U119" s="8" t="s">
        <v>7063</v>
      </c>
      <c r="V119" s="8"/>
      <c r="W119" s="8" t="n">
        <f aca="false">COUNTA(N119:S119)</f>
        <v>6</v>
      </c>
      <c r="X119" s="8" t="s">
        <v>259</v>
      </c>
      <c r="Y119" s="8" t="s">
        <v>218</v>
      </c>
      <c r="Z119" s="8" t="s">
        <v>218</v>
      </c>
      <c r="AA119" s="8"/>
      <c r="AB119" s="8" t="s">
        <v>7064</v>
      </c>
      <c r="AC119" s="20"/>
      <c r="AD119" s="20"/>
      <c r="AE119" s="20"/>
      <c r="AF119" s="8" t="s">
        <v>237</v>
      </c>
      <c r="AG119" s="8" t="s">
        <v>224</v>
      </c>
    </row>
    <row r="120" customFormat="false" ht="15" hidden="false" customHeight="false" outlineLevel="0" collapsed="false">
      <c r="A120" s="8" t="s">
        <v>7065</v>
      </c>
      <c r="B120" s="8" t="s">
        <v>7066</v>
      </c>
      <c r="C120" s="8"/>
      <c r="D120" s="8" t="s">
        <v>206</v>
      </c>
      <c r="E120" s="8" t="s">
        <v>110</v>
      </c>
      <c r="F120" s="8" t="s">
        <v>70</v>
      </c>
      <c r="G120" s="8" t="s">
        <v>207</v>
      </c>
      <c r="H120" s="8" t="s">
        <v>93</v>
      </c>
      <c r="I120" s="8" t="s">
        <v>259</v>
      </c>
      <c r="J120" s="8"/>
      <c r="K120" s="8" t="n">
        <v>1</v>
      </c>
      <c r="L120" s="8" t="n">
        <v>5</v>
      </c>
      <c r="M120" s="18" t="n">
        <f aca="false">INDEX('All Items'!$Q:$Q,MATCH($A120,'All Items'!$A:$A,0))</f>
        <v>9.5</v>
      </c>
      <c r="N120" s="8" t="s">
        <v>764</v>
      </c>
      <c r="O120" s="8" t="s">
        <v>324</v>
      </c>
      <c r="P120" s="8" t="s">
        <v>7067</v>
      </c>
      <c r="Q120" s="8" t="s">
        <v>7068</v>
      </c>
      <c r="R120" s="8" t="s">
        <v>110</v>
      </c>
      <c r="S120" s="8"/>
      <c r="T120" s="19" t="s">
        <v>7069</v>
      </c>
      <c r="U120" s="8" t="s">
        <v>7070</v>
      </c>
      <c r="V120" s="8"/>
      <c r="W120" s="8" t="n">
        <f aca="false">COUNTA(N120:S120)</f>
        <v>5</v>
      </c>
      <c r="X120" s="8" t="s">
        <v>218</v>
      </c>
      <c r="Y120" s="8" t="s">
        <v>218</v>
      </c>
      <c r="Z120" s="8" t="s">
        <v>259</v>
      </c>
      <c r="AA120" s="8" t="s">
        <v>7071</v>
      </c>
      <c r="AB120" s="8" t="s">
        <v>7072</v>
      </c>
      <c r="AC120" s="20" t="s">
        <v>7073</v>
      </c>
      <c r="AD120" s="20" t="s">
        <v>221</v>
      </c>
      <c r="AE120" s="20" t="s">
        <v>7074</v>
      </c>
      <c r="AF120" s="8" t="s">
        <v>223</v>
      </c>
      <c r="AG120" s="8" t="s">
        <v>224</v>
      </c>
    </row>
    <row r="121" customFormat="false" ht="15" hidden="false" customHeight="false" outlineLevel="0" collapsed="false">
      <c r="A121" s="8" t="s">
        <v>7075</v>
      </c>
      <c r="B121" s="8" t="s">
        <v>7076</v>
      </c>
      <c r="C121" s="8"/>
      <c r="D121" s="8" t="s">
        <v>206</v>
      </c>
      <c r="E121" s="8" t="s">
        <v>118</v>
      </c>
      <c r="F121" s="8" t="s">
        <v>70</v>
      </c>
      <c r="G121" s="8" t="s">
        <v>207</v>
      </c>
      <c r="H121" s="8" t="s">
        <v>93</v>
      </c>
      <c r="I121" s="8" t="s">
        <v>259</v>
      </c>
      <c r="J121" s="8"/>
      <c r="K121" s="8" t="n">
        <v>3</v>
      </c>
      <c r="L121" s="8" t="n">
        <v>3</v>
      </c>
      <c r="M121" s="18" t="n">
        <f aca="false">INDEX('All Items'!$Q:$Q,MATCH($A121,'All Items'!$A:$A,0))</f>
        <v>6.9</v>
      </c>
      <c r="N121" s="8" t="s">
        <v>442</v>
      </c>
      <c r="O121" s="8" t="s">
        <v>388</v>
      </c>
      <c r="P121" s="8" t="s">
        <v>2187</v>
      </c>
      <c r="Q121" s="8" t="s">
        <v>7077</v>
      </c>
      <c r="R121" s="8" t="s">
        <v>118</v>
      </c>
      <c r="S121" s="8"/>
      <c r="T121" s="19" t="s">
        <v>7078</v>
      </c>
      <c r="U121" s="8" t="s">
        <v>7079</v>
      </c>
      <c r="V121" s="8"/>
      <c r="W121" s="8" t="n">
        <f aca="false">COUNTA(N121:S121)</f>
        <v>5</v>
      </c>
      <c r="X121" s="8" t="s">
        <v>259</v>
      </c>
      <c r="Y121" s="8" t="s">
        <v>218</v>
      </c>
      <c r="Z121" s="8" t="s">
        <v>218</v>
      </c>
      <c r="AA121" s="8"/>
      <c r="AB121" s="8" t="s">
        <v>7080</v>
      </c>
      <c r="AC121" s="20"/>
      <c r="AD121" s="20"/>
      <c r="AE121" s="20"/>
      <c r="AF121" s="8" t="s">
        <v>237</v>
      </c>
      <c r="AG121" s="8" t="s">
        <v>224</v>
      </c>
    </row>
    <row r="122" customFormat="false" ht="15" hidden="false" customHeight="false" outlineLevel="0" collapsed="false">
      <c r="A122" s="8" t="s">
        <v>7081</v>
      </c>
      <c r="B122" s="8" t="s">
        <v>7082</v>
      </c>
      <c r="C122" s="8"/>
      <c r="D122" s="8" t="s">
        <v>206</v>
      </c>
      <c r="E122" s="8" t="s">
        <v>104</v>
      </c>
      <c r="F122" s="8" t="s">
        <v>70</v>
      </c>
      <c r="G122" s="8" t="s">
        <v>207</v>
      </c>
      <c r="H122" s="8" t="s">
        <v>93</v>
      </c>
      <c r="I122" s="8" t="s">
        <v>259</v>
      </c>
      <c r="J122" s="8"/>
      <c r="K122" s="8" t="n">
        <v>2</v>
      </c>
      <c r="L122" s="8" t="n">
        <v>3</v>
      </c>
      <c r="M122" s="18" t="n">
        <f aca="false">INDEX('All Items'!$Q:$Q,MATCH($A122,'All Items'!$A:$A,0))</f>
        <v>6.65</v>
      </c>
      <c r="N122" s="8" t="s">
        <v>995</v>
      </c>
      <c r="O122" s="8" t="s">
        <v>790</v>
      </c>
      <c r="P122" s="8" t="s">
        <v>7083</v>
      </c>
      <c r="Q122" s="8" t="s">
        <v>7084</v>
      </c>
      <c r="R122" s="8" t="s">
        <v>4072</v>
      </c>
      <c r="S122" s="8" t="s">
        <v>7085</v>
      </c>
      <c r="T122" s="19" t="s">
        <v>7086</v>
      </c>
      <c r="U122" s="8" t="s">
        <v>7087</v>
      </c>
      <c r="V122" s="8"/>
      <c r="W122" s="8" t="n">
        <f aca="false">COUNTA(N122:S122)</f>
        <v>6</v>
      </c>
      <c r="X122" s="8" t="s">
        <v>259</v>
      </c>
      <c r="Y122" s="8" t="s">
        <v>218</v>
      </c>
      <c r="Z122" s="8" t="s">
        <v>218</v>
      </c>
      <c r="AA122" s="8"/>
      <c r="AB122" s="8" t="s">
        <v>7088</v>
      </c>
      <c r="AC122" s="20"/>
      <c r="AD122" s="20"/>
      <c r="AE122" s="20"/>
      <c r="AF122" s="8" t="s">
        <v>237</v>
      </c>
      <c r="AG122" s="8" t="s">
        <v>224</v>
      </c>
    </row>
    <row r="123" customFormat="false" ht="15" hidden="false" customHeight="false" outlineLevel="0" collapsed="false">
      <c r="A123" s="8" t="s">
        <v>7089</v>
      </c>
      <c r="B123" s="8" t="s">
        <v>7090</v>
      </c>
      <c r="C123" s="8"/>
      <c r="D123" s="8" t="s">
        <v>206</v>
      </c>
      <c r="E123" s="8" t="s">
        <v>105</v>
      </c>
      <c r="F123" s="8" t="s">
        <v>70</v>
      </c>
      <c r="G123" s="8" t="s">
        <v>207</v>
      </c>
      <c r="H123" s="8" t="s">
        <v>94</v>
      </c>
      <c r="I123" s="8" t="s">
        <v>259</v>
      </c>
      <c r="J123" s="8"/>
      <c r="K123" s="8" t="n">
        <v>1</v>
      </c>
      <c r="L123" s="8" t="n">
        <v>5</v>
      </c>
      <c r="M123" s="18" t="n">
        <f aca="false">INDEX('All Items'!$Q:$Q,MATCH($A123,'All Items'!$A:$A,0))</f>
        <v>9.75</v>
      </c>
      <c r="N123" s="8" t="s">
        <v>7091</v>
      </c>
      <c r="O123" s="8" t="s">
        <v>7092</v>
      </c>
      <c r="P123" s="8" t="s">
        <v>7093</v>
      </c>
      <c r="Q123" s="8" t="s">
        <v>7094</v>
      </c>
      <c r="R123" s="8" t="s">
        <v>7095</v>
      </c>
      <c r="S123" s="8"/>
      <c r="T123" s="19" t="s">
        <v>7096</v>
      </c>
      <c r="U123" s="8" t="s">
        <v>7097</v>
      </c>
      <c r="V123" s="8" t="s">
        <v>7095</v>
      </c>
      <c r="W123" s="8" t="n">
        <f aca="false">COUNTA(N123:S123)</f>
        <v>5</v>
      </c>
      <c r="X123" s="8" t="s">
        <v>218</v>
      </c>
      <c r="Y123" s="8" t="s">
        <v>218</v>
      </c>
      <c r="Z123" s="8" t="s">
        <v>218</v>
      </c>
      <c r="AA123" s="8"/>
      <c r="AB123" s="8" t="s">
        <v>7098</v>
      </c>
      <c r="AC123" s="20"/>
      <c r="AD123" s="20"/>
      <c r="AE123" s="20"/>
      <c r="AF123" s="8" t="s">
        <v>237</v>
      </c>
      <c r="AG123" s="8" t="s">
        <v>224</v>
      </c>
    </row>
    <row r="124" customFormat="false" ht="15" hidden="false" customHeight="false" outlineLevel="0" collapsed="false">
      <c r="A124" s="8" t="s">
        <v>7099</v>
      </c>
      <c r="B124" s="8" t="s">
        <v>7100</v>
      </c>
      <c r="C124" s="8"/>
      <c r="D124" s="8" t="s">
        <v>206</v>
      </c>
      <c r="E124" s="8" t="s">
        <v>114</v>
      </c>
      <c r="F124" s="8" t="s">
        <v>70</v>
      </c>
      <c r="G124" s="8" t="s">
        <v>207</v>
      </c>
      <c r="H124" s="8" t="s">
        <v>94</v>
      </c>
      <c r="I124" s="8" t="s">
        <v>259</v>
      </c>
      <c r="J124" s="8"/>
      <c r="K124" s="8" t="n">
        <v>2</v>
      </c>
      <c r="L124" s="8" t="n">
        <v>4</v>
      </c>
      <c r="M124" s="18" t="n">
        <f aca="false">INDEX('All Items'!$Q:$Q,MATCH($A124,'All Items'!$A:$A,0))</f>
        <v>8.45</v>
      </c>
      <c r="N124" s="8" t="s">
        <v>1363</v>
      </c>
      <c r="O124" s="8" t="s">
        <v>7101</v>
      </c>
      <c r="P124" s="8" t="s">
        <v>2206</v>
      </c>
      <c r="Q124" s="8" t="s">
        <v>7102</v>
      </c>
      <c r="R124" s="8" t="s">
        <v>7103</v>
      </c>
      <c r="S124" s="8"/>
      <c r="T124" s="19" t="s">
        <v>7104</v>
      </c>
      <c r="U124" s="8" t="s">
        <v>7105</v>
      </c>
      <c r="V124" s="8"/>
      <c r="W124" s="8" t="n">
        <f aca="false">COUNTA(N124:S124)</f>
        <v>5</v>
      </c>
      <c r="X124" s="8" t="s">
        <v>259</v>
      </c>
      <c r="Y124" s="8" t="s">
        <v>218</v>
      </c>
      <c r="Z124" s="8" t="s">
        <v>218</v>
      </c>
      <c r="AA124" s="8"/>
      <c r="AB124" s="8" t="s">
        <v>7106</v>
      </c>
      <c r="AC124" s="20"/>
      <c r="AD124" s="20"/>
      <c r="AE124" s="20"/>
      <c r="AF124" s="8" t="s">
        <v>237</v>
      </c>
      <c r="AG124" s="8" t="s">
        <v>224</v>
      </c>
    </row>
    <row r="125" customFormat="false" ht="15" hidden="false" customHeight="false" outlineLevel="0" collapsed="false">
      <c r="A125" s="8" t="s">
        <v>7107</v>
      </c>
      <c r="B125" s="8" t="s">
        <v>7108</v>
      </c>
      <c r="C125" s="8"/>
      <c r="D125" s="8" t="s">
        <v>206</v>
      </c>
      <c r="E125" s="8" t="s">
        <v>117</v>
      </c>
      <c r="F125" s="8" t="s">
        <v>70</v>
      </c>
      <c r="G125" s="8" t="s">
        <v>207</v>
      </c>
      <c r="H125" s="8" t="s">
        <v>94</v>
      </c>
      <c r="I125" s="8" t="s">
        <v>259</v>
      </c>
      <c r="J125" s="8"/>
      <c r="K125" s="8" t="n">
        <v>1</v>
      </c>
      <c r="L125" s="8" t="n">
        <v>3</v>
      </c>
      <c r="M125" s="18" t="n">
        <f aca="false">INDEX('All Items'!$Q:$Q,MATCH($A125,'All Items'!$A:$A,0))</f>
        <v>7.4</v>
      </c>
      <c r="N125" s="8" t="s">
        <v>3285</v>
      </c>
      <c r="O125" s="8" t="s">
        <v>764</v>
      </c>
      <c r="P125" s="8" t="s">
        <v>1521</v>
      </c>
      <c r="Q125" s="8" t="s">
        <v>347</v>
      </c>
      <c r="R125" s="8" t="s">
        <v>7109</v>
      </c>
      <c r="S125" s="8" t="s">
        <v>1832</v>
      </c>
      <c r="T125" s="19" t="s">
        <v>7110</v>
      </c>
      <c r="U125" s="8" t="s">
        <v>7111</v>
      </c>
      <c r="V125" s="8"/>
      <c r="W125" s="8" t="n">
        <f aca="false">COUNTA(N125:S125)</f>
        <v>6</v>
      </c>
      <c r="X125" s="8" t="s">
        <v>218</v>
      </c>
      <c r="Y125" s="8" t="s">
        <v>218</v>
      </c>
      <c r="Z125" s="8" t="s">
        <v>218</v>
      </c>
      <c r="AA125" s="8"/>
      <c r="AB125" s="8" t="s">
        <v>7112</v>
      </c>
      <c r="AC125" s="20"/>
      <c r="AD125" s="20"/>
      <c r="AE125" s="20"/>
      <c r="AF125" s="8" t="s">
        <v>237</v>
      </c>
      <c r="AG125" s="8" t="s">
        <v>224</v>
      </c>
    </row>
    <row r="126" customFormat="false" ht="15" hidden="false" customHeight="false" outlineLevel="0" collapsed="false">
      <c r="A126" s="8" t="s">
        <v>7113</v>
      </c>
      <c r="B126" s="8" t="s">
        <v>7114</v>
      </c>
      <c r="C126" s="8"/>
      <c r="D126" s="8" t="s">
        <v>206</v>
      </c>
      <c r="E126" s="8" t="s">
        <v>117</v>
      </c>
      <c r="F126" s="8" t="s">
        <v>70</v>
      </c>
      <c r="G126" s="8" t="s">
        <v>207</v>
      </c>
      <c r="H126" s="8" t="s">
        <v>94</v>
      </c>
      <c r="I126" s="8" t="s">
        <v>259</v>
      </c>
      <c r="J126" s="8"/>
      <c r="K126" s="8" t="n">
        <v>2</v>
      </c>
      <c r="L126" s="8" t="n">
        <v>3</v>
      </c>
      <c r="M126" s="18" t="n">
        <f aca="false">INDEX('All Items'!$Q:$Q,MATCH($A126,'All Items'!$A:$A,0))</f>
        <v>6.65</v>
      </c>
      <c r="N126" s="8" t="s">
        <v>1363</v>
      </c>
      <c r="O126" s="8" t="s">
        <v>7115</v>
      </c>
      <c r="P126" s="8" t="s">
        <v>1832</v>
      </c>
      <c r="Q126" s="8" t="s">
        <v>6880</v>
      </c>
      <c r="R126" s="8" t="s">
        <v>6881</v>
      </c>
      <c r="S126" s="8" t="s">
        <v>7116</v>
      </c>
      <c r="T126" s="19" t="s">
        <v>7117</v>
      </c>
      <c r="U126" s="8" t="s">
        <v>7118</v>
      </c>
      <c r="V126" s="8"/>
      <c r="W126" s="8" t="n">
        <f aca="false">COUNTA(N126:S126)</f>
        <v>6</v>
      </c>
      <c r="X126" s="8" t="s">
        <v>259</v>
      </c>
      <c r="Y126" s="8" t="s">
        <v>218</v>
      </c>
      <c r="Z126" s="8" t="s">
        <v>218</v>
      </c>
      <c r="AA126" s="8"/>
      <c r="AB126" s="8" t="s">
        <v>7119</v>
      </c>
      <c r="AC126" s="20"/>
      <c r="AD126" s="20"/>
      <c r="AE126" s="20"/>
      <c r="AF126" s="8" t="s">
        <v>237</v>
      </c>
      <c r="AG126" s="8" t="s">
        <v>224</v>
      </c>
    </row>
    <row r="127" customFormat="false" ht="15" hidden="false" customHeight="false" outlineLevel="0" collapsed="false">
      <c r="A127" s="8" t="s">
        <v>7120</v>
      </c>
      <c r="B127" s="8" t="s">
        <v>7121</v>
      </c>
      <c r="C127" s="8"/>
      <c r="D127" s="8" t="s">
        <v>206</v>
      </c>
      <c r="E127" s="8" t="s">
        <v>103</v>
      </c>
      <c r="F127" s="8" t="s">
        <v>70</v>
      </c>
      <c r="G127" s="8" t="s">
        <v>207</v>
      </c>
      <c r="H127" s="8" t="s">
        <v>94</v>
      </c>
      <c r="I127" s="8" t="s">
        <v>259</v>
      </c>
      <c r="J127" s="8"/>
      <c r="K127" s="8" t="n">
        <v>1</v>
      </c>
      <c r="L127" s="8" t="n">
        <v>5</v>
      </c>
      <c r="M127" s="18" t="n">
        <f aca="false">INDEX('All Items'!$Q:$Q,MATCH($A127,'All Items'!$A:$A,0))</f>
        <v>9.5</v>
      </c>
      <c r="N127" s="8" t="s">
        <v>1363</v>
      </c>
      <c r="O127" s="8" t="s">
        <v>6803</v>
      </c>
      <c r="P127" s="8" t="s">
        <v>7122</v>
      </c>
      <c r="Q127" s="8" t="s">
        <v>2834</v>
      </c>
      <c r="R127" s="8" t="s">
        <v>7041</v>
      </c>
      <c r="S127" s="8" t="s">
        <v>7123</v>
      </c>
      <c r="T127" s="19" t="s">
        <v>7124</v>
      </c>
      <c r="U127" s="8" t="s">
        <v>7125</v>
      </c>
      <c r="V127" s="8" t="s">
        <v>7041</v>
      </c>
      <c r="W127" s="8" t="n">
        <f aca="false">COUNTA(N127:S127)</f>
        <v>6</v>
      </c>
      <c r="X127" s="8" t="s">
        <v>218</v>
      </c>
      <c r="Y127" s="8" t="s">
        <v>218</v>
      </c>
      <c r="Z127" s="8" t="s">
        <v>218</v>
      </c>
      <c r="AA127" s="8"/>
      <c r="AB127" s="8" t="s">
        <v>7126</v>
      </c>
      <c r="AC127" s="20"/>
      <c r="AD127" s="20"/>
      <c r="AE127" s="20"/>
      <c r="AF127" s="8" t="s">
        <v>237</v>
      </c>
      <c r="AG127" s="8" t="s">
        <v>224</v>
      </c>
    </row>
    <row r="128" customFormat="false" ht="15" hidden="false" customHeight="false" outlineLevel="0" collapsed="false">
      <c r="A128" s="8" t="s">
        <v>7127</v>
      </c>
      <c r="B128" s="8" t="s">
        <v>7128</v>
      </c>
      <c r="C128" s="8" t="s">
        <v>7129</v>
      </c>
      <c r="D128" s="8" t="s">
        <v>206</v>
      </c>
      <c r="E128" s="8" t="s">
        <v>103</v>
      </c>
      <c r="F128" s="8" t="s">
        <v>70</v>
      </c>
      <c r="G128" s="8" t="s">
        <v>207</v>
      </c>
      <c r="H128" s="8" t="s">
        <v>93</v>
      </c>
      <c r="I128" s="8" t="s">
        <v>259</v>
      </c>
      <c r="J128" s="8"/>
      <c r="K128" s="8" t="n">
        <v>1</v>
      </c>
      <c r="L128" s="8" t="n">
        <v>5</v>
      </c>
      <c r="M128" s="18" t="n">
        <f aca="false">INDEX('All Items'!$Q:$Q,MATCH($A128,'All Items'!$A:$A,0))</f>
        <v>9.25</v>
      </c>
      <c r="N128" s="8" t="s">
        <v>2046</v>
      </c>
      <c r="O128" s="8" t="s">
        <v>7130</v>
      </c>
      <c r="P128" s="8" t="s">
        <v>7131</v>
      </c>
      <c r="Q128" s="8" t="s">
        <v>7040</v>
      </c>
      <c r="R128" s="8" t="s">
        <v>6038</v>
      </c>
      <c r="S128" s="8" t="s">
        <v>7132</v>
      </c>
      <c r="T128" s="19" t="s">
        <v>7133</v>
      </c>
      <c r="U128" s="8" t="s">
        <v>7134</v>
      </c>
      <c r="V128" s="8"/>
      <c r="W128" s="8" t="n">
        <f aca="false">COUNTA(N128:S128)</f>
        <v>6</v>
      </c>
      <c r="X128" s="8" t="s">
        <v>218</v>
      </c>
      <c r="Y128" s="8" t="s">
        <v>218</v>
      </c>
      <c r="Z128" s="8" t="s">
        <v>218</v>
      </c>
      <c r="AA128" s="8"/>
      <c r="AB128" s="8" t="s">
        <v>7135</v>
      </c>
      <c r="AC128" s="20"/>
      <c r="AD128" s="20"/>
      <c r="AE128" s="20"/>
      <c r="AF128" s="8" t="s">
        <v>237</v>
      </c>
      <c r="AG128" s="8" t="s">
        <v>224</v>
      </c>
    </row>
    <row r="129" customFormat="false" ht="15" hidden="false" customHeight="false" outlineLevel="0" collapsed="false">
      <c r="A129" s="8" t="s">
        <v>7136</v>
      </c>
      <c r="B129" s="8" t="s">
        <v>7137</v>
      </c>
      <c r="C129" s="8"/>
      <c r="D129" s="8" t="s">
        <v>206</v>
      </c>
      <c r="E129" s="8" t="s">
        <v>103</v>
      </c>
      <c r="F129" s="8" t="s">
        <v>70</v>
      </c>
      <c r="G129" s="8" t="s">
        <v>207</v>
      </c>
      <c r="H129" s="8" t="s">
        <v>93</v>
      </c>
      <c r="I129" s="8" t="s">
        <v>259</v>
      </c>
      <c r="J129" s="8"/>
      <c r="K129" s="8" t="n">
        <v>2</v>
      </c>
      <c r="L129" s="8" t="n">
        <v>4</v>
      </c>
      <c r="M129" s="18" t="n">
        <f aca="false">INDEX('All Items'!$Q:$Q,MATCH($A129,'All Items'!$A:$A,0))</f>
        <v>8.2</v>
      </c>
      <c r="N129" s="8" t="s">
        <v>2046</v>
      </c>
      <c r="O129" s="8" t="s">
        <v>2445</v>
      </c>
      <c r="P129" s="8" t="s">
        <v>7131</v>
      </c>
      <c r="Q129" s="8" t="s">
        <v>7138</v>
      </c>
      <c r="R129" s="8" t="s">
        <v>7040</v>
      </c>
      <c r="S129" s="8" t="s">
        <v>7139</v>
      </c>
      <c r="T129" s="19" t="s">
        <v>7140</v>
      </c>
      <c r="U129" s="8" t="s">
        <v>7141</v>
      </c>
      <c r="V129" s="8"/>
      <c r="W129" s="8" t="n">
        <f aca="false">COUNTA(N129:S129)</f>
        <v>6</v>
      </c>
      <c r="X129" s="8" t="s">
        <v>259</v>
      </c>
      <c r="Y129" s="8" t="s">
        <v>218</v>
      </c>
      <c r="Z129" s="8" t="s">
        <v>218</v>
      </c>
      <c r="AA129" s="8"/>
      <c r="AB129" s="8" t="s">
        <v>7142</v>
      </c>
      <c r="AC129" s="20"/>
      <c r="AD129" s="20"/>
      <c r="AE129" s="20"/>
      <c r="AF129" s="8" t="s">
        <v>237</v>
      </c>
      <c r="AG129" s="8" t="s">
        <v>224</v>
      </c>
    </row>
    <row r="130" customFormat="false" ht="15" hidden="false" customHeight="false" outlineLevel="0" collapsed="false">
      <c r="A130" s="8" t="s">
        <v>7143</v>
      </c>
      <c r="B130" s="8" t="s">
        <v>7144</v>
      </c>
      <c r="C130" s="8"/>
      <c r="D130" s="8" t="s">
        <v>206</v>
      </c>
      <c r="E130" s="8" t="s">
        <v>103</v>
      </c>
      <c r="F130" s="8" t="s">
        <v>70</v>
      </c>
      <c r="G130" s="8" t="s">
        <v>207</v>
      </c>
      <c r="H130" s="8" t="s">
        <v>93</v>
      </c>
      <c r="I130" s="8" t="s">
        <v>259</v>
      </c>
      <c r="J130" s="8"/>
      <c r="K130" s="8" t="n">
        <v>2</v>
      </c>
      <c r="L130" s="8" t="n">
        <v>4</v>
      </c>
      <c r="M130" s="18" t="n">
        <f aca="false">INDEX('All Items'!$Q:$Q,MATCH($A130,'All Items'!$A:$A,0))</f>
        <v>8.2</v>
      </c>
      <c r="N130" s="8" t="s">
        <v>388</v>
      </c>
      <c r="O130" s="8" t="s">
        <v>443</v>
      </c>
      <c r="P130" s="8" t="s">
        <v>7145</v>
      </c>
      <c r="Q130" s="8" t="s">
        <v>7146</v>
      </c>
      <c r="R130" s="8" t="s">
        <v>7131</v>
      </c>
      <c r="S130" s="8"/>
      <c r="T130" s="19" t="s">
        <v>7147</v>
      </c>
      <c r="U130" s="8" t="s">
        <v>7148</v>
      </c>
      <c r="V130" s="8"/>
      <c r="W130" s="8" t="n">
        <f aca="false">COUNTA(N130:S130)</f>
        <v>5</v>
      </c>
      <c r="X130" s="8" t="s">
        <v>259</v>
      </c>
      <c r="Y130" s="8" t="s">
        <v>218</v>
      </c>
      <c r="Z130" s="8" t="s">
        <v>218</v>
      </c>
      <c r="AA130" s="8"/>
      <c r="AB130" s="8" t="s">
        <v>7149</v>
      </c>
      <c r="AC130" s="20" t="s">
        <v>7150</v>
      </c>
      <c r="AD130" s="20" t="s">
        <v>527</v>
      </c>
      <c r="AE130" s="20" t="s">
        <v>528</v>
      </c>
      <c r="AF130" s="8" t="s">
        <v>223</v>
      </c>
      <c r="AG130" s="8" t="s">
        <v>224</v>
      </c>
    </row>
    <row r="131" customFormat="false" ht="15" hidden="false" customHeight="false" outlineLevel="0" collapsed="false">
      <c r="A131" s="8" t="s">
        <v>7151</v>
      </c>
      <c r="B131" s="8" t="s">
        <v>7152</v>
      </c>
      <c r="C131" s="8"/>
      <c r="D131" s="8" t="s">
        <v>206</v>
      </c>
      <c r="E131" s="8" t="s">
        <v>103</v>
      </c>
      <c r="F131" s="8" t="s">
        <v>70</v>
      </c>
      <c r="G131" s="8" t="s">
        <v>207</v>
      </c>
      <c r="H131" s="8" t="s">
        <v>93</v>
      </c>
      <c r="I131" s="8" t="s">
        <v>259</v>
      </c>
      <c r="J131" s="8"/>
      <c r="K131" s="8" t="n">
        <v>2</v>
      </c>
      <c r="L131" s="8" t="n">
        <v>4</v>
      </c>
      <c r="M131" s="18" t="n">
        <f aca="false">INDEX('All Items'!$Q:$Q,MATCH($A131,'All Items'!$A:$A,0))</f>
        <v>8.7</v>
      </c>
      <c r="N131" s="8" t="s">
        <v>1363</v>
      </c>
      <c r="O131" s="8" t="s">
        <v>541</v>
      </c>
      <c r="P131" s="8" t="s">
        <v>1521</v>
      </c>
      <c r="Q131" s="8" t="s">
        <v>7153</v>
      </c>
      <c r="R131" s="8" t="s">
        <v>2248</v>
      </c>
      <c r="S131" s="8" t="s">
        <v>7154</v>
      </c>
      <c r="T131" s="19" t="s">
        <v>7155</v>
      </c>
      <c r="U131" s="8" t="s">
        <v>7156</v>
      </c>
      <c r="V131" s="8"/>
      <c r="W131" s="8" t="n">
        <f aca="false">COUNTA(N131:S131)</f>
        <v>6</v>
      </c>
      <c r="X131" s="8" t="s">
        <v>259</v>
      </c>
      <c r="Y131" s="8" t="s">
        <v>218</v>
      </c>
      <c r="Z131" s="8" t="s">
        <v>218</v>
      </c>
      <c r="AA131" s="8"/>
      <c r="AB131" s="8" t="s">
        <v>7157</v>
      </c>
      <c r="AC131" s="20" t="s">
        <v>7158</v>
      </c>
      <c r="AD131" s="20" t="s">
        <v>221</v>
      </c>
      <c r="AE131" s="20" t="s">
        <v>7159</v>
      </c>
      <c r="AF131" s="8" t="s">
        <v>223</v>
      </c>
      <c r="AG131" s="8" t="s">
        <v>224</v>
      </c>
    </row>
    <row r="132" customFormat="false" ht="15" hidden="false" customHeight="false" outlineLevel="0" collapsed="false">
      <c r="A132" s="8" t="s">
        <v>7160</v>
      </c>
      <c r="B132" s="8" t="s">
        <v>7161</v>
      </c>
      <c r="C132" s="8"/>
      <c r="D132" s="8" t="s">
        <v>206</v>
      </c>
      <c r="E132" s="8" t="s">
        <v>103</v>
      </c>
      <c r="F132" s="8" t="s">
        <v>70</v>
      </c>
      <c r="G132" s="8" t="s">
        <v>207</v>
      </c>
      <c r="H132" s="8" t="s">
        <v>93</v>
      </c>
      <c r="I132" s="8" t="s">
        <v>259</v>
      </c>
      <c r="J132" s="8"/>
      <c r="K132" s="8" t="n">
        <v>2</v>
      </c>
      <c r="L132" s="8" t="n">
        <v>4</v>
      </c>
      <c r="M132" s="18" t="n">
        <f aca="false">INDEX('All Items'!$Q:$Q,MATCH($A132,'All Items'!$A:$A,0))</f>
        <v>8.45</v>
      </c>
      <c r="N132" s="8" t="s">
        <v>764</v>
      </c>
      <c r="O132" s="8" t="s">
        <v>347</v>
      </c>
      <c r="P132" s="8" t="s">
        <v>1521</v>
      </c>
      <c r="Q132" s="8" t="s">
        <v>7162</v>
      </c>
      <c r="R132" s="8" t="s">
        <v>1363</v>
      </c>
      <c r="S132" s="8"/>
      <c r="T132" s="19" t="s">
        <v>7163</v>
      </c>
      <c r="U132" s="8" t="s">
        <v>7164</v>
      </c>
      <c r="V132" s="8" t="s">
        <v>7165</v>
      </c>
      <c r="W132" s="8" t="n">
        <f aca="false">COUNTA(N132:S132)</f>
        <v>5</v>
      </c>
      <c r="X132" s="8" t="s">
        <v>259</v>
      </c>
      <c r="Y132" s="8" t="s">
        <v>218</v>
      </c>
      <c r="Z132" s="8" t="s">
        <v>218</v>
      </c>
      <c r="AA132" s="8"/>
      <c r="AB132" s="8" t="s">
        <v>7166</v>
      </c>
      <c r="AC132" s="20"/>
      <c r="AD132" s="20"/>
      <c r="AE132" s="20"/>
      <c r="AF132" s="8" t="s">
        <v>237</v>
      </c>
      <c r="AG132" s="8" t="s">
        <v>224</v>
      </c>
    </row>
    <row r="133" customFormat="false" ht="15" hidden="false" customHeight="false" outlineLevel="0" collapsed="false">
      <c r="A133" s="8" t="s">
        <v>7167</v>
      </c>
      <c r="B133" s="8" t="s">
        <v>7168</v>
      </c>
      <c r="C133" s="8"/>
      <c r="D133" s="8" t="s">
        <v>206</v>
      </c>
      <c r="E133" s="8" t="s">
        <v>108</v>
      </c>
      <c r="F133" s="8" t="s">
        <v>70</v>
      </c>
      <c r="G133" s="8" t="s">
        <v>207</v>
      </c>
      <c r="H133" s="8" t="s">
        <v>96</v>
      </c>
      <c r="I133" s="8" t="s">
        <v>259</v>
      </c>
      <c r="J133" s="8"/>
      <c r="K133" s="8" t="n">
        <v>3</v>
      </c>
      <c r="L133" s="8" t="n">
        <v>3</v>
      </c>
      <c r="M133" s="18" t="n">
        <f aca="false">INDEX('All Items'!$Q:$Q,MATCH($A133,'All Items'!$A:$A,0))</f>
        <v>6.9</v>
      </c>
      <c r="N133" s="8" t="s">
        <v>1695</v>
      </c>
      <c r="O133" s="8" t="s">
        <v>7169</v>
      </c>
      <c r="P133" s="8" t="s">
        <v>2248</v>
      </c>
      <c r="Q133" s="8" t="s">
        <v>7040</v>
      </c>
      <c r="R133" s="8" t="s">
        <v>1669</v>
      </c>
      <c r="S133" s="8" t="s">
        <v>7170</v>
      </c>
      <c r="T133" s="19" t="s">
        <v>7171</v>
      </c>
      <c r="U133" s="8" t="s">
        <v>7172</v>
      </c>
      <c r="V133" s="8"/>
      <c r="W133" s="8" t="n">
        <f aca="false">COUNTA(N133:S133)</f>
        <v>6</v>
      </c>
      <c r="X133" s="8" t="s">
        <v>259</v>
      </c>
      <c r="Y133" s="8" t="s">
        <v>218</v>
      </c>
      <c r="Z133" s="8" t="s">
        <v>218</v>
      </c>
      <c r="AA133" s="8"/>
      <c r="AB133" s="8" t="s">
        <v>7173</v>
      </c>
      <c r="AC133" s="20"/>
      <c r="AD133" s="20"/>
      <c r="AE133" s="20"/>
      <c r="AF133" s="8" t="s">
        <v>237</v>
      </c>
      <c r="AG133" s="8" t="s">
        <v>224</v>
      </c>
    </row>
    <row r="134" customFormat="false" ht="15" hidden="false" customHeight="false" outlineLevel="0" collapsed="false">
      <c r="A134" s="8" t="s">
        <v>7174</v>
      </c>
      <c r="B134" s="8" t="s">
        <v>7175</v>
      </c>
      <c r="C134" s="8" t="s">
        <v>7176</v>
      </c>
      <c r="D134" s="8" t="s">
        <v>206</v>
      </c>
      <c r="E134" s="8" t="s">
        <v>103</v>
      </c>
      <c r="F134" s="8" t="s">
        <v>70</v>
      </c>
      <c r="G134" s="8" t="s">
        <v>207</v>
      </c>
      <c r="H134" s="8" t="s">
        <v>93</v>
      </c>
      <c r="I134" s="8" t="s">
        <v>259</v>
      </c>
      <c r="J134" s="8"/>
      <c r="K134" s="8" t="n">
        <v>2</v>
      </c>
      <c r="L134" s="8" t="n">
        <v>4</v>
      </c>
      <c r="M134" s="18" t="n">
        <f aca="false">INDEX('All Items'!$Q:$Q,MATCH($A134,'All Items'!$A:$A,0))</f>
        <v>8.45</v>
      </c>
      <c r="N134" s="8" t="s">
        <v>6946</v>
      </c>
      <c r="O134" s="8" t="s">
        <v>731</v>
      </c>
      <c r="P134" s="8" t="s">
        <v>7177</v>
      </c>
      <c r="Q134" s="8" t="s">
        <v>7178</v>
      </c>
      <c r="R134" s="8" t="s">
        <v>7179</v>
      </c>
      <c r="S134" s="8"/>
      <c r="T134" s="19" t="s">
        <v>7180</v>
      </c>
      <c r="U134" s="8"/>
      <c r="V134" s="8" t="s">
        <v>7179</v>
      </c>
      <c r="W134" s="8" t="n">
        <f aca="false">COUNTA(N134:S134)</f>
        <v>5</v>
      </c>
      <c r="X134" s="8" t="s">
        <v>259</v>
      </c>
      <c r="Y134" s="8" t="s">
        <v>218</v>
      </c>
      <c r="Z134" s="8" t="s">
        <v>218</v>
      </c>
      <c r="AA134" s="8"/>
      <c r="AB134" s="8" t="s">
        <v>7181</v>
      </c>
      <c r="AC134" s="20"/>
      <c r="AD134" s="20"/>
      <c r="AE134" s="20"/>
      <c r="AF134" s="8" t="s">
        <v>237</v>
      </c>
      <c r="AG134" s="8" t="s">
        <v>224</v>
      </c>
    </row>
    <row r="135" customFormat="false" ht="15" hidden="false" customHeight="false" outlineLevel="0" collapsed="false">
      <c r="A135" s="8" t="s">
        <v>7182</v>
      </c>
      <c r="B135" s="8" t="s">
        <v>7183</v>
      </c>
      <c r="C135" s="8" t="s">
        <v>7184</v>
      </c>
      <c r="D135" s="8" t="s">
        <v>206</v>
      </c>
      <c r="E135" s="8" t="s">
        <v>103</v>
      </c>
      <c r="F135" s="8" t="s">
        <v>70</v>
      </c>
      <c r="G135" s="8" t="s">
        <v>207</v>
      </c>
      <c r="H135" s="8" t="s">
        <v>93</v>
      </c>
      <c r="I135" s="8" t="s">
        <v>259</v>
      </c>
      <c r="J135" s="8"/>
      <c r="K135" s="8" t="n">
        <v>2</v>
      </c>
      <c r="L135" s="8" t="n">
        <v>5</v>
      </c>
      <c r="M135" s="18" t="n">
        <f aca="false">INDEX('All Items'!$Q:$Q,MATCH($A135,'All Items'!$A:$A,0))</f>
        <v>9.25</v>
      </c>
      <c r="N135" s="8" t="s">
        <v>442</v>
      </c>
      <c r="O135" s="8" t="s">
        <v>7185</v>
      </c>
      <c r="P135" s="8" t="s">
        <v>2834</v>
      </c>
      <c r="Q135" s="8" t="s">
        <v>388</v>
      </c>
      <c r="R135" s="8" t="s">
        <v>7186</v>
      </c>
      <c r="S135" s="8" t="s">
        <v>7187</v>
      </c>
      <c r="T135" s="19" t="s">
        <v>7188</v>
      </c>
      <c r="U135" s="8" t="s">
        <v>7189</v>
      </c>
      <c r="V135" s="8" t="s">
        <v>7190</v>
      </c>
      <c r="W135" s="8" t="n">
        <f aca="false">COUNTA(N135:S135)</f>
        <v>6</v>
      </c>
      <c r="X135" s="8" t="s">
        <v>259</v>
      </c>
      <c r="Y135" s="8" t="s">
        <v>218</v>
      </c>
      <c r="Z135" s="8" t="s">
        <v>218</v>
      </c>
      <c r="AA135" s="8"/>
      <c r="AB135" s="8" t="s">
        <v>7191</v>
      </c>
      <c r="AC135" s="20"/>
      <c r="AD135" s="20"/>
      <c r="AE135" s="20"/>
      <c r="AF135" s="8" t="s">
        <v>237</v>
      </c>
      <c r="AG135" s="8" t="s">
        <v>224</v>
      </c>
    </row>
    <row r="136" customFormat="false" ht="15" hidden="false" customHeight="false" outlineLevel="0" collapsed="false">
      <c r="A136" s="8" t="s">
        <v>7192</v>
      </c>
      <c r="B136" s="8" t="s">
        <v>7193</v>
      </c>
      <c r="C136" s="8" t="s">
        <v>7194</v>
      </c>
      <c r="D136" s="8" t="s">
        <v>206</v>
      </c>
      <c r="E136" s="8" t="s">
        <v>103</v>
      </c>
      <c r="F136" s="8" t="s">
        <v>70</v>
      </c>
      <c r="G136" s="8" t="s">
        <v>207</v>
      </c>
      <c r="H136" s="8" t="s">
        <v>93</v>
      </c>
      <c r="I136" s="8" t="s">
        <v>259</v>
      </c>
      <c r="J136" s="8"/>
      <c r="K136" s="8" t="n">
        <v>1</v>
      </c>
      <c r="L136" s="8" t="n">
        <v>5</v>
      </c>
      <c r="M136" s="18" t="n">
        <f aca="false">INDEX('All Items'!$Q:$Q,MATCH($A136,'All Items'!$A:$A,0))</f>
        <v>9.5</v>
      </c>
      <c r="N136" s="8" t="s">
        <v>2046</v>
      </c>
      <c r="O136" s="8" t="s">
        <v>7195</v>
      </c>
      <c r="P136" s="8" t="s">
        <v>7196</v>
      </c>
      <c r="Q136" s="8" t="s">
        <v>2834</v>
      </c>
      <c r="R136" s="8" t="s">
        <v>6881</v>
      </c>
      <c r="S136" s="8" t="s">
        <v>7197</v>
      </c>
      <c r="T136" s="19" t="s">
        <v>7198</v>
      </c>
      <c r="U136" s="8" t="s">
        <v>7199</v>
      </c>
      <c r="V136" s="8"/>
      <c r="W136" s="8" t="n">
        <f aca="false">COUNTA(N136:S136)</f>
        <v>6</v>
      </c>
      <c r="X136" s="8" t="s">
        <v>218</v>
      </c>
      <c r="Y136" s="8" t="s">
        <v>218</v>
      </c>
      <c r="Z136" s="8" t="s">
        <v>218</v>
      </c>
      <c r="AA136" s="8"/>
      <c r="AB136" s="8" t="s">
        <v>7200</v>
      </c>
      <c r="AC136" s="20" t="s">
        <v>7201</v>
      </c>
      <c r="AD136" s="20" t="s">
        <v>1174</v>
      </c>
      <c r="AE136" s="20" t="s">
        <v>7202</v>
      </c>
      <c r="AF136" s="8" t="s">
        <v>223</v>
      </c>
      <c r="AG136" s="8" t="s">
        <v>224</v>
      </c>
    </row>
    <row r="137" customFormat="false" ht="15" hidden="false" customHeight="false" outlineLevel="0" collapsed="false">
      <c r="A137" s="8" t="s">
        <v>7203</v>
      </c>
      <c r="B137" s="8" t="s">
        <v>7204</v>
      </c>
      <c r="C137" s="8"/>
      <c r="D137" s="8" t="s">
        <v>206</v>
      </c>
      <c r="E137" s="8" t="s">
        <v>110</v>
      </c>
      <c r="F137" s="8" t="s">
        <v>70</v>
      </c>
      <c r="G137" s="8" t="s">
        <v>207</v>
      </c>
      <c r="H137" s="8" t="s">
        <v>93</v>
      </c>
      <c r="I137" s="8" t="s">
        <v>259</v>
      </c>
      <c r="J137" s="8"/>
      <c r="K137" s="8" t="n">
        <v>1</v>
      </c>
      <c r="L137" s="8" t="n">
        <v>5</v>
      </c>
      <c r="M137" s="18" t="n">
        <f aca="false">INDEX('All Items'!$Q:$Q,MATCH($A137,'All Items'!$A:$A,0))</f>
        <v>9.75</v>
      </c>
      <c r="N137" s="8" t="s">
        <v>764</v>
      </c>
      <c r="O137" s="8" t="s">
        <v>1363</v>
      </c>
      <c r="P137" s="8" t="s">
        <v>324</v>
      </c>
      <c r="Q137" s="8" t="s">
        <v>731</v>
      </c>
      <c r="R137" s="8" t="s">
        <v>110</v>
      </c>
      <c r="S137" s="8" t="s">
        <v>7205</v>
      </c>
      <c r="T137" s="19" t="s">
        <v>7206</v>
      </c>
      <c r="U137" s="8" t="s">
        <v>7207</v>
      </c>
      <c r="V137" s="8" t="s">
        <v>7205</v>
      </c>
      <c r="W137" s="8" t="n">
        <f aca="false">COUNTA(N137:S137)</f>
        <v>6</v>
      </c>
      <c r="X137" s="8" t="s">
        <v>218</v>
      </c>
      <c r="Y137" s="8" t="s">
        <v>218</v>
      </c>
      <c r="Z137" s="8" t="s">
        <v>218</v>
      </c>
      <c r="AA137" s="8"/>
      <c r="AB137" s="8" t="s">
        <v>7208</v>
      </c>
      <c r="AC137" s="20" t="s">
        <v>7073</v>
      </c>
      <c r="AD137" s="20" t="s">
        <v>221</v>
      </c>
      <c r="AE137" s="20" t="s">
        <v>7074</v>
      </c>
      <c r="AF137" s="8" t="s">
        <v>223</v>
      </c>
      <c r="AG137" s="8" t="s">
        <v>224</v>
      </c>
    </row>
    <row r="138" customFormat="false" ht="15" hidden="false" customHeight="false" outlineLevel="0" collapsed="false">
      <c r="A138" s="8" t="s">
        <v>7209</v>
      </c>
      <c r="B138" s="8" t="s">
        <v>7210</v>
      </c>
      <c r="C138" s="8"/>
      <c r="D138" s="8" t="s">
        <v>3309</v>
      </c>
      <c r="E138" s="8"/>
      <c r="F138" s="8" t="s">
        <v>70</v>
      </c>
      <c r="G138" s="8" t="s">
        <v>2789</v>
      </c>
      <c r="H138" s="8" t="s">
        <v>93</v>
      </c>
      <c r="I138" s="8" t="s">
        <v>259</v>
      </c>
      <c r="J138" s="8"/>
      <c r="K138" s="8" t="n">
        <v>2</v>
      </c>
      <c r="L138" s="8" t="n">
        <v>3</v>
      </c>
      <c r="M138" s="18" t="n">
        <f aca="false">INDEX('All Items'!$Q:$Q,MATCH($A138,'All Items'!$A:$A,0))</f>
        <v>7.15</v>
      </c>
      <c r="N138" s="8" t="s">
        <v>1014</v>
      </c>
      <c r="O138" s="8" t="s">
        <v>2494</v>
      </c>
      <c r="P138" s="8" t="s">
        <v>7211</v>
      </c>
      <c r="Q138" s="8" t="s">
        <v>7212</v>
      </c>
      <c r="R138" s="8" t="s">
        <v>6803</v>
      </c>
      <c r="S138" s="8"/>
      <c r="T138" s="19" t="s">
        <v>7213</v>
      </c>
      <c r="U138" s="8" t="s">
        <v>7214</v>
      </c>
      <c r="V138" s="8" t="s">
        <v>7215</v>
      </c>
      <c r="W138" s="8" t="n">
        <f aca="false">COUNTA(N138:S138)</f>
        <v>5</v>
      </c>
      <c r="X138" s="8" t="s">
        <v>218</v>
      </c>
      <c r="Y138" s="8" t="s">
        <v>259</v>
      </c>
      <c r="Z138" s="8" t="s">
        <v>218</v>
      </c>
      <c r="AA138" s="8"/>
      <c r="AB138" s="8" t="s">
        <v>7216</v>
      </c>
      <c r="AC138" s="20"/>
      <c r="AD138" s="20"/>
      <c r="AE138" s="20"/>
      <c r="AF138" s="8" t="s">
        <v>237</v>
      </c>
      <c r="AG138" s="8" t="s">
        <v>224</v>
      </c>
    </row>
    <row r="139" customFormat="false" ht="15" hidden="false" customHeight="false" outlineLevel="0" collapsed="false">
      <c r="A139" s="8" t="s">
        <v>7217</v>
      </c>
      <c r="B139" s="8" t="s">
        <v>7218</v>
      </c>
      <c r="C139" s="8" t="s">
        <v>7219</v>
      </c>
      <c r="D139" s="8" t="s">
        <v>3435</v>
      </c>
      <c r="E139" s="8"/>
      <c r="F139" s="8" t="s">
        <v>70</v>
      </c>
      <c r="G139" s="8" t="s">
        <v>2789</v>
      </c>
      <c r="H139" s="8" t="s">
        <v>93</v>
      </c>
      <c r="I139" s="8" t="s">
        <v>259</v>
      </c>
      <c r="J139" s="8"/>
      <c r="K139" s="8" t="n">
        <v>2</v>
      </c>
      <c r="L139" s="8" t="n">
        <v>3</v>
      </c>
      <c r="M139" s="18" t="n">
        <f aca="false">INDEX('All Items'!$Q:$Q,MATCH($A139,'All Items'!$A:$A,0))</f>
        <v>6.9</v>
      </c>
      <c r="N139" s="8" t="s">
        <v>7220</v>
      </c>
      <c r="O139" s="8" t="s">
        <v>2494</v>
      </c>
      <c r="P139" s="8" t="s">
        <v>7221</v>
      </c>
      <c r="Q139" s="8" t="s">
        <v>7222</v>
      </c>
      <c r="R139" s="8" t="s">
        <v>3457</v>
      </c>
      <c r="S139" s="8" t="s">
        <v>7223</v>
      </c>
      <c r="T139" s="19" t="s">
        <v>7224</v>
      </c>
      <c r="U139" s="8" t="s">
        <v>7225</v>
      </c>
      <c r="V139" s="8" t="s">
        <v>7221</v>
      </c>
      <c r="W139" s="8" t="n">
        <f aca="false">COUNTA(N139:S139)</f>
        <v>6</v>
      </c>
      <c r="X139" s="8" t="s">
        <v>218</v>
      </c>
      <c r="Y139" s="8" t="s">
        <v>259</v>
      </c>
      <c r="Z139" s="8" t="s">
        <v>218</v>
      </c>
      <c r="AA139" s="8"/>
      <c r="AB139" s="8" t="s">
        <v>7226</v>
      </c>
      <c r="AC139" s="20"/>
      <c r="AD139" s="20"/>
      <c r="AE139" s="20"/>
      <c r="AF139" s="8" t="s">
        <v>237</v>
      </c>
      <c r="AG139" s="8" t="s">
        <v>224</v>
      </c>
    </row>
  </sheetData>
  <autoFilter ref="A1:AG1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7"/>
    <col collapsed="false" customWidth="true" hidden="false" outlineLevel="0" max="5" min="4" style="0" width="16"/>
    <col collapsed="false" customWidth="true" hidden="false" outlineLevel="0" max="6" min="6" style="0" width="12"/>
    <col collapsed="false" customWidth="true" hidden="false" outlineLevel="0" max="7" min="7" style="0" width="11"/>
    <col collapsed="false" customWidth="true" hidden="false" outlineLevel="0" max="8" min="8" style="0" width="8"/>
    <col collapsed="false" customWidth="true" hidden="false" outlineLevel="0" max="9" min="9" style="0" width="60"/>
  </cols>
  <sheetData>
    <row r="1" customFormat="false" ht="30" hidden="false" customHeight="true" outlineLevel="0" collapsed="false">
      <c r="A1" s="17" t="s">
        <v>177</v>
      </c>
      <c r="B1" s="17" t="s">
        <v>7227</v>
      </c>
      <c r="C1" s="17" t="s">
        <v>7228</v>
      </c>
      <c r="D1" s="17" t="s">
        <v>180</v>
      </c>
      <c r="E1" s="17" t="s">
        <v>102</v>
      </c>
      <c r="F1" s="17" t="s">
        <v>7229</v>
      </c>
      <c r="G1" s="17" t="s">
        <v>153</v>
      </c>
      <c r="H1" s="17" t="s">
        <v>184</v>
      </c>
      <c r="I1" s="17" t="s">
        <v>7230</v>
      </c>
    </row>
    <row r="2" customFormat="false" ht="15" hidden="false" customHeight="false" outlineLevel="0" collapsed="false">
      <c r="A2" s="8" t="s">
        <v>7231</v>
      </c>
      <c r="B2" s="8" t="s">
        <v>7232</v>
      </c>
      <c r="C2" s="8" t="s">
        <v>178</v>
      </c>
      <c r="D2" s="8" t="s">
        <v>3782</v>
      </c>
      <c r="E2" s="8"/>
      <c r="F2" s="8" t="s">
        <v>78</v>
      </c>
      <c r="G2" s="8" t="n">
        <v>4</v>
      </c>
      <c r="H2" s="18" t="n">
        <f aca="false">INDEX('All Items'!$Q:$Q,MATCH($A2,'All Items'!$A:$A,0))</f>
        <v>6.45</v>
      </c>
      <c r="I2" s="8" t="s">
        <v>7233</v>
      </c>
    </row>
    <row r="3" customFormat="false" ht="15" hidden="false" customHeight="false" outlineLevel="0" collapsed="false">
      <c r="A3" s="8" t="s">
        <v>7234</v>
      </c>
      <c r="B3" s="8" t="s">
        <v>7235</v>
      </c>
      <c r="C3" s="8" t="s">
        <v>178</v>
      </c>
      <c r="D3" s="8" t="s">
        <v>206</v>
      </c>
      <c r="E3" s="8" t="s">
        <v>110</v>
      </c>
      <c r="F3" s="8" t="s">
        <v>87</v>
      </c>
      <c r="G3" s="8" t="n">
        <v>3</v>
      </c>
      <c r="H3" s="18" t="n">
        <f aca="false">INDEX('All Items'!$Q:$Q,MATCH($A3,'All Items'!$A:$A,0))</f>
        <v>6.4</v>
      </c>
      <c r="I3" s="8" t="s">
        <v>7236</v>
      </c>
    </row>
    <row r="4" customFormat="false" ht="15" hidden="false" customHeight="false" outlineLevel="0" collapsed="false">
      <c r="A4" s="8" t="s">
        <v>7237</v>
      </c>
      <c r="B4" s="8" t="s">
        <v>7238</v>
      </c>
      <c r="C4" s="8" t="s">
        <v>178</v>
      </c>
      <c r="D4" s="8" t="s">
        <v>206</v>
      </c>
      <c r="E4" s="8" t="s">
        <v>110</v>
      </c>
      <c r="F4" s="8" t="s">
        <v>82</v>
      </c>
      <c r="G4" s="8" t="n">
        <v>3</v>
      </c>
      <c r="H4" s="18" t="n">
        <f aca="false">INDEX('All Items'!$Q:$Q,MATCH($A4,'All Items'!$A:$A,0))</f>
        <v>6.4</v>
      </c>
      <c r="I4" s="8" t="s">
        <v>7236</v>
      </c>
    </row>
    <row r="5" customFormat="false" ht="15" hidden="false" customHeight="false" outlineLevel="0" collapsed="false">
      <c r="A5" s="8" t="s">
        <v>7239</v>
      </c>
      <c r="B5" s="8" t="s">
        <v>7240</v>
      </c>
      <c r="C5" s="8" t="s">
        <v>178</v>
      </c>
      <c r="D5" s="8" t="s">
        <v>206</v>
      </c>
      <c r="E5" s="8" t="s">
        <v>115</v>
      </c>
      <c r="F5" s="8" t="s">
        <v>87</v>
      </c>
      <c r="G5" s="8" t="n">
        <v>3</v>
      </c>
      <c r="H5" s="18" t="n">
        <f aca="false">INDEX('All Items'!$Q:$Q,MATCH($A5,'All Items'!$A:$A,0))</f>
        <v>6.4</v>
      </c>
      <c r="I5" s="8" t="s">
        <v>7236</v>
      </c>
    </row>
    <row r="6" customFormat="false" ht="15" hidden="false" customHeight="false" outlineLevel="0" collapsed="false">
      <c r="A6" s="8" t="s">
        <v>7241</v>
      </c>
      <c r="B6" s="8" t="s">
        <v>7242</v>
      </c>
      <c r="C6" s="8" t="s">
        <v>178</v>
      </c>
      <c r="D6" s="8" t="s">
        <v>206</v>
      </c>
      <c r="E6" s="8" t="s">
        <v>108</v>
      </c>
      <c r="F6" s="8" t="s">
        <v>78</v>
      </c>
      <c r="G6" s="8" t="n">
        <v>2</v>
      </c>
      <c r="H6" s="18" t="n">
        <f aca="false">INDEX('All Items'!$Q:$Q,MATCH($A6,'All Items'!$A:$A,0))</f>
        <v>6.1</v>
      </c>
      <c r="I6" s="8" t="s">
        <v>7243</v>
      </c>
    </row>
    <row r="7" customFormat="false" ht="15" hidden="false" customHeight="false" outlineLevel="0" collapsed="false">
      <c r="A7" s="8" t="s">
        <v>7244</v>
      </c>
      <c r="B7" s="8" t="s">
        <v>7245</v>
      </c>
      <c r="C7" s="8" t="s">
        <v>178</v>
      </c>
      <c r="D7" s="8" t="s">
        <v>206</v>
      </c>
      <c r="E7" s="8" t="s">
        <v>108</v>
      </c>
      <c r="F7" s="8" t="s">
        <v>81</v>
      </c>
      <c r="G7" s="8" t="n">
        <v>2</v>
      </c>
      <c r="H7" s="18" t="n">
        <f aca="false">INDEX('All Items'!$Q:$Q,MATCH($A7,'All Items'!$A:$A,0))</f>
        <v>6.1</v>
      </c>
      <c r="I7" s="8" t="s">
        <v>7243</v>
      </c>
    </row>
    <row r="8" customFormat="false" ht="15" hidden="false" customHeight="false" outlineLevel="0" collapsed="false">
      <c r="A8" s="8" t="s">
        <v>7246</v>
      </c>
      <c r="B8" s="8" t="s">
        <v>7247</v>
      </c>
      <c r="C8" s="8" t="s">
        <v>178</v>
      </c>
      <c r="D8" s="8" t="s">
        <v>206</v>
      </c>
      <c r="E8" s="8" t="s">
        <v>118</v>
      </c>
      <c r="F8" s="8" t="s">
        <v>78</v>
      </c>
      <c r="G8" s="8" t="n">
        <v>2</v>
      </c>
      <c r="H8" s="18" t="n">
        <f aca="false">INDEX('All Items'!$Q:$Q,MATCH($A8,'All Items'!$A:$A,0))</f>
        <v>6.1</v>
      </c>
      <c r="I8" s="8" t="s">
        <v>7243</v>
      </c>
    </row>
    <row r="9" customFormat="false" ht="15" hidden="false" customHeight="false" outlineLevel="0" collapsed="false">
      <c r="A9" s="8" t="s">
        <v>7248</v>
      </c>
      <c r="B9" s="8" t="s">
        <v>7249</v>
      </c>
      <c r="C9" s="8" t="s">
        <v>178</v>
      </c>
      <c r="D9" s="8" t="s">
        <v>206</v>
      </c>
      <c r="E9" s="8" t="s">
        <v>104</v>
      </c>
      <c r="F9" s="8" t="s">
        <v>78</v>
      </c>
      <c r="G9" s="8" t="n">
        <v>2</v>
      </c>
      <c r="H9" s="18" t="n">
        <f aca="false">INDEX('All Items'!$Q:$Q,MATCH($A9,'All Items'!$A:$A,0))</f>
        <v>6.1</v>
      </c>
      <c r="I9" s="8" t="s">
        <v>7243</v>
      </c>
    </row>
    <row r="10" customFormat="false" ht="15" hidden="false" customHeight="false" outlineLevel="0" collapsed="false">
      <c r="A10" s="8" t="s">
        <v>7250</v>
      </c>
      <c r="B10" s="8" t="s">
        <v>7251</v>
      </c>
      <c r="C10" s="8" t="s">
        <v>178</v>
      </c>
      <c r="D10" s="8" t="s">
        <v>206</v>
      </c>
      <c r="E10" s="8" t="s">
        <v>104</v>
      </c>
      <c r="F10" s="8" t="s">
        <v>78</v>
      </c>
      <c r="G10" s="8" t="n">
        <v>2</v>
      </c>
      <c r="H10" s="18" t="n">
        <f aca="false">INDEX('All Items'!$Q:$Q,MATCH($A10,'All Items'!$A:$A,0))</f>
        <v>6.1</v>
      </c>
      <c r="I10" s="8" t="s">
        <v>7243</v>
      </c>
    </row>
    <row r="11" customFormat="false" ht="15" hidden="false" customHeight="false" outlineLevel="0" collapsed="false">
      <c r="A11" s="8" t="s">
        <v>7252</v>
      </c>
      <c r="B11" s="8" t="s">
        <v>7253</v>
      </c>
      <c r="C11" s="8" t="s">
        <v>178</v>
      </c>
      <c r="D11" s="8" t="s">
        <v>206</v>
      </c>
      <c r="E11" s="8" t="s">
        <v>104</v>
      </c>
      <c r="F11" s="8" t="s">
        <v>78</v>
      </c>
      <c r="G11" s="8" t="n">
        <v>2</v>
      </c>
      <c r="H11" s="18" t="n">
        <f aca="false">INDEX('All Items'!$Q:$Q,MATCH($A11,'All Items'!$A:$A,0))</f>
        <v>6.1</v>
      </c>
      <c r="I11" s="8" t="s">
        <v>7243</v>
      </c>
    </row>
    <row r="12" customFormat="false" ht="15" hidden="false" customHeight="false" outlineLevel="0" collapsed="false">
      <c r="A12" s="8" t="s">
        <v>7254</v>
      </c>
      <c r="B12" s="8" t="s">
        <v>7255</v>
      </c>
      <c r="C12" s="8" t="s">
        <v>178</v>
      </c>
      <c r="D12" s="8" t="s">
        <v>206</v>
      </c>
      <c r="E12" s="8" t="s">
        <v>116</v>
      </c>
      <c r="F12" s="8" t="s">
        <v>78</v>
      </c>
      <c r="G12" s="8" t="n">
        <v>2</v>
      </c>
      <c r="H12" s="18" t="n">
        <f aca="false">INDEX('All Items'!$Q:$Q,MATCH($A12,'All Items'!$A:$A,0))</f>
        <v>6.1</v>
      </c>
      <c r="I12" s="8" t="s">
        <v>7243</v>
      </c>
    </row>
    <row r="13" customFormat="false" ht="15" hidden="false" customHeight="false" outlineLevel="0" collapsed="false">
      <c r="A13" s="8" t="s">
        <v>7256</v>
      </c>
      <c r="B13" s="8" t="s">
        <v>7257</v>
      </c>
      <c r="C13" s="8" t="s">
        <v>178</v>
      </c>
      <c r="D13" s="8" t="s">
        <v>206</v>
      </c>
      <c r="E13" s="8" t="s">
        <v>105</v>
      </c>
      <c r="F13" s="8" t="s">
        <v>84</v>
      </c>
      <c r="G13" s="8" t="n">
        <v>2</v>
      </c>
      <c r="H13" s="18" t="n">
        <f aca="false">INDEX('All Items'!$Q:$Q,MATCH($A13,'All Items'!$A:$A,0))</f>
        <v>6.1</v>
      </c>
      <c r="I13" s="8" t="s">
        <v>7243</v>
      </c>
    </row>
    <row r="14" customFormat="false" ht="15" hidden="false" customHeight="false" outlineLevel="0" collapsed="false">
      <c r="A14" s="8" t="s">
        <v>7258</v>
      </c>
      <c r="B14" s="8" t="s">
        <v>7259</v>
      </c>
      <c r="C14" s="8" t="s">
        <v>178</v>
      </c>
      <c r="D14" s="8" t="s">
        <v>206</v>
      </c>
      <c r="E14" s="8" t="s">
        <v>105</v>
      </c>
      <c r="F14" s="8" t="s">
        <v>86</v>
      </c>
      <c r="G14" s="8" t="n">
        <v>2</v>
      </c>
      <c r="H14" s="18" t="n">
        <f aca="false">INDEX('All Items'!$Q:$Q,MATCH($A14,'All Items'!$A:$A,0))</f>
        <v>6.1</v>
      </c>
      <c r="I14" s="8" t="s">
        <v>7243</v>
      </c>
    </row>
    <row r="15" customFormat="false" ht="15" hidden="false" customHeight="false" outlineLevel="0" collapsed="false">
      <c r="A15" s="8" t="s">
        <v>7260</v>
      </c>
      <c r="B15" s="8" t="s">
        <v>7261</v>
      </c>
      <c r="C15" s="8" t="s">
        <v>178</v>
      </c>
      <c r="D15" s="8" t="s">
        <v>206</v>
      </c>
      <c r="E15" s="8" t="s">
        <v>109</v>
      </c>
      <c r="F15" s="8" t="s">
        <v>82</v>
      </c>
      <c r="G15" s="8" t="n">
        <v>2</v>
      </c>
      <c r="H15" s="18" t="n">
        <f aca="false">INDEX('All Items'!$Q:$Q,MATCH($A15,'All Items'!$A:$A,0))</f>
        <v>6.1</v>
      </c>
      <c r="I15" s="8" t="s">
        <v>7243</v>
      </c>
    </row>
    <row r="16" customFormat="false" ht="15" hidden="false" customHeight="false" outlineLevel="0" collapsed="false">
      <c r="A16" s="8" t="s">
        <v>7262</v>
      </c>
      <c r="B16" s="8" t="s">
        <v>7263</v>
      </c>
      <c r="C16" s="8" t="s">
        <v>178</v>
      </c>
      <c r="D16" s="8" t="s">
        <v>206</v>
      </c>
      <c r="E16" s="8" t="s">
        <v>114</v>
      </c>
      <c r="F16" s="8" t="s">
        <v>79</v>
      </c>
      <c r="G16" s="8" t="n">
        <v>2</v>
      </c>
      <c r="H16" s="18" t="n">
        <f aca="false">INDEX('All Items'!$Q:$Q,MATCH($A16,'All Items'!$A:$A,0))</f>
        <v>6.1</v>
      </c>
      <c r="I16" s="8" t="s">
        <v>7243</v>
      </c>
    </row>
    <row r="17" customFormat="false" ht="15" hidden="false" customHeight="false" outlineLevel="0" collapsed="false">
      <c r="A17" s="8" t="s">
        <v>7264</v>
      </c>
      <c r="B17" s="8" t="s">
        <v>7265</v>
      </c>
      <c r="C17" s="8" t="s">
        <v>178</v>
      </c>
      <c r="D17" s="8" t="s">
        <v>206</v>
      </c>
      <c r="E17" s="8" t="s">
        <v>106</v>
      </c>
      <c r="F17" s="8" t="s">
        <v>86</v>
      </c>
      <c r="G17" s="8" t="n">
        <v>2</v>
      </c>
      <c r="H17" s="18" t="n">
        <f aca="false">INDEX('All Items'!$Q:$Q,MATCH($A17,'All Items'!$A:$A,0))</f>
        <v>6.1</v>
      </c>
      <c r="I17" s="8" t="s">
        <v>7243</v>
      </c>
    </row>
    <row r="18" customFormat="false" ht="15" hidden="false" customHeight="false" outlineLevel="0" collapsed="false">
      <c r="A18" s="8" t="s">
        <v>7266</v>
      </c>
      <c r="B18" s="8" t="s">
        <v>7267</v>
      </c>
      <c r="C18" s="8" t="s">
        <v>178</v>
      </c>
      <c r="D18" s="8" t="s">
        <v>206</v>
      </c>
      <c r="E18" s="8" t="s">
        <v>129</v>
      </c>
      <c r="F18" s="8" t="s">
        <v>86</v>
      </c>
      <c r="G18" s="8" t="n">
        <v>2</v>
      </c>
      <c r="H18" s="18" t="n">
        <f aca="false">INDEX('All Items'!$Q:$Q,MATCH($A18,'All Items'!$A:$A,0))</f>
        <v>6.1</v>
      </c>
      <c r="I18" s="8" t="s">
        <v>7243</v>
      </c>
    </row>
    <row r="19" customFormat="false" ht="15" hidden="false" customHeight="false" outlineLevel="0" collapsed="false">
      <c r="A19" s="8" t="s">
        <v>7268</v>
      </c>
      <c r="B19" s="8" t="s">
        <v>7269</v>
      </c>
      <c r="C19" s="8" t="s">
        <v>178</v>
      </c>
      <c r="D19" s="8" t="s">
        <v>206</v>
      </c>
      <c r="E19" s="8" t="s">
        <v>126</v>
      </c>
      <c r="F19" s="8" t="s">
        <v>79</v>
      </c>
      <c r="G19" s="8" t="n">
        <v>2</v>
      </c>
      <c r="H19" s="18" t="n">
        <f aca="false">INDEX('All Items'!$Q:$Q,MATCH($A19,'All Items'!$A:$A,0))</f>
        <v>6.1</v>
      </c>
      <c r="I19" s="8" t="s">
        <v>7243</v>
      </c>
    </row>
    <row r="20" customFormat="false" ht="15" hidden="false" customHeight="false" outlineLevel="0" collapsed="false">
      <c r="A20" s="8" t="s">
        <v>7270</v>
      </c>
      <c r="B20" s="8" t="s">
        <v>7271</v>
      </c>
      <c r="C20" s="8" t="s">
        <v>178</v>
      </c>
      <c r="D20" s="8" t="s">
        <v>206</v>
      </c>
      <c r="E20" s="8" t="s">
        <v>103</v>
      </c>
      <c r="F20" s="8" t="s">
        <v>78</v>
      </c>
      <c r="G20" s="8" t="n">
        <v>2</v>
      </c>
      <c r="H20" s="18" t="n">
        <f aca="false">INDEX('All Items'!$Q:$Q,MATCH($A20,'All Items'!$A:$A,0))</f>
        <v>6.1</v>
      </c>
      <c r="I20" s="8" t="s">
        <v>7243</v>
      </c>
    </row>
    <row r="21" customFormat="false" ht="15" hidden="false" customHeight="false" outlineLevel="0" collapsed="false">
      <c r="A21" s="8" t="s">
        <v>7272</v>
      </c>
      <c r="B21" s="8" t="s">
        <v>7273</v>
      </c>
      <c r="C21" s="8" t="s">
        <v>178</v>
      </c>
      <c r="D21" s="8" t="s">
        <v>206</v>
      </c>
      <c r="E21" s="8" t="s">
        <v>103</v>
      </c>
      <c r="F21" s="8" t="s">
        <v>79</v>
      </c>
      <c r="G21" s="8" t="n">
        <v>2</v>
      </c>
      <c r="H21" s="18" t="n">
        <f aca="false">INDEX('All Items'!$Q:$Q,MATCH($A21,'All Items'!$A:$A,0))</f>
        <v>6.1</v>
      </c>
      <c r="I21" s="8" t="s">
        <v>7243</v>
      </c>
    </row>
    <row r="22" customFormat="false" ht="15" hidden="false" customHeight="false" outlineLevel="0" collapsed="false">
      <c r="A22" s="8" t="s">
        <v>7274</v>
      </c>
      <c r="B22" s="8" t="s">
        <v>7275</v>
      </c>
      <c r="C22" s="8" t="s">
        <v>178</v>
      </c>
      <c r="D22" s="8" t="s">
        <v>206</v>
      </c>
      <c r="E22" s="8" t="s">
        <v>109</v>
      </c>
      <c r="F22" s="8" t="s">
        <v>78</v>
      </c>
      <c r="G22" s="8" t="n">
        <v>2</v>
      </c>
      <c r="H22" s="18" t="n">
        <f aca="false">INDEX('All Items'!$Q:$Q,MATCH($A22,'All Items'!$A:$A,0))</f>
        <v>6.1</v>
      </c>
      <c r="I22" s="8" t="s">
        <v>7243</v>
      </c>
    </row>
    <row r="23" customFormat="false" ht="15" hidden="false" customHeight="false" outlineLevel="0" collapsed="false">
      <c r="A23" s="8" t="s">
        <v>7276</v>
      </c>
      <c r="B23" s="8" t="s">
        <v>7277</v>
      </c>
      <c r="C23" s="8" t="s">
        <v>178</v>
      </c>
      <c r="D23" s="8" t="s">
        <v>206</v>
      </c>
      <c r="E23" s="8" t="s">
        <v>103</v>
      </c>
      <c r="F23" s="8" t="s">
        <v>78</v>
      </c>
      <c r="G23" s="8" t="n">
        <v>2</v>
      </c>
      <c r="H23" s="18" t="n">
        <f aca="false">INDEX('All Items'!$Q:$Q,MATCH($A23,'All Items'!$A:$A,0))</f>
        <v>6.1</v>
      </c>
      <c r="I23" s="8" t="s">
        <v>7243</v>
      </c>
    </row>
    <row r="24" customFormat="false" ht="15" hidden="false" customHeight="false" outlineLevel="0" collapsed="false">
      <c r="A24" s="8" t="s">
        <v>7278</v>
      </c>
      <c r="B24" s="8" t="s">
        <v>7279</v>
      </c>
      <c r="C24" s="8" t="s">
        <v>178</v>
      </c>
      <c r="D24" s="8" t="s">
        <v>206</v>
      </c>
      <c r="E24" s="8" t="s">
        <v>106</v>
      </c>
      <c r="F24" s="8" t="s">
        <v>84</v>
      </c>
      <c r="G24" s="8" t="n">
        <v>2</v>
      </c>
      <c r="H24" s="18" t="n">
        <f aca="false">INDEX('All Items'!$Q:$Q,MATCH($A24,'All Items'!$A:$A,0))</f>
        <v>6.1</v>
      </c>
      <c r="I24" s="8" t="s">
        <v>7243</v>
      </c>
    </row>
    <row r="25" customFormat="false" ht="15" hidden="false" customHeight="false" outlineLevel="0" collapsed="false">
      <c r="A25" s="8" t="s">
        <v>7280</v>
      </c>
      <c r="B25" s="8" t="s">
        <v>7281</v>
      </c>
      <c r="C25" s="8" t="s">
        <v>178</v>
      </c>
      <c r="D25" s="8" t="s">
        <v>206</v>
      </c>
      <c r="E25" s="8" t="s">
        <v>118</v>
      </c>
      <c r="F25" s="8" t="s">
        <v>79</v>
      </c>
      <c r="G25" s="8" t="n">
        <v>2</v>
      </c>
      <c r="H25" s="18" t="n">
        <f aca="false">INDEX('All Items'!$Q:$Q,MATCH($A25,'All Items'!$A:$A,0))</f>
        <v>6.1</v>
      </c>
      <c r="I25" s="8" t="s">
        <v>7243</v>
      </c>
    </row>
    <row r="26" customFormat="false" ht="15" hidden="false" customHeight="false" outlineLevel="0" collapsed="false">
      <c r="A26" s="8" t="s">
        <v>7282</v>
      </c>
      <c r="B26" s="8" t="s">
        <v>7283</v>
      </c>
      <c r="C26" s="8" t="s">
        <v>178</v>
      </c>
      <c r="D26" s="8" t="s">
        <v>2532</v>
      </c>
      <c r="E26" s="8"/>
      <c r="F26" s="8" t="s">
        <v>78</v>
      </c>
      <c r="G26" s="8" t="n">
        <v>2</v>
      </c>
      <c r="H26" s="18" t="n">
        <f aca="false">INDEX('All Items'!$Q:$Q,MATCH($A26,'All Items'!$A:$A,0))</f>
        <v>6.1</v>
      </c>
      <c r="I26" s="8" t="s">
        <v>7243</v>
      </c>
    </row>
    <row r="27" customFormat="false" ht="15" hidden="false" customHeight="false" outlineLevel="0" collapsed="false">
      <c r="A27" s="8" t="s">
        <v>7284</v>
      </c>
      <c r="B27" s="8" t="s">
        <v>7285</v>
      </c>
      <c r="C27" s="8" t="s">
        <v>178</v>
      </c>
      <c r="D27" s="8" t="s">
        <v>2532</v>
      </c>
      <c r="E27" s="8"/>
      <c r="F27" s="8" t="s">
        <v>78</v>
      </c>
      <c r="G27" s="8" t="n">
        <v>2</v>
      </c>
      <c r="H27" s="18" t="n">
        <f aca="false">INDEX('All Items'!$Q:$Q,MATCH($A27,'All Items'!$A:$A,0))</f>
        <v>6.1</v>
      </c>
      <c r="I27" s="8" t="s">
        <v>7243</v>
      </c>
    </row>
    <row r="28" customFormat="false" ht="15" hidden="false" customHeight="false" outlineLevel="0" collapsed="false">
      <c r="A28" s="8" t="s">
        <v>7286</v>
      </c>
      <c r="B28" s="8" t="s">
        <v>7287</v>
      </c>
      <c r="C28" s="8" t="s">
        <v>178</v>
      </c>
      <c r="D28" s="8" t="s">
        <v>2532</v>
      </c>
      <c r="E28" s="8"/>
      <c r="F28" s="8" t="s">
        <v>79</v>
      </c>
      <c r="G28" s="8" t="n">
        <v>2</v>
      </c>
      <c r="H28" s="18" t="n">
        <f aca="false">INDEX('All Items'!$Q:$Q,MATCH($A28,'All Items'!$A:$A,0))</f>
        <v>6.1</v>
      </c>
      <c r="I28" s="8" t="s">
        <v>7243</v>
      </c>
    </row>
    <row r="29" customFormat="false" ht="15" hidden="false" customHeight="false" outlineLevel="0" collapsed="false">
      <c r="A29" s="8" t="s">
        <v>7288</v>
      </c>
      <c r="B29" s="8" t="s">
        <v>7289</v>
      </c>
      <c r="C29" s="8" t="s">
        <v>178</v>
      </c>
      <c r="D29" s="8" t="s">
        <v>2532</v>
      </c>
      <c r="E29" s="8"/>
      <c r="F29" s="8" t="s">
        <v>85</v>
      </c>
      <c r="G29" s="8" t="n">
        <v>2</v>
      </c>
      <c r="H29" s="18" t="n">
        <f aca="false">INDEX('All Items'!$Q:$Q,MATCH($A29,'All Items'!$A:$A,0))</f>
        <v>6.1</v>
      </c>
      <c r="I29" s="8" t="s">
        <v>7243</v>
      </c>
    </row>
    <row r="30" customFormat="false" ht="15" hidden="false" customHeight="false" outlineLevel="0" collapsed="false">
      <c r="A30" s="8" t="s">
        <v>7290</v>
      </c>
      <c r="B30" s="8" t="s">
        <v>7291</v>
      </c>
      <c r="C30" s="8" t="s">
        <v>178</v>
      </c>
      <c r="D30" s="8" t="s">
        <v>2859</v>
      </c>
      <c r="E30" s="8"/>
      <c r="F30" s="8" t="s">
        <v>86</v>
      </c>
      <c r="G30" s="8" t="n">
        <v>2</v>
      </c>
      <c r="H30" s="18" t="n">
        <f aca="false">INDEX('All Items'!$Q:$Q,MATCH($A30,'All Items'!$A:$A,0))</f>
        <v>6.1</v>
      </c>
      <c r="I30" s="8" t="s">
        <v>7243</v>
      </c>
    </row>
    <row r="31" customFormat="false" ht="15" hidden="false" customHeight="false" outlineLevel="0" collapsed="false">
      <c r="A31" s="8" t="s">
        <v>7292</v>
      </c>
      <c r="B31" s="8" t="s">
        <v>7293</v>
      </c>
      <c r="C31" s="8" t="s">
        <v>178</v>
      </c>
      <c r="D31" s="8" t="s">
        <v>2859</v>
      </c>
      <c r="E31" s="8"/>
      <c r="F31" s="8" t="s">
        <v>78</v>
      </c>
      <c r="G31" s="8" t="n">
        <v>2</v>
      </c>
      <c r="H31" s="18" t="n">
        <f aca="false">INDEX('All Items'!$Q:$Q,MATCH($A31,'All Items'!$A:$A,0))</f>
        <v>6.1</v>
      </c>
      <c r="I31" s="8" t="s">
        <v>7243</v>
      </c>
    </row>
    <row r="32" customFormat="false" ht="15" hidden="false" customHeight="false" outlineLevel="0" collapsed="false">
      <c r="A32" s="8" t="s">
        <v>7294</v>
      </c>
      <c r="B32" s="8" t="s">
        <v>7295</v>
      </c>
      <c r="C32" s="8" t="s">
        <v>178</v>
      </c>
      <c r="D32" s="8" t="s">
        <v>2859</v>
      </c>
      <c r="E32" s="8"/>
      <c r="F32" s="8" t="s">
        <v>85</v>
      </c>
      <c r="G32" s="8" t="n">
        <v>2</v>
      </c>
      <c r="H32" s="18" t="n">
        <f aca="false">INDEX('All Items'!$Q:$Q,MATCH($A32,'All Items'!$A:$A,0))</f>
        <v>6.1</v>
      </c>
      <c r="I32" s="8" t="s">
        <v>7243</v>
      </c>
    </row>
    <row r="33" customFormat="false" ht="15" hidden="false" customHeight="false" outlineLevel="0" collapsed="false">
      <c r="A33" s="8" t="s">
        <v>7296</v>
      </c>
      <c r="B33" s="8" t="s">
        <v>7297</v>
      </c>
      <c r="C33" s="8" t="s">
        <v>178</v>
      </c>
      <c r="D33" s="8" t="s">
        <v>3137</v>
      </c>
      <c r="E33" s="8"/>
      <c r="F33" s="8" t="s">
        <v>78</v>
      </c>
      <c r="G33" s="8" t="n">
        <v>2</v>
      </c>
      <c r="H33" s="18" t="n">
        <f aca="false">INDEX('All Items'!$Q:$Q,MATCH($A33,'All Items'!$A:$A,0))</f>
        <v>6.1</v>
      </c>
      <c r="I33" s="8" t="s">
        <v>7243</v>
      </c>
    </row>
    <row r="34" customFormat="false" ht="15" hidden="false" customHeight="false" outlineLevel="0" collapsed="false">
      <c r="A34" s="8" t="s">
        <v>7298</v>
      </c>
      <c r="B34" s="8" t="s">
        <v>7299</v>
      </c>
      <c r="C34" s="8" t="s">
        <v>178</v>
      </c>
      <c r="D34" s="8" t="s">
        <v>3137</v>
      </c>
      <c r="E34" s="8"/>
      <c r="F34" s="8" t="s">
        <v>81</v>
      </c>
      <c r="G34" s="8" t="n">
        <v>2</v>
      </c>
      <c r="H34" s="18" t="n">
        <f aca="false">INDEX('All Items'!$Q:$Q,MATCH($A34,'All Items'!$A:$A,0))</f>
        <v>6.1</v>
      </c>
      <c r="I34" s="8" t="s">
        <v>7243</v>
      </c>
    </row>
    <row r="35" customFormat="false" ht="15" hidden="false" customHeight="false" outlineLevel="0" collapsed="false">
      <c r="A35" s="8" t="s">
        <v>7300</v>
      </c>
      <c r="B35" s="8" t="s">
        <v>7301</v>
      </c>
      <c r="C35" s="8" t="s">
        <v>178</v>
      </c>
      <c r="D35" s="8" t="s">
        <v>3309</v>
      </c>
      <c r="E35" s="8"/>
      <c r="F35" s="8" t="s">
        <v>83</v>
      </c>
      <c r="G35" s="8" t="n">
        <v>2</v>
      </c>
      <c r="H35" s="18" t="n">
        <f aca="false">INDEX('All Items'!$Q:$Q,MATCH($A35,'All Items'!$A:$A,0))</f>
        <v>6.1</v>
      </c>
      <c r="I35" s="8" t="s">
        <v>7243</v>
      </c>
    </row>
    <row r="36" customFormat="false" ht="15" hidden="false" customHeight="false" outlineLevel="0" collapsed="false">
      <c r="A36" s="8" t="s">
        <v>7302</v>
      </c>
      <c r="B36" s="8" t="s">
        <v>7303</v>
      </c>
      <c r="C36" s="8" t="s">
        <v>178</v>
      </c>
      <c r="D36" s="8" t="s">
        <v>3435</v>
      </c>
      <c r="E36" s="8"/>
      <c r="F36" s="8" t="s">
        <v>78</v>
      </c>
      <c r="G36" s="8" t="n">
        <v>2</v>
      </c>
      <c r="H36" s="18" t="n">
        <f aca="false">INDEX('All Items'!$Q:$Q,MATCH($A36,'All Items'!$A:$A,0))</f>
        <v>6.1</v>
      </c>
      <c r="I36" s="8" t="s">
        <v>7243</v>
      </c>
    </row>
    <row r="37" customFormat="false" ht="15" hidden="false" customHeight="false" outlineLevel="0" collapsed="false">
      <c r="A37" s="8" t="s">
        <v>7304</v>
      </c>
      <c r="B37" s="8" t="s">
        <v>7305</v>
      </c>
      <c r="C37" s="8" t="s">
        <v>178</v>
      </c>
      <c r="D37" s="8" t="s">
        <v>3435</v>
      </c>
      <c r="E37" s="8"/>
      <c r="F37" s="8" t="s">
        <v>83</v>
      </c>
      <c r="G37" s="8" t="n">
        <v>2</v>
      </c>
      <c r="H37" s="18" t="n">
        <f aca="false">INDEX('All Items'!$Q:$Q,MATCH($A37,'All Items'!$A:$A,0))</f>
        <v>6.1</v>
      </c>
      <c r="I37" s="8" t="s">
        <v>7243</v>
      </c>
    </row>
    <row r="38" customFormat="false" ht="15" hidden="false" customHeight="false" outlineLevel="0" collapsed="false">
      <c r="A38" s="8" t="s">
        <v>7306</v>
      </c>
      <c r="B38" s="8" t="s">
        <v>7307</v>
      </c>
      <c r="C38" s="8" t="s">
        <v>178</v>
      </c>
      <c r="D38" s="8" t="s">
        <v>3547</v>
      </c>
      <c r="E38" s="8"/>
      <c r="F38" s="8" t="s">
        <v>78</v>
      </c>
      <c r="G38" s="8" t="n">
        <v>2</v>
      </c>
      <c r="H38" s="18" t="n">
        <f aca="false">INDEX('All Items'!$Q:$Q,MATCH($A38,'All Items'!$A:$A,0))</f>
        <v>6.1</v>
      </c>
      <c r="I38" s="8" t="s">
        <v>7243</v>
      </c>
    </row>
    <row r="39" customFormat="false" ht="15" hidden="false" customHeight="false" outlineLevel="0" collapsed="false">
      <c r="A39" s="8" t="s">
        <v>7308</v>
      </c>
      <c r="B39" s="8" t="s">
        <v>7309</v>
      </c>
      <c r="C39" s="8" t="s">
        <v>178</v>
      </c>
      <c r="D39" s="8" t="s">
        <v>3547</v>
      </c>
      <c r="E39" s="8"/>
      <c r="F39" s="8" t="s">
        <v>78</v>
      </c>
      <c r="G39" s="8" t="n">
        <v>2</v>
      </c>
      <c r="H39" s="18" t="n">
        <f aca="false">INDEX('All Items'!$Q:$Q,MATCH($A39,'All Items'!$A:$A,0))</f>
        <v>6.1</v>
      </c>
      <c r="I39" s="8" t="s">
        <v>7243</v>
      </c>
    </row>
    <row r="40" customFormat="false" ht="15" hidden="false" customHeight="false" outlineLevel="0" collapsed="false">
      <c r="A40" s="8" t="s">
        <v>7310</v>
      </c>
      <c r="B40" s="8" t="s">
        <v>7311</v>
      </c>
      <c r="C40" s="8" t="s">
        <v>178</v>
      </c>
      <c r="D40" s="8" t="s">
        <v>2788</v>
      </c>
      <c r="E40" s="8"/>
      <c r="F40" s="8" t="s">
        <v>78</v>
      </c>
      <c r="G40" s="8" t="n">
        <v>2</v>
      </c>
      <c r="H40" s="18" t="n">
        <f aca="false">INDEX('All Items'!$Q:$Q,MATCH($A40,'All Items'!$A:$A,0))</f>
        <v>6.1</v>
      </c>
      <c r="I40" s="8" t="s">
        <v>7243</v>
      </c>
    </row>
    <row r="41" customFormat="false" ht="15" hidden="false" customHeight="false" outlineLevel="0" collapsed="false">
      <c r="A41" s="8" t="s">
        <v>7312</v>
      </c>
      <c r="B41" s="8" t="s">
        <v>7313</v>
      </c>
      <c r="C41" s="8" t="s">
        <v>178</v>
      </c>
      <c r="D41" s="8" t="s">
        <v>3653</v>
      </c>
      <c r="E41" s="8"/>
      <c r="F41" s="8" t="s">
        <v>80</v>
      </c>
      <c r="G41" s="8" t="n">
        <v>2</v>
      </c>
      <c r="H41" s="18" t="n">
        <f aca="false">INDEX('All Items'!$Q:$Q,MATCH($A41,'All Items'!$A:$A,0))</f>
        <v>6.1</v>
      </c>
      <c r="I41" s="8" t="s">
        <v>7243</v>
      </c>
    </row>
    <row r="42" customFormat="false" ht="15" hidden="false" customHeight="false" outlineLevel="0" collapsed="false">
      <c r="A42" s="8" t="s">
        <v>7314</v>
      </c>
      <c r="B42" s="8" t="s">
        <v>7315</v>
      </c>
      <c r="C42" s="8" t="s">
        <v>178</v>
      </c>
      <c r="D42" s="8" t="s">
        <v>3653</v>
      </c>
      <c r="E42" s="8"/>
      <c r="F42" s="8" t="s">
        <v>78</v>
      </c>
      <c r="G42" s="8" t="n">
        <v>2</v>
      </c>
      <c r="H42" s="18" t="n">
        <f aca="false">INDEX('All Items'!$Q:$Q,MATCH($A42,'All Items'!$A:$A,0))</f>
        <v>6.1</v>
      </c>
      <c r="I42" s="8" t="s">
        <v>7243</v>
      </c>
    </row>
    <row r="43" customFormat="false" ht="15" hidden="false" customHeight="false" outlineLevel="0" collapsed="false">
      <c r="A43" s="8" t="s">
        <v>7316</v>
      </c>
      <c r="B43" s="8" t="s">
        <v>7317</v>
      </c>
      <c r="C43" s="8" t="s">
        <v>178</v>
      </c>
      <c r="D43" s="8" t="s">
        <v>3739</v>
      </c>
      <c r="E43" s="8"/>
      <c r="F43" s="8" t="s">
        <v>78</v>
      </c>
      <c r="G43" s="8" t="n">
        <v>2</v>
      </c>
      <c r="H43" s="18" t="n">
        <f aca="false">INDEX('All Items'!$Q:$Q,MATCH($A43,'All Items'!$A:$A,0))</f>
        <v>6.1</v>
      </c>
      <c r="I43" s="8" t="s">
        <v>7243</v>
      </c>
    </row>
    <row r="44" customFormat="false" ht="15" hidden="false" customHeight="false" outlineLevel="0" collapsed="false">
      <c r="A44" s="8" t="s">
        <v>7318</v>
      </c>
      <c r="B44" s="8" t="s">
        <v>7319</v>
      </c>
      <c r="C44" s="8" t="s">
        <v>178</v>
      </c>
      <c r="D44" s="8" t="s">
        <v>3763</v>
      </c>
      <c r="E44" s="8"/>
      <c r="F44" s="8" t="s">
        <v>84</v>
      </c>
      <c r="G44" s="8" t="n">
        <v>2</v>
      </c>
      <c r="H44" s="18" t="n">
        <f aca="false">INDEX('All Items'!$Q:$Q,MATCH($A44,'All Items'!$A:$A,0))</f>
        <v>6.1</v>
      </c>
      <c r="I44" s="8" t="s">
        <v>7243</v>
      </c>
    </row>
    <row r="45" customFormat="false" ht="15" hidden="false" customHeight="false" outlineLevel="0" collapsed="false">
      <c r="A45" s="8" t="s">
        <v>7320</v>
      </c>
      <c r="B45" s="8" t="s">
        <v>7321</v>
      </c>
      <c r="C45" s="8" t="s">
        <v>178</v>
      </c>
      <c r="D45" s="8" t="s">
        <v>3828</v>
      </c>
      <c r="E45" s="8"/>
      <c r="F45" s="8" t="s">
        <v>83</v>
      </c>
      <c r="G45" s="8" t="n">
        <v>2</v>
      </c>
      <c r="H45" s="18" t="n">
        <f aca="false">INDEX('All Items'!$Q:$Q,MATCH($A45,'All Items'!$A:$A,0))</f>
        <v>6.1</v>
      </c>
      <c r="I45" s="8" t="s">
        <v>7243</v>
      </c>
    </row>
    <row r="46" customFormat="false" ht="15" hidden="false" customHeight="false" outlineLevel="0" collapsed="false">
      <c r="A46" s="8" t="s">
        <v>7322</v>
      </c>
      <c r="B46" s="8" t="s">
        <v>7323</v>
      </c>
      <c r="C46" s="8" t="s">
        <v>178</v>
      </c>
      <c r="D46" s="8" t="s">
        <v>3828</v>
      </c>
      <c r="E46" s="8"/>
      <c r="F46" s="8" t="s">
        <v>78</v>
      </c>
      <c r="G46" s="8" t="n">
        <v>2</v>
      </c>
      <c r="H46" s="18" t="n">
        <f aca="false">INDEX('All Items'!$Q:$Q,MATCH($A46,'All Items'!$A:$A,0))</f>
        <v>6.1</v>
      </c>
      <c r="I46" s="8" t="s">
        <v>7243</v>
      </c>
    </row>
    <row r="47" customFormat="false" ht="15" hidden="false" customHeight="false" outlineLevel="0" collapsed="false">
      <c r="A47" s="8" t="s">
        <v>7324</v>
      </c>
      <c r="B47" s="8" t="s">
        <v>7325</v>
      </c>
      <c r="C47" s="8" t="s">
        <v>178</v>
      </c>
      <c r="D47" s="8" t="s">
        <v>3828</v>
      </c>
      <c r="E47" s="8"/>
      <c r="F47" s="8" t="s">
        <v>78</v>
      </c>
      <c r="G47" s="8" t="n">
        <v>2</v>
      </c>
      <c r="H47" s="18" t="n">
        <f aca="false">INDEX('All Items'!$Q:$Q,MATCH($A47,'All Items'!$A:$A,0))</f>
        <v>6.1</v>
      </c>
      <c r="I47" s="8" t="s">
        <v>7243</v>
      </c>
    </row>
    <row r="48" customFormat="false" ht="15" hidden="false" customHeight="false" outlineLevel="0" collapsed="false">
      <c r="A48" s="8" t="s">
        <v>7326</v>
      </c>
      <c r="B48" s="8" t="s">
        <v>7327</v>
      </c>
      <c r="C48" s="8" t="s">
        <v>178</v>
      </c>
      <c r="D48" s="8" t="s">
        <v>4081</v>
      </c>
      <c r="E48" s="8"/>
      <c r="F48" s="8" t="s">
        <v>78</v>
      </c>
      <c r="G48" s="8" t="n">
        <v>2</v>
      </c>
      <c r="H48" s="18" t="n">
        <f aca="false">INDEX('All Items'!$Q:$Q,MATCH($A48,'All Items'!$A:$A,0))</f>
        <v>6.1</v>
      </c>
      <c r="I48" s="8" t="s">
        <v>7243</v>
      </c>
    </row>
    <row r="49" customFormat="false" ht="15" hidden="false" customHeight="false" outlineLevel="0" collapsed="false">
      <c r="A49" s="8" t="s">
        <v>7328</v>
      </c>
      <c r="B49" s="8" t="s">
        <v>7329</v>
      </c>
      <c r="C49" s="8" t="s">
        <v>178</v>
      </c>
      <c r="D49" s="8" t="s">
        <v>4081</v>
      </c>
      <c r="E49" s="8"/>
      <c r="F49" s="8" t="s">
        <v>78</v>
      </c>
      <c r="G49" s="8" t="n">
        <v>2</v>
      </c>
      <c r="H49" s="18" t="n">
        <f aca="false">INDEX('All Items'!$Q:$Q,MATCH($A49,'All Items'!$A:$A,0))</f>
        <v>6.1</v>
      </c>
      <c r="I49" s="8" t="s">
        <v>7243</v>
      </c>
    </row>
    <row r="50" customFormat="false" ht="15" hidden="false" customHeight="false" outlineLevel="0" collapsed="false">
      <c r="A50" s="8" t="s">
        <v>7330</v>
      </c>
      <c r="B50" s="8" t="s">
        <v>7331</v>
      </c>
      <c r="C50" s="8" t="s">
        <v>178</v>
      </c>
      <c r="D50" s="8" t="s">
        <v>4296</v>
      </c>
      <c r="E50" s="8"/>
      <c r="F50" s="8" t="s">
        <v>78</v>
      </c>
      <c r="G50" s="8" t="n">
        <v>2</v>
      </c>
      <c r="H50" s="18" t="n">
        <f aca="false">INDEX('All Items'!$Q:$Q,MATCH($A50,'All Items'!$A:$A,0))</f>
        <v>6.1</v>
      </c>
      <c r="I50" s="8" t="s">
        <v>7243</v>
      </c>
    </row>
    <row r="51" customFormat="false" ht="15" hidden="false" customHeight="false" outlineLevel="0" collapsed="false">
      <c r="A51" s="8" t="s">
        <v>7332</v>
      </c>
      <c r="B51" s="8" t="s">
        <v>7333</v>
      </c>
      <c r="C51" s="8" t="s">
        <v>178</v>
      </c>
      <c r="D51" s="8" t="s">
        <v>4325</v>
      </c>
      <c r="E51" s="8"/>
      <c r="F51" s="8" t="s">
        <v>78</v>
      </c>
      <c r="G51" s="8" t="n">
        <v>2</v>
      </c>
      <c r="H51" s="18" t="n">
        <f aca="false">INDEX('All Items'!$Q:$Q,MATCH($A51,'All Items'!$A:$A,0))</f>
        <v>6.1</v>
      </c>
      <c r="I51" s="8" t="s">
        <v>7243</v>
      </c>
    </row>
    <row r="52" customFormat="false" ht="15" hidden="false" customHeight="false" outlineLevel="0" collapsed="false">
      <c r="A52" s="8" t="s">
        <v>7334</v>
      </c>
      <c r="B52" s="8" t="s">
        <v>7335</v>
      </c>
      <c r="C52" s="8" t="s">
        <v>178</v>
      </c>
      <c r="D52" s="8" t="s">
        <v>4325</v>
      </c>
      <c r="E52" s="8"/>
      <c r="F52" s="8" t="s">
        <v>80</v>
      </c>
      <c r="G52" s="8" t="n">
        <v>2</v>
      </c>
      <c r="H52" s="18" t="n">
        <f aca="false">INDEX('All Items'!$Q:$Q,MATCH($A52,'All Items'!$A:$A,0))</f>
        <v>6.1</v>
      </c>
      <c r="I52" s="8" t="s">
        <v>7243</v>
      </c>
    </row>
    <row r="53" customFormat="false" ht="15" hidden="false" customHeight="false" outlineLevel="0" collapsed="false">
      <c r="A53" s="8" t="s">
        <v>7336</v>
      </c>
      <c r="B53" s="8" t="s">
        <v>7337</v>
      </c>
      <c r="C53" s="8" t="s">
        <v>178</v>
      </c>
      <c r="D53" s="8" t="s">
        <v>4448</v>
      </c>
      <c r="E53" s="8"/>
      <c r="F53" s="8" t="s">
        <v>79</v>
      </c>
      <c r="G53" s="8" t="n">
        <v>2</v>
      </c>
      <c r="H53" s="18" t="n">
        <f aca="false">INDEX('All Items'!$Q:$Q,MATCH($A53,'All Items'!$A:$A,0))</f>
        <v>6.1</v>
      </c>
      <c r="I53" s="8" t="s">
        <v>7243</v>
      </c>
    </row>
    <row r="54" customFormat="false" ht="15" hidden="false" customHeight="false" outlineLevel="0" collapsed="false">
      <c r="A54" s="8" t="s">
        <v>7338</v>
      </c>
      <c r="B54" s="8" t="s">
        <v>7339</v>
      </c>
      <c r="C54" s="8" t="s">
        <v>178</v>
      </c>
      <c r="D54" s="8" t="s">
        <v>4448</v>
      </c>
      <c r="E54" s="8"/>
      <c r="F54" s="8" t="s">
        <v>79</v>
      </c>
      <c r="G54" s="8" t="n">
        <v>2</v>
      </c>
      <c r="H54" s="18" t="n">
        <f aca="false">INDEX('All Items'!$Q:$Q,MATCH($A54,'All Items'!$A:$A,0))</f>
        <v>6.1</v>
      </c>
      <c r="I54" s="8" t="s">
        <v>7243</v>
      </c>
    </row>
    <row r="55" customFormat="false" ht="15" hidden="false" customHeight="false" outlineLevel="0" collapsed="false">
      <c r="A55" s="8" t="s">
        <v>7340</v>
      </c>
      <c r="B55" s="8" t="s">
        <v>7341</v>
      </c>
      <c r="C55" s="8" t="s">
        <v>178</v>
      </c>
      <c r="D55" s="8" t="s">
        <v>4574</v>
      </c>
      <c r="E55" s="8"/>
      <c r="F55" s="8" t="s">
        <v>86</v>
      </c>
      <c r="G55" s="8" t="n">
        <v>2</v>
      </c>
      <c r="H55" s="18" t="n">
        <f aca="false">INDEX('All Items'!$Q:$Q,MATCH($A55,'All Items'!$A:$A,0))</f>
        <v>6.1</v>
      </c>
      <c r="I55" s="8" t="s">
        <v>7243</v>
      </c>
    </row>
    <row r="56" customFormat="false" ht="15" hidden="false" customHeight="false" outlineLevel="0" collapsed="false">
      <c r="A56" s="8" t="s">
        <v>7342</v>
      </c>
      <c r="B56" s="8" t="s">
        <v>7343</v>
      </c>
      <c r="C56" s="8" t="s">
        <v>178</v>
      </c>
      <c r="D56" s="8" t="s">
        <v>4583</v>
      </c>
      <c r="E56" s="8"/>
      <c r="F56" s="8" t="s">
        <v>78</v>
      </c>
      <c r="G56" s="8" t="n">
        <v>2</v>
      </c>
      <c r="H56" s="18" t="n">
        <f aca="false">INDEX('All Items'!$Q:$Q,MATCH($A56,'All Items'!$A:$A,0))</f>
        <v>6.1</v>
      </c>
      <c r="I56" s="8" t="s">
        <v>7243</v>
      </c>
    </row>
    <row r="57" customFormat="false" ht="15" hidden="false" customHeight="false" outlineLevel="0" collapsed="false">
      <c r="A57" s="8" t="s">
        <v>7344</v>
      </c>
      <c r="B57" s="8" t="s">
        <v>7345</v>
      </c>
      <c r="C57" s="8" t="s">
        <v>178</v>
      </c>
      <c r="D57" s="8" t="s">
        <v>4613</v>
      </c>
      <c r="E57" s="8"/>
      <c r="F57" s="8" t="s">
        <v>80</v>
      </c>
      <c r="G57" s="8" t="n">
        <v>2</v>
      </c>
      <c r="H57" s="18" t="n">
        <f aca="false">INDEX('All Items'!$Q:$Q,MATCH($A57,'All Items'!$A:$A,0))</f>
        <v>6.1</v>
      </c>
      <c r="I57" s="8" t="s">
        <v>7243</v>
      </c>
    </row>
    <row r="58" customFormat="false" ht="15" hidden="false" customHeight="false" outlineLevel="0" collapsed="false">
      <c r="A58" s="8" t="s">
        <v>7346</v>
      </c>
      <c r="B58" s="8" t="s">
        <v>7347</v>
      </c>
      <c r="C58" s="8" t="s">
        <v>178</v>
      </c>
      <c r="D58" s="8" t="s">
        <v>4701</v>
      </c>
      <c r="E58" s="8"/>
      <c r="F58" s="8" t="s">
        <v>79</v>
      </c>
      <c r="G58" s="8" t="n">
        <v>2</v>
      </c>
      <c r="H58" s="18" t="n">
        <f aca="false">INDEX('All Items'!$Q:$Q,MATCH($A58,'All Items'!$A:$A,0))</f>
        <v>6.1</v>
      </c>
      <c r="I58" s="8" t="s">
        <v>7243</v>
      </c>
    </row>
    <row r="59" customFormat="false" ht="15" hidden="false" customHeight="false" outlineLevel="0" collapsed="false">
      <c r="A59" s="8" t="s">
        <v>7348</v>
      </c>
      <c r="B59" s="8" t="s">
        <v>7349</v>
      </c>
      <c r="C59" s="8" t="s">
        <v>178</v>
      </c>
      <c r="D59" s="8" t="s">
        <v>4768</v>
      </c>
      <c r="E59" s="8"/>
      <c r="F59" s="8" t="s">
        <v>81</v>
      </c>
      <c r="G59" s="8" t="n">
        <v>2</v>
      </c>
      <c r="H59" s="18" t="n">
        <f aca="false">INDEX('All Items'!$Q:$Q,MATCH($A59,'All Items'!$A:$A,0))</f>
        <v>6.1</v>
      </c>
      <c r="I59" s="8" t="s">
        <v>7243</v>
      </c>
    </row>
    <row r="60" customFormat="false" ht="15" hidden="false" customHeight="false" outlineLevel="0" collapsed="false">
      <c r="A60" s="8" t="s">
        <v>7350</v>
      </c>
      <c r="B60" s="8" t="s">
        <v>7351</v>
      </c>
      <c r="C60" s="8" t="s">
        <v>178</v>
      </c>
      <c r="D60" s="8" t="s">
        <v>4833</v>
      </c>
      <c r="E60" s="8"/>
      <c r="F60" s="8" t="s">
        <v>83</v>
      </c>
      <c r="G60" s="8" t="n">
        <v>2</v>
      </c>
      <c r="H60" s="18" t="n">
        <f aca="false">INDEX('All Items'!$Q:$Q,MATCH($A60,'All Items'!$A:$A,0))</f>
        <v>6.1</v>
      </c>
      <c r="I60" s="8" t="s">
        <v>7243</v>
      </c>
    </row>
    <row r="61" customFormat="false" ht="15" hidden="false" customHeight="false" outlineLevel="0" collapsed="false">
      <c r="A61" s="8" t="s">
        <v>7352</v>
      </c>
      <c r="B61" s="8" t="s">
        <v>7353</v>
      </c>
      <c r="C61" s="8" t="s">
        <v>178</v>
      </c>
      <c r="D61" s="8" t="s">
        <v>7354</v>
      </c>
      <c r="E61" s="8"/>
      <c r="F61" s="8" t="s">
        <v>78</v>
      </c>
      <c r="G61" s="8" t="n">
        <v>2</v>
      </c>
      <c r="H61" s="18" t="n">
        <f aca="false">INDEX('All Items'!$Q:$Q,MATCH($A61,'All Items'!$A:$A,0))</f>
        <v>6.1</v>
      </c>
      <c r="I61" s="8" t="s">
        <v>7243</v>
      </c>
    </row>
    <row r="62" customFormat="false" ht="15" hidden="false" customHeight="false" outlineLevel="0" collapsed="false">
      <c r="A62" s="8" t="s">
        <v>7355</v>
      </c>
      <c r="B62" s="8" t="s">
        <v>7356</v>
      </c>
      <c r="C62" s="8" t="s">
        <v>178</v>
      </c>
      <c r="D62" s="8" t="s">
        <v>7354</v>
      </c>
      <c r="E62" s="8"/>
      <c r="F62" s="8" t="s">
        <v>81</v>
      </c>
      <c r="G62" s="8" t="n">
        <v>2</v>
      </c>
      <c r="H62" s="18" t="n">
        <f aca="false">INDEX('All Items'!$Q:$Q,MATCH($A62,'All Items'!$A:$A,0))</f>
        <v>6.1</v>
      </c>
      <c r="I62" s="8" t="s">
        <v>7243</v>
      </c>
    </row>
    <row r="63" customFormat="false" ht="15" hidden="false" customHeight="false" outlineLevel="0" collapsed="false">
      <c r="A63" s="8" t="s">
        <v>7357</v>
      </c>
      <c r="B63" s="8" t="s">
        <v>7358</v>
      </c>
      <c r="C63" s="8" t="s">
        <v>178</v>
      </c>
      <c r="D63" s="8" t="s">
        <v>7359</v>
      </c>
      <c r="E63" s="8"/>
      <c r="F63" s="8" t="s">
        <v>78</v>
      </c>
      <c r="G63" s="8" t="n">
        <v>2</v>
      </c>
      <c r="H63" s="18" t="n">
        <f aca="false">INDEX('All Items'!$Q:$Q,MATCH($A63,'All Items'!$A:$A,0))</f>
        <v>6.1</v>
      </c>
      <c r="I63" s="8" t="s">
        <v>7243</v>
      </c>
    </row>
    <row r="64" customFormat="false" ht="15" hidden="false" customHeight="false" outlineLevel="0" collapsed="false">
      <c r="A64" s="8" t="s">
        <v>7360</v>
      </c>
      <c r="B64" s="8" t="s">
        <v>7361</v>
      </c>
      <c r="C64" s="8" t="s">
        <v>178</v>
      </c>
      <c r="D64" s="8" t="s">
        <v>4923</v>
      </c>
      <c r="E64" s="8"/>
      <c r="F64" s="8" t="s">
        <v>78</v>
      </c>
      <c r="G64" s="8" t="n">
        <v>2</v>
      </c>
      <c r="H64" s="18" t="n">
        <f aca="false">INDEX('All Items'!$Q:$Q,MATCH($A64,'All Items'!$A:$A,0))</f>
        <v>6.1</v>
      </c>
      <c r="I64" s="8" t="s">
        <v>7243</v>
      </c>
    </row>
    <row r="65" customFormat="false" ht="15" hidden="false" customHeight="false" outlineLevel="0" collapsed="false">
      <c r="A65" s="8" t="s">
        <v>7362</v>
      </c>
      <c r="B65" s="8" t="s">
        <v>7363</v>
      </c>
      <c r="C65" s="8" t="s">
        <v>178</v>
      </c>
      <c r="D65" s="8" t="s">
        <v>4987</v>
      </c>
      <c r="E65" s="8"/>
      <c r="F65" s="8" t="s">
        <v>78</v>
      </c>
      <c r="G65" s="8" t="n">
        <v>2</v>
      </c>
      <c r="H65" s="18" t="n">
        <f aca="false">INDEX('All Items'!$Q:$Q,MATCH($A65,'All Items'!$A:$A,0))</f>
        <v>6.1</v>
      </c>
      <c r="I65" s="8" t="s">
        <v>7243</v>
      </c>
    </row>
    <row r="66" customFormat="false" ht="15" hidden="false" customHeight="false" outlineLevel="0" collapsed="false">
      <c r="A66" s="8" t="s">
        <v>7364</v>
      </c>
      <c r="B66" s="8" t="s">
        <v>7365</v>
      </c>
      <c r="C66" s="8" t="s">
        <v>178</v>
      </c>
      <c r="D66" s="8" t="s">
        <v>4987</v>
      </c>
      <c r="E66" s="8"/>
      <c r="F66" s="8" t="s">
        <v>79</v>
      </c>
      <c r="G66" s="8" t="n">
        <v>2</v>
      </c>
      <c r="H66" s="18" t="n">
        <f aca="false">INDEX('All Items'!$Q:$Q,MATCH($A66,'All Items'!$A:$A,0))</f>
        <v>6.1</v>
      </c>
      <c r="I66" s="8" t="s">
        <v>7243</v>
      </c>
    </row>
    <row r="67" customFormat="false" ht="15" hidden="false" customHeight="false" outlineLevel="0" collapsed="false">
      <c r="A67" s="8" t="s">
        <v>7366</v>
      </c>
      <c r="B67" s="8" t="s">
        <v>7367</v>
      </c>
      <c r="C67" s="8" t="s">
        <v>178</v>
      </c>
      <c r="D67" s="8" t="s">
        <v>5046</v>
      </c>
      <c r="E67" s="8"/>
      <c r="F67" s="8" t="s">
        <v>89</v>
      </c>
      <c r="G67" s="8" t="n">
        <v>2</v>
      </c>
      <c r="H67" s="18" t="n">
        <f aca="false">INDEX('All Items'!$Q:$Q,MATCH($A67,'All Items'!$A:$A,0))</f>
        <v>6.1</v>
      </c>
      <c r="I67" s="8" t="s">
        <v>7243</v>
      </c>
    </row>
    <row r="68" customFormat="false" ht="15" hidden="false" customHeight="false" outlineLevel="0" collapsed="false">
      <c r="A68" s="8" t="s">
        <v>7368</v>
      </c>
      <c r="B68" s="8" t="s">
        <v>7369</v>
      </c>
      <c r="C68" s="8" t="s">
        <v>178</v>
      </c>
      <c r="D68" s="8" t="s">
        <v>5046</v>
      </c>
      <c r="E68" s="8"/>
      <c r="F68" s="8" t="s">
        <v>80</v>
      </c>
      <c r="G68" s="8" t="n">
        <v>2</v>
      </c>
      <c r="H68" s="18" t="n">
        <f aca="false">INDEX('All Items'!$Q:$Q,MATCH($A68,'All Items'!$A:$A,0))</f>
        <v>6.1</v>
      </c>
      <c r="I68" s="8" t="s">
        <v>7243</v>
      </c>
    </row>
    <row r="69" customFormat="false" ht="15" hidden="false" customHeight="false" outlineLevel="0" collapsed="false">
      <c r="A69" s="8" t="s">
        <v>7370</v>
      </c>
      <c r="B69" s="8" t="s">
        <v>7371</v>
      </c>
      <c r="C69" s="8" t="s">
        <v>178</v>
      </c>
      <c r="D69" s="8" t="s">
        <v>5255</v>
      </c>
      <c r="E69" s="8"/>
      <c r="F69" s="8" t="s">
        <v>80</v>
      </c>
      <c r="G69" s="8" t="n">
        <v>2</v>
      </c>
      <c r="H69" s="18" t="n">
        <f aca="false">INDEX('All Items'!$Q:$Q,MATCH($A69,'All Items'!$A:$A,0))</f>
        <v>6.1</v>
      </c>
      <c r="I69" s="8" t="s">
        <v>7243</v>
      </c>
    </row>
    <row r="70" customFormat="false" ht="15" hidden="false" customHeight="false" outlineLevel="0" collapsed="false">
      <c r="A70" s="8" t="s">
        <v>7372</v>
      </c>
      <c r="B70" s="8" t="s">
        <v>7373</v>
      </c>
      <c r="C70" s="8" t="s">
        <v>178</v>
      </c>
      <c r="D70" s="8" t="s">
        <v>5255</v>
      </c>
      <c r="E70" s="8"/>
      <c r="F70" s="8" t="s">
        <v>78</v>
      </c>
      <c r="G70" s="8" t="n">
        <v>2</v>
      </c>
      <c r="H70" s="18" t="n">
        <f aca="false">INDEX('All Items'!$Q:$Q,MATCH($A70,'All Items'!$A:$A,0))</f>
        <v>6.1</v>
      </c>
      <c r="I70" s="8" t="s">
        <v>7243</v>
      </c>
    </row>
    <row r="71" customFormat="false" ht="15" hidden="false" customHeight="false" outlineLevel="0" collapsed="false">
      <c r="A71" s="8" t="s">
        <v>7374</v>
      </c>
      <c r="B71" s="8" t="s">
        <v>7375</v>
      </c>
      <c r="C71" s="8" t="s">
        <v>178</v>
      </c>
      <c r="D71" s="8" t="s">
        <v>5255</v>
      </c>
      <c r="E71" s="8"/>
      <c r="F71" s="8" t="s">
        <v>87</v>
      </c>
      <c r="G71" s="8" t="n">
        <v>2</v>
      </c>
      <c r="H71" s="18" t="n">
        <f aca="false">INDEX('All Items'!$Q:$Q,MATCH($A71,'All Items'!$A:$A,0))</f>
        <v>6.1</v>
      </c>
      <c r="I71" s="8" t="s">
        <v>7243</v>
      </c>
    </row>
    <row r="72" customFormat="false" ht="15" hidden="false" customHeight="false" outlineLevel="0" collapsed="false">
      <c r="A72" s="8" t="s">
        <v>7376</v>
      </c>
      <c r="B72" s="8" t="s">
        <v>7377</v>
      </c>
      <c r="C72" s="8" t="s">
        <v>178</v>
      </c>
      <c r="D72" s="8" t="s">
        <v>5207</v>
      </c>
      <c r="E72" s="8"/>
      <c r="F72" s="8" t="s">
        <v>78</v>
      </c>
      <c r="G72" s="8" t="n">
        <v>2</v>
      </c>
      <c r="H72" s="18" t="n">
        <f aca="false">INDEX('All Items'!$Q:$Q,MATCH($A72,'All Items'!$A:$A,0))</f>
        <v>6.1</v>
      </c>
      <c r="I72" s="8" t="s">
        <v>7243</v>
      </c>
    </row>
    <row r="73" customFormat="false" ht="15" hidden="false" customHeight="false" outlineLevel="0" collapsed="false">
      <c r="A73" s="8" t="s">
        <v>7378</v>
      </c>
      <c r="B73" s="8" t="s">
        <v>7379</v>
      </c>
      <c r="C73" s="8" t="s">
        <v>178</v>
      </c>
      <c r="D73" s="8" t="s">
        <v>7380</v>
      </c>
      <c r="E73" s="8"/>
      <c r="F73" s="8" t="s">
        <v>78</v>
      </c>
      <c r="G73" s="8" t="n">
        <v>2</v>
      </c>
      <c r="H73" s="18" t="n">
        <f aca="false">INDEX('All Items'!$Q:$Q,MATCH($A73,'All Items'!$A:$A,0))</f>
        <v>6.1</v>
      </c>
      <c r="I73" s="8" t="s">
        <v>7243</v>
      </c>
    </row>
    <row r="74" customFormat="false" ht="15" hidden="false" customHeight="false" outlineLevel="0" collapsed="false">
      <c r="A74" s="8" t="s">
        <v>7381</v>
      </c>
      <c r="B74" s="8" t="s">
        <v>7382</v>
      </c>
      <c r="C74" s="8" t="s">
        <v>178</v>
      </c>
      <c r="D74" s="8" t="s">
        <v>5405</v>
      </c>
      <c r="E74" s="8"/>
      <c r="F74" s="8" t="s">
        <v>79</v>
      </c>
      <c r="G74" s="8" t="n">
        <v>2</v>
      </c>
      <c r="H74" s="18" t="n">
        <f aca="false">INDEX('All Items'!$Q:$Q,MATCH($A74,'All Items'!$A:$A,0))</f>
        <v>6.1</v>
      </c>
      <c r="I74" s="8" t="s">
        <v>7243</v>
      </c>
    </row>
    <row r="75" customFormat="false" ht="15" hidden="false" customHeight="false" outlineLevel="0" collapsed="false">
      <c r="A75" s="8" t="s">
        <v>7383</v>
      </c>
      <c r="B75" s="8" t="s">
        <v>7384</v>
      </c>
      <c r="C75" s="8" t="s">
        <v>178</v>
      </c>
      <c r="D75" s="8" t="s">
        <v>5446</v>
      </c>
      <c r="E75" s="8"/>
      <c r="F75" s="8" t="s">
        <v>78</v>
      </c>
      <c r="G75" s="8" t="n">
        <v>2</v>
      </c>
      <c r="H75" s="18" t="n">
        <f aca="false">INDEX('All Items'!$Q:$Q,MATCH($A75,'All Items'!$A:$A,0))</f>
        <v>6.1</v>
      </c>
      <c r="I75" s="8" t="s">
        <v>7243</v>
      </c>
    </row>
    <row r="76" customFormat="false" ht="15" hidden="false" customHeight="false" outlineLevel="0" collapsed="false">
      <c r="A76" s="8" t="s">
        <v>7385</v>
      </c>
      <c r="B76" s="8" t="s">
        <v>7386</v>
      </c>
      <c r="C76" s="8" t="s">
        <v>178</v>
      </c>
      <c r="D76" s="8" t="s">
        <v>5446</v>
      </c>
      <c r="E76" s="8"/>
      <c r="F76" s="8" t="s">
        <v>79</v>
      </c>
      <c r="G76" s="8" t="n">
        <v>2</v>
      </c>
      <c r="H76" s="18" t="n">
        <f aca="false">INDEX('All Items'!$Q:$Q,MATCH($A76,'All Items'!$A:$A,0))</f>
        <v>6.1</v>
      </c>
      <c r="I76" s="8" t="s">
        <v>7243</v>
      </c>
    </row>
    <row r="77" customFormat="false" ht="15" hidden="false" customHeight="false" outlineLevel="0" collapsed="false">
      <c r="A77" s="8" t="s">
        <v>7387</v>
      </c>
      <c r="B77" s="8" t="s">
        <v>7388</v>
      </c>
      <c r="C77" s="8" t="s">
        <v>178</v>
      </c>
      <c r="D77" s="8" t="s">
        <v>5478</v>
      </c>
      <c r="E77" s="8"/>
      <c r="F77" s="8" t="s">
        <v>81</v>
      </c>
      <c r="G77" s="8" t="n">
        <v>2</v>
      </c>
      <c r="H77" s="18" t="n">
        <f aca="false">INDEX('All Items'!$Q:$Q,MATCH($A77,'All Items'!$A:$A,0))</f>
        <v>6.1</v>
      </c>
      <c r="I77" s="8" t="s">
        <v>7243</v>
      </c>
    </row>
    <row r="78" customFormat="false" ht="15" hidden="false" customHeight="false" outlineLevel="0" collapsed="false">
      <c r="A78" s="8" t="s">
        <v>7389</v>
      </c>
      <c r="B78" s="8" t="s">
        <v>7390</v>
      </c>
      <c r="C78" s="8" t="s">
        <v>178</v>
      </c>
      <c r="D78" s="8" t="s">
        <v>5598</v>
      </c>
      <c r="E78" s="8"/>
      <c r="F78" s="8" t="s">
        <v>83</v>
      </c>
      <c r="G78" s="8" t="n">
        <v>2</v>
      </c>
      <c r="H78" s="18" t="n">
        <f aca="false">INDEX('All Items'!$Q:$Q,MATCH($A78,'All Items'!$A:$A,0))</f>
        <v>6.1</v>
      </c>
      <c r="I78" s="8" t="s">
        <v>7243</v>
      </c>
    </row>
    <row r="79" customFormat="false" ht="15" hidden="false" customHeight="false" outlineLevel="0" collapsed="false">
      <c r="A79" s="8" t="s">
        <v>7391</v>
      </c>
      <c r="B79" s="8" t="s">
        <v>7392</v>
      </c>
      <c r="C79" s="8" t="s">
        <v>178</v>
      </c>
      <c r="D79" s="8" t="s">
        <v>7393</v>
      </c>
      <c r="E79" s="8"/>
      <c r="F79" s="8" t="s">
        <v>78</v>
      </c>
      <c r="G79" s="8" t="n">
        <v>2</v>
      </c>
      <c r="H79" s="18" t="n">
        <f aca="false">INDEX('All Items'!$Q:$Q,MATCH($A79,'All Items'!$A:$A,0))</f>
        <v>6.1</v>
      </c>
      <c r="I79" s="8" t="s">
        <v>7243</v>
      </c>
    </row>
    <row r="80" customFormat="false" ht="15" hidden="false" customHeight="false" outlineLevel="0" collapsed="false">
      <c r="A80" s="8" t="s">
        <v>7394</v>
      </c>
      <c r="B80" s="8" t="s">
        <v>7395</v>
      </c>
      <c r="C80" s="8" t="s">
        <v>178</v>
      </c>
      <c r="D80" s="8" t="s">
        <v>7396</v>
      </c>
      <c r="E80" s="8"/>
      <c r="F80" s="8" t="s">
        <v>79</v>
      </c>
      <c r="G80" s="8" t="n">
        <v>2</v>
      </c>
      <c r="H80" s="18" t="n">
        <f aca="false">INDEX('All Items'!$Q:$Q,MATCH($A80,'All Items'!$A:$A,0))</f>
        <v>6.1</v>
      </c>
      <c r="I80" s="8" t="s">
        <v>7243</v>
      </c>
    </row>
    <row r="81" customFormat="false" ht="15" hidden="false" customHeight="false" outlineLevel="0" collapsed="false">
      <c r="A81" s="8" t="s">
        <v>7397</v>
      </c>
      <c r="B81" s="8" t="s">
        <v>7398</v>
      </c>
      <c r="C81" s="8" t="s">
        <v>178</v>
      </c>
      <c r="D81" s="8" t="s">
        <v>7399</v>
      </c>
      <c r="E81" s="8"/>
      <c r="F81" s="8" t="s">
        <v>78</v>
      </c>
      <c r="G81" s="8" t="n">
        <v>2</v>
      </c>
      <c r="H81" s="18" t="n">
        <f aca="false">INDEX('All Items'!$Q:$Q,MATCH($A81,'All Items'!$A:$A,0))</f>
        <v>6.1</v>
      </c>
      <c r="I81" s="8" t="s">
        <v>7243</v>
      </c>
    </row>
    <row r="82" customFormat="false" ht="15" hidden="false" customHeight="false" outlineLevel="0" collapsed="false">
      <c r="A82" s="8" t="s">
        <v>7400</v>
      </c>
      <c r="B82" s="8" t="s">
        <v>7401</v>
      </c>
      <c r="C82" s="8" t="s">
        <v>178</v>
      </c>
      <c r="D82" s="8" t="s">
        <v>5687</v>
      </c>
      <c r="E82" s="8"/>
      <c r="F82" s="8" t="s">
        <v>81</v>
      </c>
      <c r="G82" s="8" t="n">
        <v>2</v>
      </c>
      <c r="H82" s="18" t="n">
        <f aca="false">INDEX('All Items'!$Q:$Q,MATCH($A82,'All Items'!$A:$A,0))</f>
        <v>6.1</v>
      </c>
      <c r="I82" s="8" t="s">
        <v>7243</v>
      </c>
    </row>
    <row r="83" customFormat="false" ht="15" hidden="false" customHeight="false" outlineLevel="0" collapsed="false">
      <c r="A83" s="8" t="s">
        <v>7402</v>
      </c>
      <c r="B83" s="8" t="s">
        <v>7403</v>
      </c>
      <c r="C83" s="8" t="s">
        <v>178</v>
      </c>
      <c r="D83" s="8" t="s">
        <v>7404</v>
      </c>
      <c r="E83" s="8"/>
      <c r="F83" s="8" t="s">
        <v>80</v>
      </c>
      <c r="G83" s="8" t="n">
        <v>2</v>
      </c>
      <c r="H83" s="18" t="n">
        <f aca="false">INDEX('All Items'!$Q:$Q,MATCH($A83,'All Items'!$A:$A,0))</f>
        <v>6.1</v>
      </c>
      <c r="I83" s="8" t="s">
        <v>7243</v>
      </c>
    </row>
    <row r="84" customFormat="false" ht="15" hidden="false" customHeight="false" outlineLevel="0" collapsed="false">
      <c r="A84" s="8" t="s">
        <v>7405</v>
      </c>
      <c r="B84" s="8" t="s">
        <v>7406</v>
      </c>
      <c r="C84" s="8" t="s">
        <v>178</v>
      </c>
      <c r="D84" s="8" t="s">
        <v>5736</v>
      </c>
      <c r="E84" s="8"/>
      <c r="F84" s="8" t="s">
        <v>78</v>
      </c>
      <c r="G84" s="8" t="n">
        <v>2</v>
      </c>
      <c r="H84" s="18" t="n">
        <f aca="false">INDEX('All Items'!$Q:$Q,MATCH($A84,'All Items'!$A:$A,0))</f>
        <v>6.1</v>
      </c>
      <c r="I84" s="8" t="s">
        <v>7243</v>
      </c>
    </row>
    <row r="85" customFormat="false" ht="15" hidden="false" customHeight="false" outlineLevel="0" collapsed="false">
      <c r="A85" s="8" t="s">
        <v>7407</v>
      </c>
      <c r="B85" s="8" t="s">
        <v>7408</v>
      </c>
      <c r="C85" s="8" t="s">
        <v>178</v>
      </c>
      <c r="D85" s="8" t="s">
        <v>5747</v>
      </c>
      <c r="E85" s="8"/>
      <c r="F85" s="8" t="s">
        <v>78</v>
      </c>
      <c r="G85" s="8" t="n">
        <v>2</v>
      </c>
      <c r="H85" s="18" t="n">
        <f aca="false">INDEX('All Items'!$Q:$Q,MATCH($A85,'All Items'!$A:$A,0))</f>
        <v>6.1</v>
      </c>
      <c r="I85" s="8" t="s">
        <v>7243</v>
      </c>
    </row>
    <row r="86" customFormat="false" ht="15" hidden="false" customHeight="false" outlineLevel="0" collapsed="false">
      <c r="A86" s="8" t="s">
        <v>7409</v>
      </c>
      <c r="B86" s="8" t="s">
        <v>7410</v>
      </c>
      <c r="C86" s="8" t="s">
        <v>178</v>
      </c>
      <c r="D86" s="8" t="s">
        <v>5747</v>
      </c>
      <c r="E86" s="8"/>
      <c r="F86" s="8" t="s">
        <v>83</v>
      </c>
      <c r="G86" s="8" t="n">
        <v>2</v>
      </c>
      <c r="H86" s="18" t="n">
        <f aca="false">INDEX('All Items'!$Q:$Q,MATCH($A86,'All Items'!$A:$A,0))</f>
        <v>6.1</v>
      </c>
      <c r="I86" s="8" t="s">
        <v>7243</v>
      </c>
    </row>
    <row r="87" customFormat="false" ht="15" hidden="false" customHeight="false" outlineLevel="0" collapsed="false">
      <c r="A87" s="8" t="s">
        <v>7411</v>
      </c>
      <c r="B87" s="8" t="s">
        <v>7412</v>
      </c>
      <c r="C87" s="8" t="s">
        <v>178</v>
      </c>
      <c r="D87" s="8" t="s">
        <v>5621</v>
      </c>
      <c r="E87" s="8"/>
      <c r="F87" s="8" t="s">
        <v>80</v>
      </c>
      <c r="G87" s="8" t="n">
        <v>2</v>
      </c>
      <c r="H87" s="18" t="n">
        <f aca="false">INDEX('All Items'!$Q:$Q,MATCH($A87,'All Items'!$A:$A,0))</f>
        <v>6.1</v>
      </c>
      <c r="I87" s="8" t="s">
        <v>7243</v>
      </c>
    </row>
    <row r="88" customFormat="false" ht="15" hidden="false" customHeight="false" outlineLevel="0" collapsed="false">
      <c r="A88" s="8" t="s">
        <v>7413</v>
      </c>
      <c r="B88" s="8" t="s">
        <v>7414</v>
      </c>
      <c r="C88" s="8" t="s">
        <v>178</v>
      </c>
      <c r="D88" s="8" t="s">
        <v>5783</v>
      </c>
      <c r="E88" s="8"/>
      <c r="F88" s="8" t="s">
        <v>87</v>
      </c>
      <c r="G88" s="8" t="n">
        <v>2</v>
      </c>
      <c r="H88" s="18" t="n">
        <f aca="false">INDEX('All Items'!$Q:$Q,MATCH($A88,'All Items'!$A:$A,0))</f>
        <v>6.1</v>
      </c>
      <c r="I88" s="8" t="s">
        <v>7243</v>
      </c>
    </row>
    <row r="89" customFormat="false" ht="15" hidden="false" customHeight="false" outlineLevel="0" collapsed="false">
      <c r="A89" s="8" t="s">
        <v>7415</v>
      </c>
      <c r="B89" s="8" t="s">
        <v>7416</v>
      </c>
      <c r="C89" s="8" t="s">
        <v>178</v>
      </c>
      <c r="D89" s="8" t="s">
        <v>7417</v>
      </c>
      <c r="E89" s="8"/>
      <c r="F89" s="8" t="s">
        <v>79</v>
      </c>
      <c r="G89" s="8" t="n">
        <v>2</v>
      </c>
      <c r="H89" s="18" t="n">
        <f aca="false">INDEX('All Items'!$Q:$Q,MATCH($A89,'All Items'!$A:$A,0))</f>
        <v>6.1</v>
      </c>
      <c r="I89" s="8" t="s">
        <v>7243</v>
      </c>
    </row>
    <row r="90" customFormat="false" ht="15" hidden="false" customHeight="false" outlineLevel="0" collapsed="false">
      <c r="A90" s="8" t="s">
        <v>7418</v>
      </c>
      <c r="B90" s="8" t="s">
        <v>7419</v>
      </c>
      <c r="C90" s="8" t="s">
        <v>178</v>
      </c>
      <c r="D90" s="8" t="s">
        <v>5862</v>
      </c>
      <c r="E90" s="8"/>
      <c r="F90" s="8" t="s">
        <v>78</v>
      </c>
      <c r="G90" s="8" t="n">
        <v>2</v>
      </c>
      <c r="H90" s="18" t="n">
        <f aca="false">INDEX('All Items'!$Q:$Q,MATCH($A90,'All Items'!$A:$A,0))</f>
        <v>6.1</v>
      </c>
      <c r="I90" s="8" t="s">
        <v>7243</v>
      </c>
    </row>
    <row r="91" customFormat="false" ht="15" hidden="false" customHeight="false" outlineLevel="0" collapsed="false">
      <c r="A91" s="8" t="s">
        <v>7420</v>
      </c>
      <c r="B91" s="8" t="s">
        <v>7421</v>
      </c>
      <c r="C91" s="8" t="s">
        <v>178</v>
      </c>
      <c r="D91" s="8" t="s">
        <v>5862</v>
      </c>
      <c r="E91" s="8"/>
      <c r="F91" s="8" t="s">
        <v>78</v>
      </c>
      <c r="G91" s="8" t="n">
        <v>2</v>
      </c>
      <c r="H91" s="18" t="n">
        <f aca="false">INDEX('All Items'!$Q:$Q,MATCH($A91,'All Items'!$A:$A,0))</f>
        <v>6.1</v>
      </c>
      <c r="I91" s="8" t="s">
        <v>7243</v>
      </c>
    </row>
    <row r="92" customFormat="false" ht="15" hidden="false" customHeight="false" outlineLevel="0" collapsed="false">
      <c r="A92" s="8" t="s">
        <v>7422</v>
      </c>
      <c r="B92" s="8" t="s">
        <v>7423</v>
      </c>
      <c r="C92" s="8" t="s">
        <v>178</v>
      </c>
      <c r="D92" s="8" t="s">
        <v>5872</v>
      </c>
      <c r="E92" s="8"/>
      <c r="F92" s="8" t="s">
        <v>78</v>
      </c>
      <c r="G92" s="8" t="n">
        <v>2</v>
      </c>
      <c r="H92" s="18" t="n">
        <f aca="false">INDEX('All Items'!$Q:$Q,MATCH($A92,'All Items'!$A:$A,0))</f>
        <v>6.1</v>
      </c>
      <c r="I92" s="8" t="s">
        <v>7243</v>
      </c>
    </row>
    <row r="93" customFormat="false" ht="15" hidden="false" customHeight="false" outlineLevel="0" collapsed="false">
      <c r="A93" s="8" t="s">
        <v>7424</v>
      </c>
      <c r="B93" s="8" t="s">
        <v>7425</v>
      </c>
      <c r="C93" s="8" t="s">
        <v>178</v>
      </c>
      <c r="D93" s="8" t="s">
        <v>5926</v>
      </c>
      <c r="E93" s="8"/>
      <c r="F93" s="8" t="s">
        <v>78</v>
      </c>
      <c r="G93" s="8" t="n">
        <v>2</v>
      </c>
      <c r="H93" s="18" t="n">
        <f aca="false">INDEX('All Items'!$Q:$Q,MATCH($A93,'All Items'!$A:$A,0))</f>
        <v>6.1</v>
      </c>
      <c r="I93" s="8" t="s">
        <v>7243</v>
      </c>
    </row>
    <row r="94" customFormat="false" ht="15" hidden="false" customHeight="false" outlineLevel="0" collapsed="false">
      <c r="A94" s="8" t="s">
        <v>7426</v>
      </c>
      <c r="B94" s="8" t="s">
        <v>7427</v>
      </c>
      <c r="C94" s="8" t="s">
        <v>178</v>
      </c>
      <c r="D94" s="8" t="s">
        <v>5046</v>
      </c>
      <c r="E94" s="8"/>
      <c r="F94" s="8" t="s">
        <v>78</v>
      </c>
      <c r="G94" s="8" t="n">
        <v>2</v>
      </c>
      <c r="H94" s="18" t="n">
        <f aca="false">INDEX('All Items'!$Q:$Q,MATCH($A94,'All Items'!$A:$A,0))</f>
        <v>6.1</v>
      </c>
      <c r="I94" s="8" t="s">
        <v>7243</v>
      </c>
    </row>
    <row r="95" customFormat="false" ht="15" hidden="false" customHeight="false" outlineLevel="0" collapsed="false">
      <c r="A95" s="8" t="s">
        <v>7428</v>
      </c>
      <c r="B95" s="8" t="s">
        <v>7429</v>
      </c>
      <c r="C95" s="8" t="s">
        <v>178</v>
      </c>
      <c r="D95" s="8" t="s">
        <v>5046</v>
      </c>
      <c r="E95" s="8"/>
      <c r="F95" s="8" t="s">
        <v>79</v>
      </c>
      <c r="G95" s="8" t="n">
        <v>2</v>
      </c>
      <c r="H95" s="18" t="n">
        <f aca="false">INDEX('All Items'!$Q:$Q,MATCH($A95,'All Items'!$A:$A,0))</f>
        <v>6.1</v>
      </c>
      <c r="I95" s="8" t="s">
        <v>7243</v>
      </c>
    </row>
    <row r="96" customFormat="false" ht="15" hidden="false" customHeight="false" outlineLevel="0" collapsed="false">
      <c r="A96" s="8" t="s">
        <v>7430</v>
      </c>
      <c r="B96" s="8" t="s">
        <v>7431</v>
      </c>
      <c r="C96" s="8" t="s">
        <v>178</v>
      </c>
      <c r="D96" s="8" t="s">
        <v>206</v>
      </c>
      <c r="E96" s="8" t="s">
        <v>108</v>
      </c>
      <c r="F96" s="8" t="s">
        <v>84</v>
      </c>
      <c r="G96" s="8" t="n">
        <v>2</v>
      </c>
      <c r="H96" s="18" t="n">
        <f aca="false">INDEX('All Items'!$Q:$Q,MATCH($A96,'All Items'!$A:$A,0))</f>
        <v>5.85</v>
      </c>
      <c r="I96" s="8" t="s">
        <v>7243</v>
      </c>
    </row>
    <row r="97" customFormat="false" ht="15" hidden="false" customHeight="false" outlineLevel="0" collapsed="false">
      <c r="A97" s="8" t="s">
        <v>7432</v>
      </c>
      <c r="B97" s="8" t="s">
        <v>7433</v>
      </c>
      <c r="C97" s="8" t="s">
        <v>178</v>
      </c>
      <c r="D97" s="8" t="s">
        <v>206</v>
      </c>
      <c r="E97" s="8" t="s">
        <v>112</v>
      </c>
      <c r="F97" s="8" t="s">
        <v>84</v>
      </c>
      <c r="G97" s="8" t="n">
        <v>2</v>
      </c>
      <c r="H97" s="18" t="n">
        <f aca="false">INDEX('All Items'!$Q:$Q,MATCH($A97,'All Items'!$A:$A,0))</f>
        <v>5.85</v>
      </c>
      <c r="I97" s="8" t="s">
        <v>7243</v>
      </c>
    </row>
    <row r="98" customFormat="false" ht="15" hidden="false" customHeight="false" outlineLevel="0" collapsed="false">
      <c r="A98" s="8" t="s">
        <v>7434</v>
      </c>
      <c r="B98" s="8" t="s">
        <v>7435</v>
      </c>
      <c r="C98" s="8" t="s">
        <v>178</v>
      </c>
      <c r="D98" s="8" t="s">
        <v>206</v>
      </c>
      <c r="E98" s="8" t="s">
        <v>111</v>
      </c>
      <c r="F98" s="8" t="s">
        <v>81</v>
      </c>
      <c r="G98" s="8" t="n">
        <v>2</v>
      </c>
      <c r="H98" s="18" t="n">
        <f aca="false">INDEX('All Items'!$Q:$Q,MATCH($A98,'All Items'!$A:$A,0))</f>
        <v>5.85</v>
      </c>
      <c r="I98" s="8" t="s">
        <v>7243</v>
      </c>
    </row>
    <row r="99" customFormat="false" ht="15" hidden="false" customHeight="false" outlineLevel="0" collapsed="false">
      <c r="A99" s="8" t="s">
        <v>7436</v>
      </c>
      <c r="B99" s="8" t="s">
        <v>7437</v>
      </c>
      <c r="C99" s="8" t="s">
        <v>178</v>
      </c>
      <c r="D99" s="8" t="s">
        <v>206</v>
      </c>
      <c r="E99" s="8" t="s">
        <v>104</v>
      </c>
      <c r="F99" s="8" t="s">
        <v>78</v>
      </c>
      <c r="G99" s="8" t="n">
        <v>2</v>
      </c>
      <c r="H99" s="18" t="n">
        <f aca="false">INDEX('All Items'!$Q:$Q,MATCH($A99,'All Items'!$A:$A,0))</f>
        <v>5.85</v>
      </c>
      <c r="I99" s="8" t="s">
        <v>7243</v>
      </c>
    </row>
    <row r="100" customFormat="false" ht="15" hidden="false" customHeight="false" outlineLevel="0" collapsed="false">
      <c r="A100" s="8" t="s">
        <v>7438</v>
      </c>
      <c r="B100" s="8" t="s">
        <v>7439</v>
      </c>
      <c r="C100" s="8" t="s">
        <v>178</v>
      </c>
      <c r="D100" s="8" t="s">
        <v>206</v>
      </c>
      <c r="E100" s="8" t="s">
        <v>116</v>
      </c>
      <c r="F100" s="8" t="s">
        <v>79</v>
      </c>
      <c r="G100" s="8" t="n">
        <v>2</v>
      </c>
      <c r="H100" s="18" t="n">
        <f aca="false">INDEX('All Items'!$Q:$Q,MATCH($A100,'All Items'!$A:$A,0))</f>
        <v>5.85</v>
      </c>
      <c r="I100" s="8" t="s">
        <v>7243</v>
      </c>
    </row>
    <row r="101" customFormat="false" ht="15" hidden="false" customHeight="false" outlineLevel="0" collapsed="false">
      <c r="A101" s="8" t="s">
        <v>7440</v>
      </c>
      <c r="B101" s="8" t="s">
        <v>7441</v>
      </c>
      <c r="C101" s="8" t="s">
        <v>178</v>
      </c>
      <c r="D101" s="8" t="s">
        <v>206</v>
      </c>
      <c r="E101" s="8" t="s">
        <v>105</v>
      </c>
      <c r="F101" s="8" t="s">
        <v>78</v>
      </c>
      <c r="G101" s="8" t="n">
        <v>2</v>
      </c>
      <c r="H101" s="18" t="n">
        <f aca="false">INDEX('All Items'!$Q:$Q,MATCH($A101,'All Items'!$A:$A,0))</f>
        <v>5.85</v>
      </c>
      <c r="I101" s="8" t="s">
        <v>7243</v>
      </c>
    </row>
    <row r="102" customFormat="false" ht="15" hidden="false" customHeight="false" outlineLevel="0" collapsed="false">
      <c r="A102" s="8" t="s">
        <v>7442</v>
      </c>
      <c r="B102" s="8" t="s">
        <v>7443</v>
      </c>
      <c r="C102" s="8" t="s">
        <v>178</v>
      </c>
      <c r="D102" s="8" t="s">
        <v>206</v>
      </c>
      <c r="E102" s="8" t="s">
        <v>107</v>
      </c>
      <c r="F102" s="8" t="s">
        <v>86</v>
      </c>
      <c r="G102" s="8" t="n">
        <v>2</v>
      </c>
      <c r="H102" s="18" t="n">
        <f aca="false">INDEX('All Items'!$Q:$Q,MATCH($A102,'All Items'!$A:$A,0))</f>
        <v>5.85</v>
      </c>
      <c r="I102" s="8" t="s">
        <v>7243</v>
      </c>
    </row>
    <row r="103" customFormat="false" ht="15" hidden="false" customHeight="false" outlineLevel="0" collapsed="false">
      <c r="A103" s="8" t="s">
        <v>7444</v>
      </c>
      <c r="B103" s="8" t="s">
        <v>7445</v>
      </c>
      <c r="C103" s="8" t="s">
        <v>178</v>
      </c>
      <c r="D103" s="8" t="s">
        <v>206</v>
      </c>
      <c r="E103" s="8" t="s">
        <v>109</v>
      </c>
      <c r="F103" s="8" t="s">
        <v>86</v>
      </c>
      <c r="G103" s="8" t="n">
        <v>2</v>
      </c>
      <c r="H103" s="18" t="n">
        <f aca="false">INDEX('All Items'!$Q:$Q,MATCH($A103,'All Items'!$A:$A,0))</f>
        <v>5.85</v>
      </c>
      <c r="I103" s="8" t="s">
        <v>7243</v>
      </c>
    </row>
    <row r="104" customFormat="false" ht="15" hidden="false" customHeight="false" outlineLevel="0" collapsed="false">
      <c r="A104" s="8" t="s">
        <v>7446</v>
      </c>
      <c r="B104" s="8" t="s">
        <v>7447</v>
      </c>
      <c r="C104" s="8" t="s">
        <v>178</v>
      </c>
      <c r="D104" s="8" t="s">
        <v>206</v>
      </c>
      <c r="E104" s="8" t="s">
        <v>113</v>
      </c>
      <c r="F104" s="8" t="s">
        <v>78</v>
      </c>
      <c r="G104" s="8" t="n">
        <v>2</v>
      </c>
      <c r="H104" s="18" t="n">
        <f aca="false">INDEX('All Items'!$Q:$Q,MATCH($A104,'All Items'!$A:$A,0))</f>
        <v>5.85</v>
      </c>
      <c r="I104" s="8" t="s">
        <v>7243</v>
      </c>
    </row>
    <row r="105" customFormat="false" ht="15" hidden="false" customHeight="false" outlineLevel="0" collapsed="false">
      <c r="A105" s="8" t="s">
        <v>7448</v>
      </c>
      <c r="B105" s="8" t="s">
        <v>7449</v>
      </c>
      <c r="C105" s="8" t="s">
        <v>178</v>
      </c>
      <c r="D105" s="8" t="s">
        <v>206</v>
      </c>
      <c r="E105" s="8" t="s">
        <v>114</v>
      </c>
      <c r="F105" s="8" t="s">
        <v>83</v>
      </c>
      <c r="G105" s="8" t="n">
        <v>2</v>
      </c>
      <c r="H105" s="18" t="n">
        <f aca="false">INDEX('All Items'!$Q:$Q,MATCH($A105,'All Items'!$A:$A,0))</f>
        <v>5.85</v>
      </c>
      <c r="I105" s="8" t="s">
        <v>7243</v>
      </c>
    </row>
    <row r="106" customFormat="false" ht="15" hidden="false" customHeight="false" outlineLevel="0" collapsed="false">
      <c r="A106" s="8" t="s">
        <v>7450</v>
      </c>
      <c r="B106" s="8" t="s">
        <v>7451</v>
      </c>
      <c r="C106" s="8" t="s">
        <v>178</v>
      </c>
      <c r="D106" s="8" t="s">
        <v>206</v>
      </c>
      <c r="E106" s="8" t="s">
        <v>106</v>
      </c>
      <c r="F106" s="8" t="s">
        <v>78</v>
      </c>
      <c r="G106" s="8" t="n">
        <v>2</v>
      </c>
      <c r="H106" s="18" t="n">
        <f aca="false">INDEX('All Items'!$Q:$Q,MATCH($A106,'All Items'!$A:$A,0))</f>
        <v>5.85</v>
      </c>
      <c r="I106" s="8" t="s">
        <v>7243</v>
      </c>
    </row>
    <row r="107" customFormat="false" ht="15" hidden="false" customHeight="false" outlineLevel="0" collapsed="false">
      <c r="A107" s="8" t="s">
        <v>7452</v>
      </c>
      <c r="B107" s="8" t="s">
        <v>7453</v>
      </c>
      <c r="C107" s="8" t="s">
        <v>178</v>
      </c>
      <c r="D107" s="8" t="s">
        <v>206</v>
      </c>
      <c r="E107" s="8" t="s">
        <v>106</v>
      </c>
      <c r="F107" s="8" t="s">
        <v>84</v>
      </c>
      <c r="G107" s="8" t="n">
        <v>2</v>
      </c>
      <c r="H107" s="18" t="n">
        <f aca="false">INDEX('All Items'!$Q:$Q,MATCH($A107,'All Items'!$A:$A,0))</f>
        <v>5.85</v>
      </c>
      <c r="I107" s="8" t="s">
        <v>7243</v>
      </c>
    </row>
    <row r="108" customFormat="false" ht="15" hidden="false" customHeight="false" outlineLevel="0" collapsed="false">
      <c r="A108" s="8" t="s">
        <v>7454</v>
      </c>
      <c r="B108" s="8" t="s">
        <v>7455</v>
      </c>
      <c r="C108" s="8" t="s">
        <v>178</v>
      </c>
      <c r="D108" s="8" t="s">
        <v>206</v>
      </c>
      <c r="E108" s="8" t="s">
        <v>106</v>
      </c>
      <c r="F108" s="8" t="s">
        <v>84</v>
      </c>
      <c r="G108" s="8" t="n">
        <v>2</v>
      </c>
      <c r="H108" s="18" t="n">
        <f aca="false">INDEX('All Items'!$Q:$Q,MATCH($A108,'All Items'!$A:$A,0))</f>
        <v>5.85</v>
      </c>
      <c r="I108" s="8" t="s">
        <v>7243</v>
      </c>
    </row>
    <row r="109" customFormat="false" ht="15" hidden="false" customHeight="false" outlineLevel="0" collapsed="false">
      <c r="A109" s="8" t="s">
        <v>7456</v>
      </c>
      <c r="B109" s="8" t="s">
        <v>7457</v>
      </c>
      <c r="C109" s="8" t="s">
        <v>178</v>
      </c>
      <c r="D109" s="8" t="s">
        <v>206</v>
      </c>
      <c r="E109" s="8" t="s">
        <v>106</v>
      </c>
      <c r="F109" s="8" t="s">
        <v>78</v>
      </c>
      <c r="G109" s="8" t="n">
        <v>2</v>
      </c>
      <c r="H109" s="18" t="n">
        <f aca="false">INDEX('All Items'!$Q:$Q,MATCH($A109,'All Items'!$A:$A,0))</f>
        <v>5.85</v>
      </c>
      <c r="I109" s="8" t="s">
        <v>7243</v>
      </c>
    </row>
    <row r="110" customFormat="false" ht="15" hidden="false" customHeight="false" outlineLevel="0" collapsed="false">
      <c r="A110" s="8" t="s">
        <v>7458</v>
      </c>
      <c r="B110" s="8" t="s">
        <v>7459</v>
      </c>
      <c r="C110" s="8" t="s">
        <v>178</v>
      </c>
      <c r="D110" s="8" t="s">
        <v>206</v>
      </c>
      <c r="E110" s="8" t="s">
        <v>119</v>
      </c>
      <c r="F110" s="8" t="s">
        <v>84</v>
      </c>
      <c r="G110" s="8" t="n">
        <v>2</v>
      </c>
      <c r="H110" s="18" t="n">
        <f aca="false">INDEX('All Items'!$Q:$Q,MATCH($A110,'All Items'!$A:$A,0))</f>
        <v>5.85</v>
      </c>
      <c r="I110" s="8" t="s">
        <v>7243</v>
      </c>
    </row>
    <row r="111" customFormat="false" ht="15" hidden="false" customHeight="false" outlineLevel="0" collapsed="false">
      <c r="A111" s="8" t="s">
        <v>7460</v>
      </c>
      <c r="B111" s="8" t="s">
        <v>7461</v>
      </c>
      <c r="C111" s="8" t="s">
        <v>178</v>
      </c>
      <c r="D111" s="8" t="s">
        <v>206</v>
      </c>
      <c r="E111" s="8" t="s">
        <v>121</v>
      </c>
      <c r="F111" s="8" t="s">
        <v>86</v>
      </c>
      <c r="G111" s="8" t="n">
        <v>2</v>
      </c>
      <c r="H111" s="18" t="n">
        <f aca="false">INDEX('All Items'!$Q:$Q,MATCH($A111,'All Items'!$A:$A,0))</f>
        <v>5.85</v>
      </c>
      <c r="I111" s="8" t="s">
        <v>7243</v>
      </c>
    </row>
    <row r="112" customFormat="false" ht="15" hidden="false" customHeight="false" outlineLevel="0" collapsed="false">
      <c r="A112" s="8" t="s">
        <v>7462</v>
      </c>
      <c r="B112" s="8" t="s">
        <v>7463</v>
      </c>
      <c r="C112" s="8" t="s">
        <v>178</v>
      </c>
      <c r="D112" s="8" t="s">
        <v>206</v>
      </c>
      <c r="E112" s="8" t="s">
        <v>125</v>
      </c>
      <c r="F112" s="8" t="s">
        <v>86</v>
      </c>
      <c r="G112" s="8" t="n">
        <v>2</v>
      </c>
      <c r="H112" s="18" t="n">
        <f aca="false">INDEX('All Items'!$Q:$Q,MATCH($A112,'All Items'!$A:$A,0))</f>
        <v>5.85</v>
      </c>
      <c r="I112" s="8" t="s">
        <v>7243</v>
      </c>
    </row>
    <row r="113" customFormat="false" ht="15" hidden="false" customHeight="false" outlineLevel="0" collapsed="false">
      <c r="A113" s="8" t="s">
        <v>7464</v>
      </c>
      <c r="B113" s="8" t="s">
        <v>7465</v>
      </c>
      <c r="C113" s="8" t="s">
        <v>178</v>
      </c>
      <c r="D113" s="8" t="s">
        <v>206</v>
      </c>
      <c r="E113" s="8" t="s">
        <v>117</v>
      </c>
      <c r="F113" s="8" t="s">
        <v>78</v>
      </c>
      <c r="G113" s="8" t="n">
        <v>2</v>
      </c>
      <c r="H113" s="18" t="n">
        <f aca="false">INDEX('All Items'!$Q:$Q,MATCH($A113,'All Items'!$A:$A,0))</f>
        <v>5.85</v>
      </c>
      <c r="I113" s="8" t="s">
        <v>7243</v>
      </c>
    </row>
    <row r="114" customFormat="false" ht="15" hidden="false" customHeight="false" outlineLevel="0" collapsed="false">
      <c r="A114" s="8" t="s">
        <v>7466</v>
      </c>
      <c r="B114" s="8" t="s">
        <v>7467</v>
      </c>
      <c r="C114" s="8" t="s">
        <v>178</v>
      </c>
      <c r="D114" s="8" t="s">
        <v>206</v>
      </c>
      <c r="E114" s="8" t="s">
        <v>117</v>
      </c>
      <c r="F114" s="8" t="s">
        <v>86</v>
      </c>
      <c r="G114" s="8" t="n">
        <v>2</v>
      </c>
      <c r="H114" s="18" t="n">
        <f aca="false">INDEX('All Items'!$Q:$Q,MATCH($A114,'All Items'!$A:$A,0))</f>
        <v>5.85</v>
      </c>
      <c r="I114" s="8" t="s">
        <v>7243</v>
      </c>
    </row>
    <row r="115" customFormat="false" ht="15" hidden="false" customHeight="false" outlineLevel="0" collapsed="false">
      <c r="A115" s="8" t="s">
        <v>7468</v>
      </c>
      <c r="B115" s="8" t="s">
        <v>7469</v>
      </c>
      <c r="C115" s="8" t="s">
        <v>178</v>
      </c>
      <c r="D115" s="8" t="s">
        <v>206</v>
      </c>
      <c r="E115" s="8" t="s">
        <v>117</v>
      </c>
      <c r="F115" s="8" t="s">
        <v>85</v>
      </c>
      <c r="G115" s="8" t="n">
        <v>2</v>
      </c>
      <c r="H115" s="18" t="n">
        <f aca="false">INDEX('All Items'!$Q:$Q,MATCH($A115,'All Items'!$A:$A,0))</f>
        <v>5.85</v>
      </c>
      <c r="I115" s="8" t="s">
        <v>7243</v>
      </c>
    </row>
    <row r="116" customFormat="false" ht="15" hidden="false" customHeight="false" outlineLevel="0" collapsed="false">
      <c r="A116" s="8" t="s">
        <v>7470</v>
      </c>
      <c r="B116" s="8" t="s">
        <v>7471</v>
      </c>
      <c r="C116" s="8" t="s">
        <v>178</v>
      </c>
      <c r="D116" s="8" t="s">
        <v>206</v>
      </c>
      <c r="E116" s="8" t="s">
        <v>124</v>
      </c>
      <c r="F116" s="8" t="s">
        <v>78</v>
      </c>
      <c r="G116" s="8" t="n">
        <v>2</v>
      </c>
      <c r="H116" s="18" t="n">
        <f aca="false">INDEX('All Items'!$Q:$Q,MATCH($A116,'All Items'!$A:$A,0))</f>
        <v>5.85</v>
      </c>
      <c r="I116" s="8" t="s">
        <v>7243</v>
      </c>
    </row>
    <row r="117" customFormat="false" ht="15" hidden="false" customHeight="false" outlineLevel="0" collapsed="false">
      <c r="A117" s="8" t="s">
        <v>7472</v>
      </c>
      <c r="B117" s="8" t="s">
        <v>7473</v>
      </c>
      <c r="C117" s="8" t="s">
        <v>178</v>
      </c>
      <c r="D117" s="8" t="s">
        <v>206</v>
      </c>
      <c r="E117" s="8" t="s">
        <v>123</v>
      </c>
      <c r="F117" s="8" t="s">
        <v>78</v>
      </c>
      <c r="G117" s="8" t="n">
        <v>2</v>
      </c>
      <c r="H117" s="18" t="n">
        <f aca="false">INDEX('All Items'!$Q:$Q,MATCH($A117,'All Items'!$A:$A,0))</f>
        <v>5.85</v>
      </c>
      <c r="I117" s="8" t="s">
        <v>7243</v>
      </c>
    </row>
    <row r="118" customFormat="false" ht="15" hidden="false" customHeight="false" outlineLevel="0" collapsed="false">
      <c r="A118" s="8" t="s">
        <v>7474</v>
      </c>
      <c r="B118" s="8" t="s">
        <v>7475</v>
      </c>
      <c r="C118" s="8" t="s">
        <v>178</v>
      </c>
      <c r="D118" s="8" t="s">
        <v>206</v>
      </c>
      <c r="E118" s="8" t="s">
        <v>120</v>
      </c>
      <c r="F118" s="8" t="s">
        <v>81</v>
      </c>
      <c r="G118" s="8" t="n">
        <v>2</v>
      </c>
      <c r="H118" s="18" t="n">
        <f aca="false">INDEX('All Items'!$Q:$Q,MATCH($A118,'All Items'!$A:$A,0))</f>
        <v>5.85</v>
      </c>
      <c r="I118" s="8" t="s">
        <v>7243</v>
      </c>
    </row>
    <row r="119" customFormat="false" ht="15" hidden="false" customHeight="false" outlineLevel="0" collapsed="false">
      <c r="A119" s="8" t="s">
        <v>7476</v>
      </c>
      <c r="B119" s="8" t="s">
        <v>7477</v>
      </c>
      <c r="C119" s="8" t="s">
        <v>178</v>
      </c>
      <c r="D119" s="8" t="s">
        <v>206</v>
      </c>
      <c r="E119" s="8" t="s">
        <v>120</v>
      </c>
      <c r="F119" s="8" t="s">
        <v>84</v>
      </c>
      <c r="G119" s="8" t="n">
        <v>2</v>
      </c>
      <c r="H119" s="18" t="n">
        <f aca="false">INDEX('All Items'!$Q:$Q,MATCH($A119,'All Items'!$A:$A,0))</f>
        <v>5.85</v>
      </c>
      <c r="I119" s="8" t="s">
        <v>7243</v>
      </c>
    </row>
    <row r="120" customFormat="false" ht="15" hidden="false" customHeight="false" outlineLevel="0" collapsed="false">
      <c r="A120" s="8" t="s">
        <v>7478</v>
      </c>
      <c r="B120" s="8" t="s">
        <v>7479</v>
      </c>
      <c r="C120" s="8" t="s">
        <v>178</v>
      </c>
      <c r="D120" s="8" t="s">
        <v>206</v>
      </c>
      <c r="E120" s="8" t="s">
        <v>103</v>
      </c>
      <c r="F120" s="8" t="s">
        <v>79</v>
      </c>
      <c r="G120" s="8" t="n">
        <v>2</v>
      </c>
      <c r="H120" s="18" t="n">
        <f aca="false">INDEX('All Items'!$Q:$Q,MATCH($A120,'All Items'!$A:$A,0))</f>
        <v>5.85</v>
      </c>
      <c r="I120" s="8" t="s">
        <v>7243</v>
      </c>
    </row>
    <row r="121" customFormat="false" ht="15" hidden="false" customHeight="false" outlineLevel="0" collapsed="false">
      <c r="A121" s="8" t="s">
        <v>7480</v>
      </c>
      <c r="B121" s="8" t="s">
        <v>7481</v>
      </c>
      <c r="C121" s="8" t="s">
        <v>178</v>
      </c>
      <c r="D121" s="8" t="s">
        <v>206</v>
      </c>
      <c r="E121" s="8" t="s">
        <v>103</v>
      </c>
      <c r="F121" s="8" t="s">
        <v>78</v>
      </c>
      <c r="G121" s="8" t="n">
        <v>2</v>
      </c>
      <c r="H121" s="18" t="n">
        <f aca="false">INDEX('All Items'!$Q:$Q,MATCH($A121,'All Items'!$A:$A,0))</f>
        <v>5.85</v>
      </c>
      <c r="I121" s="8" t="s">
        <v>7243</v>
      </c>
    </row>
    <row r="122" customFormat="false" ht="15" hidden="false" customHeight="false" outlineLevel="0" collapsed="false">
      <c r="A122" s="8" t="s">
        <v>7482</v>
      </c>
      <c r="B122" s="8" t="s">
        <v>7483</v>
      </c>
      <c r="C122" s="8" t="s">
        <v>178</v>
      </c>
      <c r="D122" s="8" t="s">
        <v>2532</v>
      </c>
      <c r="E122" s="8"/>
      <c r="F122" s="8" t="s">
        <v>78</v>
      </c>
      <c r="G122" s="8" t="n">
        <v>2</v>
      </c>
      <c r="H122" s="18" t="n">
        <f aca="false">INDEX('All Items'!$Q:$Q,MATCH($A122,'All Items'!$A:$A,0))</f>
        <v>5.85</v>
      </c>
      <c r="I122" s="8" t="s">
        <v>7243</v>
      </c>
    </row>
    <row r="123" customFormat="false" ht="15" hidden="false" customHeight="false" outlineLevel="0" collapsed="false">
      <c r="A123" s="8" t="s">
        <v>7484</v>
      </c>
      <c r="B123" s="8" t="s">
        <v>7485</v>
      </c>
      <c r="C123" s="8" t="s">
        <v>178</v>
      </c>
      <c r="D123" s="8" t="s">
        <v>2859</v>
      </c>
      <c r="E123" s="8"/>
      <c r="F123" s="8" t="s">
        <v>78</v>
      </c>
      <c r="G123" s="8" t="n">
        <v>2</v>
      </c>
      <c r="H123" s="18" t="n">
        <f aca="false">INDEX('All Items'!$Q:$Q,MATCH($A123,'All Items'!$A:$A,0))</f>
        <v>5.85</v>
      </c>
      <c r="I123" s="8" t="s">
        <v>7243</v>
      </c>
    </row>
    <row r="124" customFormat="false" ht="15" hidden="false" customHeight="false" outlineLevel="0" collapsed="false">
      <c r="A124" s="8" t="s">
        <v>7486</v>
      </c>
      <c r="B124" s="8" t="s">
        <v>7487</v>
      </c>
      <c r="C124" s="8" t="s">
        <v>178</v>
      </c>
      <c r="D124" s="8" t="s">
        <v>3309</v>
      </c>
      <c r="E124" s="8"/>
      <c r="F124" s="8" t="s">
        <v>78</v>
      </c>
      <c r="G124" s="8" t="n">
        <v>2</v>
      </c>
      <c r="H124" s="18" t="n">
        <f aca="false">INDEX('All Items'!$Q:$Q,MATCH($A124,'All Items'!$A:$A,0))</f>
        <v>5.85</v>
      </c>
      <c r="I124" s="8" t="s">
        <v>7243</v>
      </c>
    </row>
    <row r="125" customFormat="false" ht="15" hidden="false" customHeight="false" outlineLevel="0" collapsed="false">
      <c r="A125" s="8" t="s">
        <v>7488</v>
      </c>
      <c r="B125" s="8" t="s">
        <v>7489</v>
      </c>
      <c r="C125" s="8" t="s">
        <v>178</v>
      </c>
      <c r="D125" s="8" t="s">
        <v>3309</v>
      </c>
      <c r="E125" s="8"/>
      <c r="F125" s="8" t="s">
        <v>79</v>
      </c>
      <c r="G125" s="8" t="n">
        <v>2</v>
      </c>
      <c r="H125" s="18" t="n">
        <f aca="false">INDEX('All Items'!$Q:$Q,MATCH($A125,'All Items'!$A:$A,0))</f>
        <v>5.85</v>
      </c>
      <c r="I125" s="8" t="s">
        <v>7243</v>
      </c>
    </row>
    <row r="126" customFormat="false" ht="15" hidden="false" customHeight="false" outlineLevel="0" collapsed="false">
      <c r="A126" s="8" t="s">
        <v>7490</v>
      </c>
      <c r="B126" s="8" t="s">
        <v>7491</v>
      </c>
      <c r="C126" s="8" t="s">
        <v>178</v>
      </c>
      <c r="D126" s="8" t="s">
        <v>3435</v>
      </c>
      <c r="E126" s="8"/>
      <c r="F126" s="8" t="s">
        <v>78</v>
      </c>
      <c r="G126" s="8" t="n">
        <v>2</v>
      </c>
      <c r="H126" s="18" t="n">
        <f aca="false">INDEX('All Items'!$Q:$Q,MATCH($A126,'All Items'!$A:$A,0))</f>
        <v>5.85</v>
      </c>
      <c r="I126" s="8" t="s">
        <v>7243</v>
      </c>
    </row>
    <row r="127" customFormat="false" ht="15" hidden="false" customHeight="false" outlineLevel="0" collapsed="false">
      <c r="A127" s="8" t="s">
        <v>7492</v>
      </c>
      <c r="B127" s="8" t="s">
        <v>7493</v>
      </c>
      <c r="C127" s="8" t="s">
        <v>178</v>
      </c>
      <c r="D127" s="8" t="s">
        <v>3719</v>
      </c>
      <c r="E127" s="8"/>
      <c r="F127" s="8" t="s">
        <v>78</v>
      </c>
      <c r="G127" s="8" t="n">
        <v>2</v>
      </c>
      <c r="H127" s="18" t="n">
        <f aca="false">INDEX('All Items'!$Q:$Q,MATCH($A127,'All Items'!$A:$A,0))</f>
        <v>5.85</v>
      </c>
      <c r="I127" s="8" t="s">
        <v>7243</v>
      </c>
    </row>
    <row r="128" customFormat="false" ht="15" hidden="false" customHeight="false" outlineLevel="0" collapsed="false">
      <c r="A128" s="8" t="s">
        <v>7494</v>
      </c>
      <c r="B128" s="8" t="s">
        <v>7495</v>
      </c>
      <c r="C128" s="8" t="s">
        <v>178</v>
      </c>
      <c r="D128" s="8" t="s">
        <v>3729</v>
      </c>
      <c r="E128" s="8"/>
      <c r="F128" s="8" t="s">
        <v>89</v>
      </c>
      <c r="G128" s="8" t="n">
        <v>2</v>
      </c>
      <c r="H128" s="18" t="n">
        <f aca="false">INDEX('All Items'!$Q:$Q,MATCH($A128,'All Items'!$A:$A,0))</f>
        <v>5.85</v>
      </c>
      <c r="I128" s="8" t="s">
        <v>7243</v>
      </c>
    </row>
    <row r="129" customFormat="false" ht="15" hidden="false" customHeight="false" outlineLevel="0" collapsed="false">
      <c r="A129" s="8" t="s">
        <v>7496</v>
      </c>
      <c r="B129" s="8" t="s">
        <v>7497</v>
      </c>
      <c r="C129" s="8" t="s">
        <v>178</v>
      </c>
      <c r="D129" s="8" t="s">
        <v>3739</v>
      </c>
      <c r="E129" s="8"/>
      <c r="F129" s="8" t="s">
        <v>78</v>
      </c>
      <c r="G129" s="8" t="n">
        <v>2</v>
      </c>
      <c r="H129" s="18" t="n">
        <f aca="false">INDEX('All Items'!$Q:$Q,MATCH($A129,'All Items'!$A:$A,0))</f>
        <v>5.85</v>
      </c>
      <c r="I129" s="8" t="s">
        <v>7243</v>
      </c>
    </row>
    <row r="130" customFormat="false" ht="15" hidden="false" customHeight="false" outlineLevel="0" collapsed="false">
      <c r="A130" s="8" t="s">
        <v>7498</v>
      </c>
      <c r="B130" s="8" t="s">
        <v>7499</v>
      </c>
      <c r="C130" s="8" t="s">
        <v>178</v>
      </c>
      <c r="D130" s="8" t="s">
        <v>3756</v>
      </c>
      <c r="E130" s="8"/>
      <c r="F130" s="8" t="s">
        <v>78</v>
      </c>
      <c r="G130" s="8" t="n">
        <v>2</v>
      </c>
      <c r="H130" s="18" t="n">
        <f aca="false">INDEX('All Items'!$Q:$Q,MATCH($A130,'All Items'!$A:$A,0))</f>
        <v>5.85</v>
      </c>
      <c r="I130" s="8" t="s">
        <v>7243</v>
      </c>
    </row>
    <row r="131" customFormat="false" ht="15" hidden="false" customHeight="false" outlineLevel="0" collapsed="false">
      <c r="A131" s="8" t="s">
        <v>7500</v>
      </c>
      <c r="B131" s="8" t="s">
        <v>7501</v>
      </c>
      <c r="C131" s="8" t="s">
        <v>178</v>
      </c>
      <c r="D131" s="8" t="s">
        <v>3782</v>
      </c>
      <c r="E131" s="8"/>
      <c r="F131" s="8" t="s">
        <v>78</v>
      </c>
      <c r="G131" s="8" t="n">
        <v>2</v>
      </c>
      <c r="H131" s="18" t="n">
        <f aca="false">INDEX('All Items'!$Q:$Q,MATCH($A131,'All Items'!$A:$A,0))</f>
        <v>5.85</v>
      </c>
      <c r="I131" s="8" t="s">
        <v>7243</v>
      </c>
    </row>
    <row r="132" customFormat="false" ht="15" hidden="false" customHeight="false" outlineLevel="0" collapsed="false">
      <c r="A132" s="8" t="s">
        <v>7502</v>
      </c>
      <c r="B132" s="8" t="s">
        <v>7503</v>
      </c>
      <c r="C132" s="8" t="s">
        <v>178</v>
      </c>
      <c r="D132" s="8" t="s">
        <v>3802</v>
      </c>
      <c r="E132" s="8"/>
      <c r="F132" s="8" t="s">
        <v>79</v>
      </c>
      <c r="G132" s="8" t="n">
        <v>2</v>
      </c>
      <c r="H132" s="18" t="n">
        <f aca="false">INDEX('All Items'!$Q:$Q,MATCH($A132,'All Items'!$A:$A,0))</f>
        <v>5.85</v>
      </c>
      <c r="I132" s="8" t="s">
        <v>7243</v>
      </c>
    </row>
    <row r="133" customFormat="false" ht="15" hidden="false" customHeight="false" outlineLevel="0" collapsed="false">
      <c r="A133" s="8" t="s">
        <v>7504</v>
      </c>
      <c r="B133" s="8" t="s">
        <v>7505</v>
      </c>
      <c r="C133" s="8" t="s">
        <v>178</v>
      </c>
      <c r="D133" s="8" t="s">
        <v>3802</v>
      </c>
      <c r="E133" s="8"/>
      <c r="F133" s="8" t="s">
        <v>79</v>
      </c>
      <c r="G133" s="8" t="n">
        <v>2</v>
      </c>
      <c r="H133" s="18" t="n">
        <f aca="false">INDEX('All Items'!$Q:$Q,MATCH($A133,'All Items'!$A:$A,0))</f>
        <v>5.85</v>
      </c>
      <c r="I133" s="8" t="s">
        <v>7243</v>
      </c>
    </row>
    <row r="134" customFormat="false" ht="15" hidden="false" customHeight="false" outlineLevel="0" collapsed="false">
      <c r="A134" s="8" t="s">
        <v>7506</v>
      </c>
      <c r="B134" s="8" t="s">
        <v>7507</v>
      </c>
      <c r="C134" s="8" t="s">
        <v>178</v>
      </c>
      <c r="D134" s="8" t="s">
        <v>7508</v>
      </c>
      <c r="E134" s="8"/>
      <c r="F134" s="8" t="s">
        <v>78</v>
      </c>
      <c r="G134" s="8" t="n">
        <v>2</v>
      </c>
      <c r="H134" s="18" t="n">
        <f aca="false">INDEX('All Items'!$Q:$Q,MATCH($A134,'All Items'!$A:$A,0))</f>
        <v>5.85</v>
      </c>
      <c r="I134" s="8" t="s">
        <v>7243</v>
      </c>
    </row>
    <row r="135" customFormat="false" ht="15" hidden="false" customHeight="false" outlineLevel="0" collapsed="false">
      <c r="A135" s="8" t="s">
        <v>7509</v>
      </c>
      <c r="B135" s="8" t="s">
        <v>7510</v>
      </c>
      <c r="C135" s="8" t="s">
        <v>178</v>
      </c>
      <c r="D135" s="8" t="s">
        <v>3828</v>
      </c>
      <c r="E135" s="8"/>
      <c r="F135" s="8" t="s">
        <v>78</v>
      </c>
      <c r="G135" s="8" t="n">
        <v>2</v>
      </c>
      <c r="H135" s="18" t="n">
        <f aca="false">INDEX('All Items'!$Q:$Q,MATCH($A135,'All Items'!$A:$A,0))</f>
        <v>5.85</v>
      </c>
      <c r="I135" s="8" t="s">
        <v>7243</v>
      </c>
    </row>
    <row r="136" customFormat="false" ht="15" hidden="false" customHeight="false" outlineLevel="0" collapsed="false">
      <c r="A136" s="8" t="s">
        <v>7511</v>
      </c>
      <c r="B136" s="8" t="s">
        <v>7512</v>
      </c>
      <c r="C136" s="8" t="s">
        <v>178</v>
      </c>
      <c r="D136" s="8" t="s">
        <v>3828</v>
      </c>
      <c r="E136" s="8"/>
      <c r="F136" s="8" t="s">
        <v>78</v>
      </c>
      <c r="G136" s="8" t="n">
        <v>2</v>
      </c>
      <c r="H136" s="18" t="n">
        <f aca="false">INDEX('All Items'!$Q:$Q,MATCH($A136,'All Items'!$A:$A,0))</f>
        <v>5.85</v>
      </c>
      <c r="I136" s="8" t="s">
        <v>7243</v>
      </c>
    </row>
    <row r="137" customFormat="false" ht="15" hidden="false" customHeight="false" outlineLevel="0" collapsed="false">
      <c r="A137" s="8" t="s">
        <v>7513</v>
      </c>
      <c r="B137" s="8" t="s">
        <v>7514</v>
      </c>
      <c r="C137" s="8" t="s">
        <v>178</v>
      </c>
      <c r="D137" s="8" t="s">
        <v>3828</v>
      </c>
      <c r="E137" s="8"/>
      <c r="F137" s="8" t="s">
        <v>79</v>
      </c>
      <c r="G137" s="8" t="n">
        <v>2</v>
      </c>
      <c r="H137" s="18" t="n">
        <f aca="false">INDEX('All Items'!$Q:$Q,MATCH($A137,'All Items'!$A:$A,0))</f>
        <v>5.85</v>
      </c>
      <c r="I137" s="8" t="s">
        <v>7243</v>
      </c>
    </row>
    <row r="138" customFormat="false" ht="15" hidden="false" customHeight="false" outlineLevel="0" collapsed="false">
      <c r="A138" s="8" t="s">
        <v>7515</v>
      </c>
      <c r="B138" s="8" t="s">
        <v>7516</v>
      </c>
      <c r="C138" s="8" t="s">
        <v>178</v>
      </c>
      <c r="D138" s="8" t="s">
        <v>4081</v>
      </c>
      <c r="E138" s="8"/>
      <c r="F138" s="8" t="s">
        <v>78</v>
      </c>
      <c r="G138" s="8" t="n">
        <v>2</v>
      </c>
      <c r="H138" s="18" t="n">
        <f aca="false">INDEX('All Items'!$Q:$Q,MATCH($A138,'All Items'!$A:$A,0))</f>
        <v>5.85</v>
      </c>
      <c r="I138" s="8" t="s">
        <v>7243</v>
      </c>
    </row>
    <row r="139" customFormat="false" ht="15" hidden="false" customHeight="false" outlineLevel="0" collapsed="false">
      <c r="A139" s="8" t="s">
        <v>7517</v>
      </c>
      <c r="B139" s="8" t="s">
        <v>7518</v>
      </c>
      <c r="C139" s="8" t="s">
        <v>178</v>
      </c>
      <c r="D139" s="8" t="s">
        <v>4081</v>
      </c>
      <c r="E139" s="8"/>
      <c r="F139" s="8" t="s">
        <v>78</v>
      </c>
      <c r="G139" s="8" t="n">
        <v>2</v>
      </c>
      <c r="H139" s="18" t="n">
        <f aca="false">INDEX('All Items'!$Q:$Q,MATCH($A139,'All Items'!$A:$A,0))</f>
        <v>5.85</v>
      </c>
      <c r="I139" s="8" t="s">
        <v>7243</v>
      </c>
    </row>
    <row r="140" customFormat="false" ht="15" hidden="false" customHeight="false" outlineLevel="0" collapsed="false">
      <c r="A140" s="8" t="s">
        <v>7519</v>
      </c>
      <c r="B140" s="8" t="s">
        <v>7520</v>
      </c>
      <c r="C140" s="8" t="s">
        <v>178</v>
      </c>
      <c r="D140" s="8" t="s">
        <v>4081</v>
      </c>
      <c r="E140" s="8"/>
      <c r="F140" s="8" t="s">
        <v>80</v>
      </c>
      <c r="G140" s="8" t="n">
        <v>2</v>
      </c>
      <c r="H140" s="18" t="n">
        <f aca="false">INDEX('All Items'!$Q:$Q,MATCH($A140,'All Items'!$A:$A,0))</f>
        <v>5.85</v>
      </c>
      <c r="I140" s="8" t="s">
        <v>7243</v>
      </c>
    </row>
    <row r="141" customFormat="false" ht="15" hidden="false" customHeight="false" outlineLevel="0" collapsed="false">
      <c r="A141" s="8" t="s">
        <v>7521</v>
      </c>
      <c r="B141" s="8" t="s">
        <v>7522</v>
      </c>
      <c r="C141" s="8" t="s">
        <v>178</v>
      </c>
      <c r="D141" s="8" t="s">
        <v>4081</v>
      </c>
      <c r="E141" s="8"/>
      <c r="F141" s="8" t="s">
        <v>80</v>
      </c>
      <c r="G141" s="8" t="n">
        <v>2</v>
      </c>
      <c r="H141" s="18" t="n">
        <f aca="false">INDEX('All Items'!$Q:$Q,MATCH($A141,'All Items'!$A:$A,0))</f>
        <v>5.85</v>
      </c>
      <c r="I141" s="8" t="s">
        <v>7243</v>
      </c>
    </row>
    <row r="142" customFormat="false" ht="15" hidden="false" customHeight="false" outlineLevel="0" collapsed="false">
      <c r="A142" s="8" t="s">
        <v>7523</v>
      </c>
      <c r="B142" s="8" t="s">
        <v>7524</v>
      </c>
      <c r="C142" s="8" t="s">
        <v>178</v>
      </c>
      <c r="D142" s="8" t="s">
        <v>4081</v>
      </c>
      <c r="E142" s="8"/>
      <c r="F142" s="8" t="s">
        <v>86</v>
      </c>
      <c r="G142" s="8" t="n">
        <v>2</v>
      </c>
      <c r="H142" s="18" t="n">
        <f aca="false">INDEX('All Items'!$Q:$Q,MATCH($A142,'All Items'!$A:$A,0))</f>
        <v>5.85</v>
      </c>
      <c r="I142" s="8" t="s">
        <v>7243</v>
      </c>
    </row>
    <row r="143" customFormat="false" ht="15" hidden="false" customHeight="false" outlineLevel="0" collapsed="false">
      <c r="A143" s="8" t="s">
        <v>7525</v>
      </c>
      <c r="B143" s="8" t="s">
        <v>7526</v>
      </c>
      <c r="C143" s="8" t="s">
        <v>178</v>
      </c>
      <c r="D143" s="8" t="s">
        <v>4325</v>
      </c>
      <c r="E143" s="8"/>
      <c r="F143" s="8" t="s">
        <v>78</v>
      </c>
      <c r="G143" s="8" t="n">
        <v>2</v>
      </c>
      <c r="H143" s="18" t="n">
        <f aca="false">INDEX('All Items'!$Q:$Q,MATCH($A143,'All Items'!$A:$A,0))</f>
        <v>5.85</v>
      </c>
      <c r="I143" s="8" t="s">
        <v>7243</v>
      </c>
    </row>
    <row r="144" customFormat="false" ht="15" hidden="false" customHeight="false" outlineLevel="0" collapsed="false">
      <c r="A144" s="8" t="s">
        <v>7527</v>
      </c>
      <c r="B144" s="8" t="s">
        <v>7528</v>
      </c>
      <c r="C144" s="8" t="s">
        <v>178</v>
      </c>
      <c r="D144" s="8" t="s">
        <v>4325</v>
      </c>
      <c r="E144" s="8"/>
      <c r="F144" s="8" t="s">
        <v>83</v>
      </c>
      <c r="G144" s="8" t="n">
        <v>2</v>
      </c>
      <c r="H144" s="18" t="n">
        <f aca="false">INDEX('All Items'!$Q:$Q,MATCH($A144,'All Items'!$A:$A,0))</f>
        <v>5.85</v>
      </c>
      <c r="I144" s="8" t="s">
        <v>7243</v>
      </c>
    </row>
    <row r="145" customFormat="false" ht="15" hidden="false" customHeight="false" outlineLevel="0" collapsed="false">
      <c r="A145" s="8" t="s">
        <v>7529</v>
      </c>
      <c r="B145" s="8" t="s">
        <v>7530</v>
      </c>
      <c r="C145" s="8" t="s">
        <v>178</v>
      </c>
      <c r="D145" s="8" t="s">
        <v>4325</v>
      </c>
      <c r="E145" s="8"/>
      <c r="F145" s="8" t="s">
        <v>80</v>
      </c>
      <c r="G145" s="8" t="n">
        <v>2</v>
      </c>
      <c r="H145" s="18" t="n">
        <f aca="false">INDEX('All Items'!$Q:$Q,MATCH($A145,'All Items'!$A:$A,0))</f>
        <v>5.85</v>
      </c>
      <c r="I145" s="8" t="s">
        <v>7243</v>
      </c>
    </row>
    <row r="146" customFormat="false" ht="15" hidden="false" customHeight="false" outlineLevel="0" collapsed="false">
      <c r="A146" s="8" t="s">
        <v>7531</v>
      </c>
      <c r="B146" s="8" t="s">
        <v>7532</v>
      </c>
      <c r="C146" s="8" t="s">
        <v>178</v>
      </c>
      <c r="D146" s="8" t="s">
        <v>4403</v>
      </c>
      <c r="E146" s="8"/>
      <c r="F146" s="8" t="s">
        <v>78</v>
      </c>
      <c r="G146" s="8" t="n">
        <v>2</v>
      </c>
      <c r="H146" s="18" t="n">
        <f aca="false">INDEX('All Items'!$Q:$Q,MATCH($A146,'All Items'!$A:$A,0))</f>
        <v>5.85</v>
      </c>
      <c r="I146" s="8" t="s">
        <v>7243</v>
      </c>
    </row>
    <row r="147" customFormat="false" ht="15" hidden="false" customHeight="false" outlineLevel="0" collapsed="false">
      <c r="A147" s="8" t="s">
        <v>7533</v>
      </c>
      <c r="B147" s="8" t="s">
        <v>7534</v>
      </c>
      <c r="C147" s="8" t="s">
        <v>178</v>
      </c>
      <c r="D147" s="8" t="s">
        <v>4403</v>
      </c>
      <c r="E147" s="8"/>
      <c r="F147" s="8" t="s">
        <v>81</v>
      </c>
      <c r="G147" s="8" t="n">
        <v>2</v>
      </c>
      <c r="H147" s="18" t="n">
        <f aca="false">INDEX('All Items'!$Q:$Q,MATCH($A147,'All Items'!$A:$A,0))</f>
        <v>5.85</v>
      </c>
      <c r="I147" s="8" t="s">
        <v>7243</v>
      </c>
    </row>
    <row r="148" customFormat="false" ht="15" hidden="false" customHeight="false" outlineLevel="0" collapsed="false">
      <c r="A148" s="8" t="s">
        <v>7535</v>
      </c>
      <c r="B148" s="8" t="s">
        <v>7536</v>
      </c>
      <c r="C148" s="8" t="s">
        <v>178</v>
      </c>
      <c r="D148" s="8" t="s">
        <v>4448</v>
      </c>
      <c r="E148" s="8"/>
      <c r="F148" s="8" t="s">
        <v>78</v>
      </c>
      <c r="G148" s="8" t="n">
        <v>2</v>
      </c>
      <c r="H148" s="18" t="n">
        <f aca="false">INDEX('All Items'!$Q:$Q,MATCH($A148,'All Items'!$A:$A,0))</f>
        <v>5.85</v>
      </c>
      <c r="I148" s="8" t="s">
        <v>7243</v>
      </c>
    </row>
    <row r="149" customFormat="false" ht="15" hidden="false" customHeight="false" outlineLevel="0" collapsed="false">
      <c r="A149" s="8" t="s">
        <v>7537</v>
      </c>
      <c r="B149" s="8" t="s">
        <v>7538</v>
      </c>
      <c r="C149" s="8" t="s">
        <v>178</v>
      </c>
      <c r="D149" s="8" t="s">
        <v>4583</v>
      </c>
      <c r="E149" s="8"/>
      <c r="F149" s="8" t="s">
        <v>80</v>
      </c>
      <c r="G149" s="8" t="n">
        <v>2</v>
      </c>
      <c r="H149" s="18" t="n">
        <f aca="false">INDEX('All Items'!$Q:$Q,MATCH($A149,'All Items'!$A:$A,0))</f>
        <v>5.85</v>
      </c>
      <c r="I149" s="8" t="s">
        <v>7243</v>
      </c>
    </row>
    <row r="150" customFormat="false" ht="15" hidden="false" customHeight="false" outlineLevel="0" collapsed="false">
      <c r="A150" s="8" t="s">
        <v>7539</v>
      </c>
      <c r="B150" s="8" t="s">
        <v>7540</v>
      </c>
      <c r="C150" s="8" t="s">
        <v>178</v>
      </c>
      <c r="D150" s="8" t="s">
        <v>4613</v>
      </c>
      <c r="E150" s="8"/>
      <c r="F150" s="8" t="s">
        <v>78</v>
      </c>
      <c r="G150" s="8" t="n">
        <v>2</v>
      </c>
      <c r="H150" s="18" t="n">
        <f aca="false">INDEX('All Items'!$Q:$Q,MATCH($A150,'All Items'!$A:$A,0))</f>
        <v>5.85</v>
      </c>
      <c r="I150" s="8" t="s">
        <v>7243</v>
      </c>
    </row>
    <row r="151" customFormat="false" ht="15" hidden="false" customHeight="false" outlineLevel="0" collapsed="false">
      <c r="A151" s="8" t="s">
        <v>7541</v>
      </c>
      <c r="B151" s="8" t="s">
        <v>7542</v>
      </c>
      <c r="C151" s="8" t="s">
        <v>178</v>
      </c>
      <c r="D151" s="8" t="s">
        <v>4613</v>
      </c>
      <c r="E151" s="8"/>
      <c r="F151" s="8" t="s">
        <v>86</v>
      </c>
      <c r="G151" s="8" t="n">
        <v>2</v>
      </c>
      <c r="H151" s="18" t="n">
        <f aca="false">INDEX('All Items'!$Q:$Q,MATCH($A151,'All Items'!$A:$A,0))</f>
        <v>5.85</v>
      </c>
      <c r="I151" s="8" t="s">
        <v>7243</v>
      </c>
    </row>
    <row r="152" customFormat="false" ht="15" hidden="false" customHeight="false" outlineLevel="0" collapsed="false">
      <c r="A152" s="8" t="s">
        <v>7543</v>
      </c>
      <c r="B152" s="8" t="s">
        <v>7544</v>
      </c>
      <c r="C152" s="8" t="s">
        <v>178</v>
      </c>
      <c r="D152" s="8" t="s">
        <v>4613</v>
      </c>
      <c r="E152" s="8"/>
      <c r="F152" s="8" t="s">
        <v>78</v>
      </c>
      <c r="G152" s="8" t="n">
        <v>2</v>
      </c>
      <c r="H152" s="18" t="n">
        <f aca="false">INDEX('All Items'!$Q:$Q,MATCH($A152,'All Items'!$A:$A,0))</f>
        <v>5.85</v>
      </c>
      <c r="I152" s="8" t="s">
        <v>7243</v>
      </c>
    </row>
    <row r="153" customFormat="false" ht="15" hidden="false" customHeight="false" outlineLevel="0" collapsed="false">
      <c r="A153" s="8" t="s">
        <v>7545</v>
      </c>
      <c r="B153" s="8" t="s">
        <v>7546</v>
      </c>
      <c r="C153" s="8" t="s">
        <v>178</v>
      </c>
      <c r="D153" s="8" t="s">
        <v>4693</v>
      </c>
      <c r="E153" s="8"/>
      <c r="F153" s="8" t="s">
        <v>78</v>
      </c>
      <c r="G153" s="8" t="n">
        <v>2</v>
      </c>
      <c r="H153" s="18" t="n">
        <f aca="false">INDEX('All Items'!$Q:$Q,MATCH($A153,'All Items'!$A:$A,0))</f>
        <v>5.85</v>
      </c>
      <c r="I153" s="8" t="s">
        <v>7243</v>
      </c>
    </row>
    <row r="154" customFormat="false" ht="15" hidden="false" customHeight="false" outlineLevel="0" collapsed="false">
      <c r="A154" s="8" t="s">
        <v>7547</v>
      </c>
      <c r="B154" s="8" t="s">
        <v>7548</v>
      </c>
      <c r="C154" s="8" t="s">
        <v>178</v>
      </c>
      <c r="D154" s="8" t="s">
        <v>4701</v>
      </c>
      <c r="E154" s="8"/>
      <c r="F154" s="8" t="s">
        <v>79</v>
      </c>
      <c r="G154" s="8" t="n">
        <v>2</v>
      </c>
      <c r="H154" s="18" t="n">
        <f aca="false">INDEX('All Items'!$Q:$Q,MATCH($A154,'All Items'!$A:$A,0))</f>
        <v>5.85</v>
      </c>
      <c r="I154" s="8" t="s">
        <v>7243</v>
      </c>
    </row>
    <row r="155" customFormat="false" ht="15" hidden="false" customHeight="false" outlineLevel="0" collapsed="false">
      <c r="A155" s="8" t="s">
        <v>7549</v>
      </c>
      <c r="B155" s="8" t="s">
        <v>7550</v>
      </c>
      <c r="C155" s="8" t="s">
        <v>178</v>
      </c>
      <c r="D155" s="8" t="s">
        <v>7551</v>
      </c>
      <c r="E155" s="8"/>
      <c r="F155" s="8" t="s">
        <v>79</v>
      </c>
      <c r="G155" s="8" t="n">
        <v>2</v>
      </c>
      <c r="H155" s="18" t="n">
        <f aca="false">INDEX('All Items'!$Q:$Q,MATCH($A155,'All Items'!$A:$A,0))</f>
        <v>5.85</v>
      </c>
      <c r="I155" s="8" t="s">
        <v>7243</v>
      </c>
    </row>
    <row r="156" customFormat="false" ht="15" hidden="false" customHeight="false" outlineLevel="0" collapsed="false">
      <c r="A156" s="8" t="s">
        <v>7552</v>
      </c>
      <c r="B156" s="8" t="s">
        <v>7553</v>
      </c>
      <c r="C156" s="8" t="s">
        <v>178</v>
      </c>
      <c r="D156" s="8" t="s">
        <v>4713</v>
      </c>
      <c r="E156" s="8"/>
      <c r="F156" s="8" t="s">
        <v>78</v>
      </c>
      <c r="G156" s="8" t="n">
        <v>2</v>
      </c>
      <c r="H156" s="18" t="n">
        <f aca="false">INDEX('All Items'!$Q:$Q,MATCH($A156,'All Items'!$A:$A,0))</f>
        <v>5.85</v>
      </c>
      <c r="I156" s="8" t="s">
        <v>7243</v>
      </c>
    </row>
    <row r="157" customFormat="false" ht="15" hidden="false" customHeight="false" outlineLevel="0" collapsed="false">
      <c r="A157" s="8" t="s">
        <v>7554</v>
      </c>
      <c r="B157" s="8" t="s">
        <v>7555</v>
      </c>
      <c r="C157" s="8" t="s">
        <v>178</v>
      </c>
      <c r="D157" s="8" t="s">
        <v>4713</v>
      </c>
      <c r="E157" s="8"/>
      <c r="F157" s="8" t="s">
        <v>80</v>
      </c>
      <c r="G157" s="8" t="n">
        <v>2</v>
      </c>
      <c r="H157" s="18" t="n">
        <f aca="false">INDEX('All Items'!$Q:$Q,MATCH($A157,'All Items'!$A:$A,0))</f>
        <v>5.85</v>
      </c>
      <c r="I157" s="8" t="s">
        <v>7243</v>
      </c>
    </row>
    <row r="158" customFormat="false" ht="15" hidden="false" customHeight="false" outlineLevel="0" collapsed="false">
      <c r="A158" s="8" t="s">
        <v>7556</v>
      </c>
      <c r="B158" s="8" t="s">
        <v>7557</v>
      </c>
      <c r="C158" s="8" t="s">
        <v>178</v>
      </c>
      <c r="D158" s="8" t="s">
        <v>4768</v>
      </c>
      <c r="E158" s="8"/>
      <c r="F158" s="8" t="s">
        <v>80</v>
      </c>
      <c r="G158" s="8" t="n">
        <v>2</v>
      </c>
      <c r="H158" s="18" t="n">
        <f aca="false">INDEX('All Items'!$Q:$Q,MATCH($A158,'All Items'!$A:$A,0))</f>
        <v>5.85</v>
      </c>
      <c r="I158" s="8" t="s">
        <v>7243</v>
      </c>
    </row>
    <row r="159" customFormat="false" ht="15" hidden="false" customHeight="false" outlineLevel="0" collapsed="false">
      <c r="A159" s="8" t="s">
        <v>7558</v>
      </c>
      <c r="B159" s="8" t="s">
        <v>7559</v>
      </c>
      <c r="C159" s="8" t="s">
        <v>178</v>
      </c>
      <c r="D159" s="8" t="s">
        <v>4795</v>
      </c>
      <c r="E159" s="8"/>
      <c r="F159" s="8" t="s">
        <v>83</v>
      </c>
      <c r="G159" s="8" t="n">
        <v>2</v>
      </c>
      <c r="H159" s="18" t="n">
        <f aca="false">INDEX('All Items'!$Q:$Q,MATCH($A159,'All Items'!$A:$A,0))</f>
        <v>5.85</v>
      </c>
      <c r="I159" s="8" t="s">
        <v>7243</v>
      </c>
    </row>
    <row r="160" customFormat="false" ht="15" hidden="false" customHeight="false" outlineLevel="0" collapsed="false">
      <c r="A160" s="8" t="s">
        <v>7560</v>
      </c>
      <c r="B160" s="8" t="s">
        <v>7561</v>
      </c>
      <c r="C160" s="8" t="s">
        <v>178</v>
      </c>
      <c r="D160" s="8" t="s">
        <v>4795</v>
      </c>
      <c r="E160" s="8"/>
      <c r="F160" s="8" t="s">
        <v>78</v>
      </c>
      <c r="G160" s="8" t="n">
        <v>2</v>
      </c>
      <c r="H160" s="18" t="n">
        <f aca="false">INDEX('All Items'!$Q:$Q,MATCH($A160,'All Items'!$A:$A,0))</f>
        <v>5.85</v>
      </c>
      <c r="I160" s="8" t="s">
        <v>7243</v>
      </c>
    </row>
    <row r="161" customFormat="false" ht="15" hidden="false" customHeight="false" outlineLevel="0" collapsed="false">
      <c r="A161" s="8" t="s">
        <v>7562</v>
      </c>
      <c r="B161" s="8" t="s">
        <v>7563</v>
      </c>
      <c r="C161" s="8" t="s">
        <v>178</v>
      </c>
      <c r="D161" s="8" t="s">
        <v>4890</v>
      </c>
      <c r="E161" s="8"/>
      <c r="F161" s="8" t="s">
        <v>89</v>
      </c>
      <c r="G161" s="8" t="n">
        <v>2</v>
      </c>
      <c r="H161" s="18" t="n">
        <f aca="false">INDEX('All Items'!$Q:$Q,MATCH($A161,'All Items'!$A:$A,0))</f>
        <v>5.85</v>
      </c>
      <c r="I161" s="8" t="s">
        <v>7243</v>
      </c>
    </row>
    <row r="162" customFormat="false" ht="15" hidden="false" customHeight="false" outlineLevel="0" collapsed="false">
      <c r="A162" s="8" t="s">
        <v>7564</v>
      </c>
      <c r="B162" s="8" t="s">
        <v>7565</v>
      </c>
      <c r="C162" s="8" t="s">
        <v>178</v>
      </c>
      <c r="D162" s="8" t="s">
        <v>4923</v>
      </c>
      <c r="E162" s="8"/>
      <c r="F162" s="8" t="s">
        <v>83</v>
      </c>
      <c r="G162" s="8" t="n">
        <v>2</v>
      </c>
      <c r="H162" s="18" t="n">
        <f aca="false">INDEX('All Items'!$Q:$Q,MATCH($A162,'All Items'!$A:$A,0))</f>
        <v>5.85</v>
      </c>
      <c r="I162" s="8" t="s">
        <v>7243</v>
      </c>
    </row>
    <row r="163" customFormat="false" ht="15" hidden="false" customHeight="false" outlineLevel="0" collapsed="false">
      <c r="A163" s="8" t="s">
        <v>7566</v>
      </c>
      <c r="B163" s="8" t="s">
        <v>7567</v>
      </c>
      <c r="C163" s="8" t="s">
        <v>178</v>
      </c>
      <c r="D163" s="8" t="s">
        <v>4923</v>
      </c>
      <c r="E163" s="8"/>
      <c r="F163" s="8" t="s">
        <v>80</v>
      </c>
      <c r="G163" s="8" t="n">
        <v>2</v>
      </c>
      <c r="H163" s="18" t="n">
        <f aca="false">INDEX('All Items'!$Q:$Q,MATCH($A163,'All Items'!$A:$A,0))</f>
        <v>5.85</v>
      </c>
      <c r="I163" s="8" t="s">
        <v>7243</v>
      </c>
    </row>
    <row r="164" customFormat="false" ht="15" hidden="false" customHeight="false" outlineLevel="0" collapsed="false">
      <c r="A164" s="8" t="s">
        <v>7568</v>
      </c>
      <c r="B164" s="8" t="s">
        <v>7569</v>
      </c>
      <c r="C164" s="8" t="s">
        <v>178</v>
      </c>
      <c r="D164" s="8" t="s">
        <v>4923</v>
      </c>
      <c r="E164" s="8"/>
      <c r="F164" s="8" t="s">
        <v>78</v>
      </c>
      <c r="G164" s="8" t="n">
        <v>2</v>
      </c>
      <c r="H164" s="18" t="n">
        <f aca="false">INDEX('All Items'!$Q:$Q,MATCH($A164,'All Items'!$A:$A,0))</f>
        <v>5.85</v>
      </c>
      <c r="I164" s="8" t="s">
        <v>7243</v>
      </c>
    </row>
    <row r="165" customFormat="false" ht="15" hidden="false" customHeight="false" outlineLevel="0" collapsed="false">
      <c r="A165" s="8" t="s">
        <v>7570</v>
      </c>
      <c r="B165" s="8" t="s">
        <v>7571</v>
      </c>
      <c r="C165" s="8" t="s">
        <v>178</v>
      </c>
      <c r="D165" s="8" t="s">
        <v>4987</v>
      </c>
      <c r="E165" s="8"/>
      <c r="F165" s="8" t="s">
        <v>78</v>
      </c>
      <c r="G165" s="8" t="n">
        <v>2</v>
      </c>
      <c r="H165" s="18" t="n">
        <f aca="false">INDEX('All Items'!$Q:$Q,MATCH($A165,'All Items'!$A:$A,0))</f>
        <v>5.85</v>
      </c>
      <c r="I165" s="8" t="s">
        <v>7243</v>
      </c>
    </row>
    <row r="166" customFormat="false" ht="15" hidden="false" customHeight="false" outlineLevel="0" collapsed="false">
      <c r="A166" s="8" t="s">
        <v>7572</v>
      </c>
      <c r="B166" s="8" t="s">
        <v>7573</v>
      </c>
      <c r="C166" s="8" t="s">
        <v>178</v>
      </c>
      <c r="D166" s="8" t="s">
        <v>4987</v>
      </c>
      <c r="E166" s="8"/>
      <c r="F166" s="8" t="s">
        <v>83</v>
      </c>
      <c r="G166" s="8" t="n">
        <v>2</v>
      </c>
      <c r="H166" s="18" t="n">
        <f aca="false">INDEX('All Items'!$Q:$Q,MATCH($A166,'All Items'!$A:$A,0))</f>
        <v>5.85</v>
      </c>
      <c r="I166" s="8" t="s">
        <v>7243</v>
      </c>
    </row>
    <row r="167" customFormat="false" ht="15" hidden="false" customHeight="false" outlineLevel="0" collapsed="false">
      <c r="A167" s="8" t="s">
        <v>7574</v>
      </c>
      <c r="B167" s="8" t="s">
        <v>7575</v>
      </c>
      <c r="C167" s="8" t="s">
        <v>178</v>
      </c>
      <c r="D167" s="8" t="s">
        <v>5046</v>
      </c>
      <c r="E167" s="8"/>
      <c r="F167" s="8" t="s">
        <v>82</v>
      </c>
      <c r="G167" s="8" t="n">
        <v>2</v>
      </c>
      <c r="H167" s="18" t="n">
        <f aca="false">INDEX('All Items'!$Q:$Q,MATCH($A167,'All Items'!$A:$A,0))</f>
        <v>5.85</v>
      </c>
      <c r="I167" s="8" t="s">
        <v>7243</v>
      </c>
    </row>
    <row r="168" customFormat="false" ht="15" hidden="false" customHeight="false" outlineLevel="0" collapsed="false">
      <c r="A168" s="8" t="s">
        <v>7576</v>
      </c>
      <c r="B168" s="8" t="s">
        <v>7577</v>
      </c>
      <c r="C168" s="8" t="s">
        <v>178</v>
      </c>
      <c r="D168" s="8" t="s">
        <v>5255</v>
      </c>
      <c r="E168" s="8"/>
      <c r="F168" s="8" t="s">
        <v>80</v>
      </c>
      <c r="G168" s="8" t="n">
        <v>2</v>
      </c>
      <c r="H168" s="18" t="n">
        <f aca="false">INDEX('All Items'!$Q:$Q,MATCH($A168,'All Items'!$A:$A,0))</f>
        <v>5.85</v>
      </c>
      <c r="I168" s="8" t="s">
        <v>7243</v>
      </c>
    </row>
    <row r="169" customFormat="false" ht="15" hidden="false" customHeight="false" outlineLevel="0" collapsed="false">
      <c r="A169" s="8" t="s">
        <v>7578</v>
      </c>
      <c r="B169" s="8" t="s">
        <v>7579</v>
      </c>
      <c r="C169" s="8" t="s">
        <v>178</v>
      </c>
      <c r="D169" s="8" t="s">
        <v>7580</v>
      </c>
      <c r="E169" s="8"/>
      <c r="F169" s="8" t="s">
        <v>82</v>
      </c>
      <c r="G169" s="8" t="n">
        <v>2</v>
      </c>
      <c r="H169" s="18" t="n">
        <f aca="false">INDEX('All Items'!$Q:$Q,MATCH($A169,'All Items'!$A:$A,0))</f>
        <v>5.85</v>
      </c>
      <c r="I169" s="8" t="s">
        <v>7243</v>
      </c>
    </row>
    <row r="170" customFormat="false" ht="15" hidden="false" customHeight="false" outlineLevel="0" collapsed="false">
      <c r="A170" s="8" t="s">
        <v>7581</v>
      </c>
      <c r="B170" s="8" t="s">
        <v>7582</v>
      </c>
      <c r="C170" s="8" t="s">
        <v>178</v>
      </c>
      <c r="D170" s="8" t="s">
        <v>7583</v>
      </c>
      <c r="E170" s="8"/>
      <c r="F170" s="8" t="s">
        <v>81</v>
      </c>
      <c r="G170" s="8" t="n">
        <v>2</v>
      </c>
      <c r="H170" s="18" t="n">
        <f aca="false">INDEX('All Items'!$Q:$Q,MATCH($A170,'All Items'!$A:$A,0))</f>
        <v>5.85</v>
      </c>
      <c r="I170" s="8" t="s">
        <v>7243</v>
      </c>
    </row>
    <row r="171" customFormat="false" ht="15" hidden="false" customHeight="false" outlineLevel="0" collapsed="false">
      <c r="A171" s="8" t="s">
        <v>7584</v>
      </c>
      <c r="B171" s="8" t="s">
        <v>7585</v>
      </c>
      <c r="C171" s="8" t="s">
        <v>178</v>
      </c>
      <c r="D171" s="8" t="s">
        <v>5446</v>
      </c>
      <c r="E171" s="8"/>
      <c r="F171" s="8" t="s">
        <v>81</v>
      </c>
      <c r="G171" s="8" t="n">
        <v>2</v>
      </c>
      <c r="H171" s="18" t="n">
        <f aca="false">INDEX('All Items'!$Q:$Q,MATCH($A171,'All Items'!$A:$A,0))</f>
        <v>5.85</v>
      </c>
      <c r="I171" s="8" t="s">
        <v>7243</v>
      </c>
    </row>
    <row r="172" customFormat="false" ht="15" hidden="false" customHeight="false" outlineLevel="0" collapsed="false">
      <c r="A172" s="8" t="s">
        <v>7586</v>
      </c>
      <c r="B172" s="8" t="s">
        <v>7587</v>
      </c>
      <c r="C172" s="8" t="s">
        <v>178</v>
      </c>
      <c r="D172" s="8" t="s">
        <v>5544</v>
      </c>
      <c r="E172" s="8"/>
      <c r="F172" s="8" t="s">
        <v>81</v>
      </c>
      <c r="G172" s="8" t="n">
        <v>2</v>
      </c>
      <c r="H172" s="18" t="n">
        <f aca="false">INDEX('All Items'!$Q:$Q,MATCH($A172,'All Items'!$A:$A,0))</f>
        <v>5.85</v>
      </c>
      <c r="I172" s="8" t="s">
        <v>7243</v>
      </c>
    </row>
    <row r="173" customFormat="false" ht="15" hidden="false" customHeight="false" outlineLevel="0" collapsed="false">
      <c r="A173" s="8" t="s">
        <v>7588</v>
      </c>
      <c r="B173" s="8" t="s">
        <v>7589</v>
      </c>
      <c r="C173" s="8" t="s">
        <v>178</v>
      </c>
      <c r="D173" s="8" t="s">
        <v>5588</v>
      </c>
      <c r="E173" s="8"/>
      <c r="F173" s="8" t="s">
        <v>78</v>
      </c>
      <c r="G173" s="8" t="n">
        <v>2</v>
      </c>
      <c r="H173" s="18" t="n">
        <f aca="false">INDEX('All Items'!$Q:$Q,MATCH($A173,'All Items'!$A:$A,0))</f>
        <v>5.85</v>
      </c>
      <c r="I173" s="8" t="s">
        <v>7243</v>
      </c>
    </row>
    <row r="174" customFormat="false" ht="15" hidden="false" customHeight="false" outlineLevel="0" collapsed="false">
      <c r="A174" s="8" t="s">
        <v>7590</v>
      </c>
      <c r="B174" s="8" t="s">
        <v>7591</v>
      </c>
      <c r="C174" s="8" t="s">
        <v>178</v>
      </c>
      <c r="D174" s="8" t="s">
        <v>5707</v>
      </c>
      <c r="E174" s="8"/>
      <c r="F174" s="8" t="s">
        <v>78</v>
      </c>
      <c r="G174" s="8" t="n">
        <v>2</v>
      </c>
      <c r="H174" s="18" t="n">
        <f aca="false">INDEX('All Items'!$Q:$Q,MATCH($A174,'All Items'!$A:$A,0))</f>
        <v>5.85</v>
      </c>
      <c r="I174" s="8" t="s">
        <v>7243</v>
      </c>
    </row>
    <row r="175" customFormat="false" ht="15" hidden="false" customHeight="false" outlineLevel="0" collapsed="false">
      <c r="A175" s="8" t="s">
        <v>7592</v>
      </c>
      <c r="B175" s="8" t="s">
        <v>7593</v>
      </c>
      <c r="C175" s="8" t="s">
        <v>178</v>
      </c>
      <c r="D175" s="8" t="s">
        <v>7404</v>
      </c>
      <c r="E175" s="8"/>
      <c r="F175" s="8" t="s">
        <v>85</v>
      </c>
      <c r="G175" s="8" t="n">
        <v>2</v>
      </c>
      <c r="H175" s="18" t="n">
        <f aca="false">INDEX('All Items'!$Q:$Q,MATCH($A175,'All Items'!$A:$A,0))</f>
        <v>5.85</v>
      </c>
      <c r="I175" s="8" t="s">
        <v>7243</v>
      </c>
    </row>
    <row r="176" customFormat="false" ht="15" hidden="false" customHeight="false" outlineLevel="0" collapsed="false">
      <c r="A176" s="8" t="s">
        <v>7594</v>
      </c>
      <c r="B176" s="8" t="s">
        <v>7595</v>
      </c>
      <c r="C176" s="8" t="s">
        <v>178</v>
      </c>
      <c r="D176" s="8" t="s">
        <v>7404</v>
      </c>
      <c r="E176" s="8"/>
      <c r="F176" s="8" t="s">
        <v>78</v>
      </c>
      <c r="G176" s="8" t="n">
        <v>2</v>
      </c>
      <c r="H176" s="18" t="n">
        <f aca="false">INDEX('All Items'!$Q:$Q,MATCH($A176,'All Items'!$A:$A,0))</f>
        <v>5.85</v>
      </c>
      <c r="I176" s="8" t="s">
        <v>7243</v>
      </c>
    </row>
    <row r="177" customFormat="false" ht="15" hidden="false" customHeight="false" outlineLevel="0" collapsed="false">
      <c r="A177" s="8" t="s">
        <v>7596</v>
      </c>
      <c r="B177" s="8" t="s">
        <v>7597</v>
      </c>
      <c r="C177" s="8" t="s">
        <v>178</v>
      </c>
      <c r="D177" s="8" t="s">
        <v>7598</v>
      </c>
      <c r="E177" s="8"/>
      <c r="F177" s="8" t="s">
        <v>78</v>
      </c>
      <c r="G177" s="8" t="n">
        <v>2</v>
      </c>
      <c r="H177" s="18" t="n">
        <f aca="false">INDEX('All Items'!$Q:$Q,MATCH($A177,'All Items'!$A:$A,0))</f>
        <v>5.85</v>
      </c>
      <c r="I177" s="8" t="s">
        <v>7243</v>
      </c>
    </row>
    <row r="178" customFormat="false" ht="15" hidden="false" customHeight="false" outlineLevel="0" collapsed="false">
      <c r="A178" s="8" t="s">
        <v>7599</v>
      </c>
      <c r="B178" s="8" t="s">
        <v>7600</v>
      </c>
      <c r="C178" s="8" t="s">
        <v>178</v>
      </c>
      <c r="D178" s="8" t="s">
        <v>5747</v>
      </c>
      <c r="E178" s="8"/>
      <c r="F178" s="8" t="s">
        <v>85</v>
      </c>
      <c r="G178" s="8" t="n">
        <v>2</v>
      </c>
      <c r="H178" s="18" t="n">
        <f aca="false">INDEX('All Items'!$Q:$Q,MATCH($A178,'All Items'!$A:$A,0))</f>
        <v>5.85</v>
      </c>
      <c r="I178" s="8" t="s">
        <v>7243</v>
      </c>
    </row>
    <row r="179" customFormat="false" ht="15" hidden="false" customHeight="false" outlineLevel="0" collapsed="false">
      <c r="A179" s="8" t="s">
        <v>7601</v>
      </c>
      <c r="B179" s="8" t="s">
        <v>7602</v>
      </c>
      <c r="C179" s="8" t="s">
        <v>178</v>
      </c>
      <c r="D179" s="8" t="s">
        <v>5747</v>
      </c>
      <c r="E179" s="8"/>
      <c r="F179" s="8" t="s">
        <v>78</v>
      </c>
      <c r="G179" s="8" t="n">
        <v>2</v>
      </c>
      <c r="H179" s="18" t="n">
        <f aca="false">INDEX('All Items'!$Q:$Q,MATCH($A179,'All Items'!$A:$A,0))</f>
        <v>5.85</v>
      </c>
      <c r="I179" s="8" t="s">
        <v>7243</v>
      </c>
    </row>
    <row r="180" customFormat="false" ht="15" hidden="false" customHeight="false" outlineLevel="0" collapsed="false">
      <c r="A180" s="8" t="s">
        <v>7603</v>
      </c>
      <c r="B180" s="8" t="s">
        <v>7604</v>
      </c>
      <c r="C180" s="8" t="s">
        <v>178</v>
      </c>
      <c r="D180" s="8" t="s">
        <v>5817</v>
      </c>
      <c r="E180" s="8"/>
      <c r="F180" s="8" t="s">
        <v>78</v>
      </c>
      <c r="G180" s="8" t="n">
        <v>2</v>
      </c>
      <c r="H180" s="18" t="n">
        <f aca="false">INDEX('All Items'!$Q:$Q,MATCH($A180,'All Items'!$A:$A,0))</f>
        <v>5.85</v>
      </c>
      <c r="I180" s="8" t="s">
        <v>7243</v>
      </c>
    </row>
    <row r="181" customFormat="false" ht="15" hidden="false" customHeight="false" outlineLevel="0" collapsed="false">
      <c r="A181" s="8" t="s">
        <v>7605</v>
      </c>
      <c r="B181" s="8" t="s">
        <v>7606</v>
      </c>
      <c r="C181" s="8" t="s">
        <v>178</v>
      </c>
      <c r="D181" s="8" t="s">
        <v>5829</v>
      </c>
      <c r="E181" s="8"/>
      <c r="F181" s="8" t="s">
        <v>81</v>
      </c>
      <c r="G181" s="8" t="n">
        <v>2</v>
      </c>
      <c r="H181" s="18" t="n">
        <f aca="false">INDEX('All Items'!$Q:$Q,MATCH($A181,'All Items'!$A:$A,0))</f>
        <v>5.85</v>
      </c>
      <c r="I181" s="8" t="s">
        <v>7243</v>
      </c>
    </row>
    <row r="182" customFormat="false" ht="15" hidden="false" customHeight="false" outlineLevel="0" collapsed="false">
      <c r="A182" s="8" t="s">
        <v>7607</v>
      </c>
      <c r="B182" s="8" t="s">
        <v>7608</v>
      </c>
      <c r="C182" s="8" t="s">
        <v>178</v>
      </c>
      <c r="D182" s="8" t="s">
        <v>5829</v>
      </c>
      <c r="E182" s="8"/>
      <c r="F182" s="8" t="s">
        <v>86</v>
      </c>
      <c r="G182" s="8" t="n">
        <v>2</v>
      </c>
      <c r="H182" s="18" t="n">
        <f aca="false">INDEX('All Items'!$Q:$Q,MATCH($A182,'All Items'!$A:$A,0))</f>
        <v>5.85</v>
      </c>
      <c r="I182" s="8" t="s">
        <v>7243</v>
      </c>
    </row>
    <row r="183" customFormat="false" ht="15" hidden="false" customHeight="false" outlineLevel="0" collapsed="false">
      <c r="A183" s="8" t="s">
        <v>7609</v>
      </c>
      <c r="B183" s="8" t="s">
        <v>7610</v>
      </c>
      <c r="C183" s="8" t="s">
        <v>178</v>
      </c>
      <c r="D183" s="8" t="s">
        <v>5852</v>
      </c>
      <c r="E183" s="8"/>
      <c r="F183" s="8" t="s">
        <v>85</v>
      </c>
      <c r="G183" s="8" t="n">
        <v>2</v>
      </c>
      <c r="H183" s="18" t="n">
        <f aca="false">INDEX('All Items'!$Q:$Q,MATCH($A183,'All Items'!$A:$A,0))</f>
        <v>5.85</v>
      </c>
      <c r="I183" s="8" t="s">
        <v>7243</v>
      </c>
    </row>
    <row r="184" customFormat="false" ht="15" hidden="false" customHeight="false" outlineLevel="0" collapsed="false">
      <c r="A184" s="8" t="s">
        <v>7611</v>
      </c>
      <c r="B184" s="8" t="s">
        <v>7612</v>
      </c>
      <c r="C184" s="8" t="s">
        <v>178</v>
      </c>
      <c r="D184" s="8" t="s">
        <v>5872</v>
      </c>
      <c r="E184" s="8"/>
      <c r="F184" s="8" t="s">
        <v>80</v>
      </c>
      <c r="G184" s="8" t="n">
        <v>2</v>
      </c>
      <c r="H184" s="18" t="n">
        <f aca="false">INDEX('All Items'!$Q:$Q,MATCH($A184,'All Items'!$A:$A,0))</f>
        <v>5.85</v>
      </c>
      <c r="I184" s="8" t="s">
        <v>7243</v>
      </c>
    </row>
    <row r="185" customFormat="false" ht="15" hidden="false" customHeight="false" outlineLevel="0" collapsed="false">
      <c r="A185" s="8" t="s">
        <v>7613</v>
      </c>
      <c r="B185" s="8" t="s">
        <v>7614</v>
      </c>
      <c r="C185" s="8" t="s">
        <v>178</v>
      </c>
      <c r="D185" s="8" t="s">
        <v>5872</v>
      </c>
      <c r="E185" s="8"/>
      <c r="F185" s="8" t="s">
        <v>86</v>
      </c>
      <c r="G185" s="8" t="n">
        <v>2</v>
      </c>
      <c r="H185" s="18" t="n">
        <f aca="false">INDEX('All Items'!$Q:$Q,MATCH($A185,'All Items'!$A:$A,0))</f>
        <v>5.85</v>
      </c>
      <c r="I185" s="8" t="s">
        <v>7243</v>
      </c>
    </row>
    <row r="186" customFormat="false" ht="15" hidden="false" customHeight="false" outlineLevel="0" collapsed="false">
      <c r="A186" s="8" t="s">
        <v>7615</v>
      </c>
      <c r="B186" s="8" t="s">
        <v>7616</v>
      </c>
      <c r="C186" s="8" t="s">
        <v>178</v>
      </c>
      <c r="D186" s="8" t="s">
        <v>7617</v>
      </c>
      <c r="E186" s="8"/>
      <c r="F186" s="8" t="s">
        <v>85</v>
      </c>
      <c r="G186" s="8" t="n">
        <v>2</v>
      </c>
      <c r="H186" s="18" t="n">
        <f aca="false">INDEX('All Items'!$Q:$Q,MATCH($A186,'All Items'!$A:$A,0))</f>
        <v>5.85</v>
      </c>
      <c r="I186" s="8" t="s">
        <v>7243</v>
      </c>
    </row>
    <row r="187" customFormat="false" ht="15" hidden="false" customHeight="false" outlineLevel="0" collapsed="false">
      <c r="A187" s="8" t="s">
        <v>7618</v>
      </c>
      <c r="B187" s="8" t="s">
        <v>7619</v>
      </c>
      <c r="C187" s="8" t="s">
        <v>178</v>
      </c>
      <c r="D187" s="8" t="s">
        <v>7620</v>
      </c>
      <c r="E187" s="8"/>
      <c r="F187" s="8" t="s">
        <v>81</v>
      </c>
      <c r="G187" s="8" t="n">
        <v>2</v>
      </c>
      <c r="H187" s="18" t="n">
        <f aca="false">INDEX('All Items'!$Q:$Q,MATCH($A187,'All Items'!$A:$A,0))</f>
        <v>5.85</v>
      </c>
      <c r="I187" s="8" t="s">
        <v>7243</v>
      </c>
    </row>
    <row r="188" customFormat="false" ht="15" hidden="false" customHeight="false" outlineLevel="0" collapsed="false">
      <c r="A188" s="8" t="s">
        <v>7621</v>
      </c>
      <c r="B188" s="8" t="s">
        <v>7622</v>
      </c>
      <c r="C188" s="8" t="s">
        <v>178</v>
      </c>
      <c r="D188" s="8" t="s">
        <v>7623</v>
      </c>
      <c r="E188" s="8"/>
      <c r="F188" s="8" t="s">
        <v>78</v>
      </c>
      <c r="G188" s="8" t="n">
        <v>2</v>
      </c>
      <c r="H188" s="18" t="n">
        <f aca="false">INDEX('All Items'!$Q:$Q,MATCH($A188,'All Items'!$A:$A,0))</f>
        <v>5.85</v>
      </c>
      <c r="I188" s="8" t="s">
        <v>7243</v>
      </c>
    </row>
    <row r="189" customFormat="false" ht="15" hidden="false" customHeight="false" outlineLevel="0" collapsed="false">
      <c r="A189" s="8" t="s">
        <v>7624</v>
      </c>
      <c r="B189" s="8" t="s">
        <v>7625</v>
      </c>
      <c r="C189" s="8" t="s">
        <v>178</v>
      </c>
      <c r="D189" s="8" t="s">
        <v>7626</v>
      </c>
      <c r="E189" s="8"/>
      <c r="F189" s="8" t="s">
        <v>78</v>
      </c>
      <c r="G189" s="8" t="n">
        <v>2</v>
      </c>
      <c r="H189" s="18" t="n">
        <f aca="false">INDEX('All Items'!$Q:$Q,MATCH($A189,'All Items'!$A:$A,0))</f>
        <v>5.85</v>
      </c>
      <c r="I189" s="8" t="s">
        <v>7243</v>
      </c>
    </row>
    <row r="190" customFormat="false" ht="15" hidden="false" customHeight="false" outlineLevel="0" collapsed="false">
      <c r="A190" s="8" t="s">
        <v>7627</v>
      </c>
      <c r="B190" s="8" t="s">
        <v>7628</v>
      </c>
      <c r="C190" s="8" t="s">
        <v>178</v>
      </c>
      <c r="D190" s="8" t="s">
        <v>5915</v>
      </c>
      <c r="E190" s="8"/>
      <c r="F190" s="8" t="s">
        <v>80</v>
      </c>
      <c r="G190" s="8" t="n">
        <v>2</v>
      </c>
      <c r="H190" s="18" t="n">
        <f aca="false">INDEX('All Items'!$Q:$Q,MATCH($A190,'All Items'!$A:$A,0))</f>
        <v>5.85</v>
      </c>
      <c r="I190" s="8" t="s">
        <v>7243</v>
      </c>
    </row>
    <row r="191" customFormat="false" ht="15" hidden="false" customHeight="false" outlineLevel="0" collapsed="false">
      <c r="A191" s="8" t="s">
        <v>7629</v>
      </c>
      <c r="B191" s="8" t="s">
        <v>7630</v>
      </c>
      <c r="C191" s="8" t="s">
        <v>178</v>
      </c>
      <c r="D191" s="8" t="s">
        <v>5915</v>
      </c>
      <c r="E191" s="8"/>
      <c r="F191" s="8" t="s">
        <v>79</v>
      </c>
      <c r="G191" s="8" t="n">
        <v>2</v>
      </c>
      <c r="H191" s="18" t="n">
        <f aca="false">INDEX('All Items'!$Q:$Q,MATCH($A191,'All Items'!$A:$A,0))</f>
        <v>5.85</v>
      </c>
      <c r="I191" s="8" t="s">
        <v>7243</v>
      </c>
    </row>
    <row r="192" customFormat="false" ht="15" hidden="false" customHeight="false" outlineLevel="0" collapsed="false">
      <c r="A192" s="8" t="s">
        <v>7631</v>
      </c>
      <c r="B192" s="8" t="s">
        <v>7632</v>
      </c>
      <c r="C192" s="8" t="s">
        <v>178</v>
      </c>
      <c r="D192" s="8" t="s">
        <v>5915</v>
      </c>
      <c r="E192" s="8"/>
      <c r="F192" s="8" t="s">
        <v>78</v>
      </c>
      <c r="G192" s="8" t="n">
        <v>2</v>
      </c>
      <c r="H192" s="18" t="n">
        <f aca="false">INDEX('All Items'!$Q:$Q,MATCH($A192,'All Items'!$A:$A,0))</f>
        <v>5.85</v>
      </c>
      <c r="I192" s="8" t="s">
        <v>7243</v>
      </c>
    </row>
    <row r="193" customFormat="false" ht="15" hidden="false" customHeight="false" outlineLevel="0" collapsed="false">
      <c r="A193" s="8" t="s">
        <v>7633</v>
      </c>
      <c r="B193" s="8" t="s">
        <v>7634</v>
      </c>
      <c r="C193" s="8" t="s">
        <v>178</v>
      </c>
      <c r="D193" s="8" t="s">
        <v>7635</v>
      </c>
      <c r="E193" s="8"/>
      <c r="F193" s="8" t="s">
        <v>79</v>
      </c>
      <c r="G193" s="8" t="n">
        <v>2</v>
      </c>
      <c r="H193" s="18" t="n">
        <f aca="false">INDEX('All Items'!$Q:$Q,MATCH($A193,'All Items'!$A:$A,0))</f>
        <v>5.85</v>
      </c>
      <c r="I193" s="8" t="s">
        <v>7243</v>
      </c>
    </row>
    <row r="194" customFormat="false" ht="15" hidden="false" customHeight="false" outlineLevel="0" collapsed="false">
      <c r="A194" s="8" t="s">
        <v>7636</v>
      </c>
      <c r="B194" s="8" t="s">
        <v>7637</v>
      </c>
      <c r="C194" s="8" t="s">
        <v>178</v>
      </c>
      <c r="D194" s="8" t="s">
        <v>206</v>
      </c>
      <c r="E194" s="8" t="s">
        <v>110</v>
      </c>
      <c r="F194" s="8" t="s">
        <v>84</v>
      </c>
      <c r="G194" s="8" t="n">
        <v>2</v>
      </c>
      <c r="H194" s="18" t="n">
        <f aca="false">INDEX('All Items'!$Q:$Q,MATCH($A194,'All Items'!$A:$A,0))</f>
        <v>5.6</v>
      </c>
      <c r="I194" s="8" t="s">
        <v>7243</v>
      </c>
    </row>
    <row r="195" customFormat="false" ht="15" hidden="false" customHeight="false" outlineLevel="0" collapsed="false">
      <c r="A195" s="8" t="s">
        <v>7638</v>
      </c>
      <c r="B195" s="8" t="s">
        <v>7639</v>
      </c>
      <c r="C195" s="8" t="s">
        <v>178</v>
      </c>
      <c r="D195" s="8" t="s">
        <v>206</v>
      </c>
      <c r="E195" s="8" t="s">
        <v>108</v>
      </c>
      <c r="F195" s="8" t="s">
        <v>82</v>
      </c>
      <c r="G195" s="8" t="n">
        <v>2</v>
      </c>
      <c r="H195" s="18" t="n">
        <f aca="false">INDEX('All Items'!$Q:$Q,MATCH($A195,'All Items'!$A:$A,0))</f>
        <v>5.6</v>
      </c>
      <c r="I195" s="8" t="s">
        <v>7243</v>
      </c>
    </row>
    <row r="196" customFormat="false" ht="15" hidden="false" customHeight="false" outlineLevel="0" collapsed="false">
      <c r="A196" s="8" t="s">
        <v>7640</v>
      </c>
      <c r="B196" s="8" t="s">
        <v>7641</v>
      </c>
      <c r="C196" s="8" t="s">
        <v>178</v>
      </c>
      <c r="D196" s="8" t="s">
        <v>206</v>
      </c>
      <c r="E196" s="8" t="s">
        <v>112</v>
      </c>
      <c r="F196" s="8" t="s">
        <v>81</v>
      </c>
      <c r="G196" s="8" t="n">
        <v>2</v>
      </c>
      <c r="H196" s="18" t="n">
        <f aca="false">INDEX('All Items'!$Q:$Q,MATCH($A196,'All Items'!$A:$A,0))</f>
        <v>5.6</v>
      </c>
      <c r="I196" s="8" t="s">
        <v>7243</v>
      </c>
    </row>
    <row r="197" customFormat="false" ht="15" hidden="false" customHeight="false" outlineLevel="0" collapsed="false">
      <c r="A197" s="8" t="s">
        <v>7642</v>
      </c>
      <c r="B197" s="8" t="s">
        <v>7643</v>
      </c>
      <c r="C197" s="8" t="s">
        <v>178</v>
      </c>
      <c r="D197" s="8" t="s">
        <v>206</v>
      </c>
      <c r="E197" s="8" t="s">
        <v>111</v>
      </c>
      <c r="F197" s="8" t="s">
        <v>84</v>
      </c>
      <c r="G197" s="8" t="n">
        <v>2</v>
      </c>
      <c r="H197" s="18" t="n">
        <f aca="false">INDEX('All Items'!$Q:$Q,MATCH($A197,'All Items'!$A:$A,0))</f>
        <v>5.6</v>
      </c>
      <c r="I197" s="8" t="s">
        <v>7243</v>
      </c>
    </row>
    <row r="198" customFormat="false" ht="15" hidden="false" customHeight="false" outlineLevel="0" collapsed="false">
      <c r="A198" s="8" t="s">
        <v>7644</v>
      </c>
      <c r="B198" s="8" t="s">
        <v>7645</v>
      </c>
      <c r="C198" s="8" t="s">
        <v>178</v>
      </c>
      <c r="D198" s="8" t="s">
        <v>206</v>
      </c>
      <c r="E198" s="8" t="s">
        <v>111</v>
      </c>
      <c r="F198" s="8" t="s">
        <v>78</v>
      </c>
      <c r="G198" s="8" t="n">
        <v>2</v>
      </c>
      <c r="H198" s="18" t="n">
        <f aca="false">INDEX('All Items'!$Q:$Q,MATCH($A198,'All Items'!$A:$A,0))</f>
        <v>5.6</v>
      </c>
      <c r="I198" s="8" t="s">
        <v>7243</v>
      </c>
    </row>
    <row r="199" customFormat="false" ht="15" hidden="false" customHeight="false" outlineLevel="0" collapsed="false">
      <c r="A199" s="8" t="s">
        <v>7646</v>
      </c>
      <c r="B199" s="8" t="s">
        <v>7647</v>
      </c>
      <c r="C199" s="8" t="s">
        <v>178</v>
      </c>
      <c r="D199" s="8" t="s">
        <v>206</v>
      </c>
      <c r="E199" s="8" t="s">
        <v>104</v>
      </c>
      <c r="F199" s="8" t="s">
        <v>78</v>
      </c>
      <c r="G199" s="8" t="n">
        <v>2</v>
      </c>
      <c r="H199" s="18" t="n">
        <f aca="false">INDEX('All Items'!$Q:$Q,MATCH($A199,'All Items'!$A:$A,0))</f>
        <v>5.6</v>
      </c>
      <c r="I199" s="8" t="s">
        <v>7243</v>
      </c>
    </row>
    <row r="200" customFormat="false" ht="15" hidden="false" customHeight="false" outlineLevel="0" collapsed="false">
      <c r="A200" s="8" t="s">
        <v>7648</v>
      </c>
      <c r="B200" s="8" t="s">
        <v>7649</v>
      </c>
      <c r="C200" s="8" t="s">
        <v>178</v>
      </c>
      <c r="D200" s="8" t="s">
        <v>206</v>
      </c>
      <c r="E200" s="8" t="s">
        <v>104</v>
      </c>
      <c r="F200" s="8" t="s">
        <v>82</v>
      </c>
      <c r="G200" s="8" t="n">
        <v>2</v>
      </c>
      <c r="H200" s="18" t="n">
        <f aca="false">INDEX('All Items'!$Q:$Q,MATCH($A200,'All Items'!$A:$A,0))</f>
        <v>5.6</v>
      </c>
      <c r="I200" s="8" t="s">
        <v>7243</v>
      </c>
    </row>
    <row r="201" customFormat="false" ht="15" hidden="false" customHeight="false" outlineLevel="0" collapsed="false">
      <c r="A201" s="8" t="s">
        <v>7650</v>
      </c>
      <c r="B201" s="8" t="s">
        <v>7651</v>
      </c>
      <c r="C201" s="8" t="s">
        <v>178</v>
      </c>
      <c r="D201" s="8" t="s">
        <v>206</v>
      </c>
      <c r="E201" s="8" t="s">
        <v>116</v>
      </c>
      <c r="F201" s="8" t="s">
        <v>81</v>
      </c>
      <c r="G201" s="8" t="n">
        <v>2</v>
      </c>
      <c r="H201" s="18" t="n">
        <f aca="false">INDEX('All Items'!$Q:$Q,MATCH($A201,'All Items'!$A:$A,0))</f>
        <v>5.6</v>
      </c>
      <c r="I201" s="8" t="s">
        <v>7243</v>
      </c>
    </row>
    <row r="202" customFormat="false" ht="15" hidden="false" customHeight="false" outlineLevel="0" collapsed="false">
      <c r="A202" s="8" t="s">
        <v>7652</v>
      </c>
      <c r="B202" s="8" t="s">
        <v>7653</v>
      </c>
      <c r="C202" s="8" t="s">
        <v>178</v>
      </c>
      <c r="D202" s="8" t="s">
        <v>206</v>
      </c>
      <c r="E202" s="8" t="s">
        <v>105</v>
      </c>
      <c r="F202" s="8" t="s">
        <v>79</v>
      </c>
      <c r="G202" s="8" t="n">
        <v>2</v>
      </c>
      <c r="H202" s="18" t="n">
        <f aca="false">INDEX('All Items'!$Q:$Q,MATCH($A202,'All Items'!$A:$A,0))</f>
        <v>5.6</v>
      </c>
      <c r="I202" s="8" t="s">
        <v>7243</v>
      </c>
    </row>
    <row r="203" customFormat="false" ht="15" hidden="false" customHeight="false" outlineLevel="0" collapsed="false">
      <c r="A203" s="8" t="s">
        <v>7654</v>
      </c>
      <c r="B203" s="8" t="s">
        <v>7655</v>
      </c>
      <c r="C203" s="8" t="s">
        <v>178</v>
      </c>
      <c r="D203" s="8" t="s">
        <v>206</v>
      </c>
      <c r="E203" s="8" t="s">
        <v>107</v>
      </c>
      <c r="F203" s="8" t="s">
        <v>86</v>
      </c>
      <c r="G203" s="8" t="n">
        <v>2</v>
      </c>
      <c r="H203" s="18" t="n">
        <f aca="false">INDEX('All Items'!$Q:$Q,MATCH($A203,'All Items'!$A:$A,0))</f>
        <v>5.6</v>
      </c>
      <c r="I203" s="8" t="s">
        <v>7243</v>
      </c>
    </row>
    <row r="204" customFormat="false" ht="15" hidden="false" customHeight="false" outlineLevel="0" collapsed="false">
      <c r="A204" s="8" t="s">
        <v>7656</v>
      </c>
      <c r="B204" s="8" t="s">
        <v>7657</v>
      </c>
      <c r="C204" s="8" t="s">
        <v>178</v>
      </c>
      <c r="D204" s="8" t="s">
        <v>206</v>
      </c>
      <c r="E204" s="8" t="s">
        <v>109</v>
      </c>
      <c r="F204" s="8" t="s">
        <v>78</v>
      </c>
      <c r="G204" s="8" t="n">
        <v>2</v>
      </c>
      <c r="H204" s="18" t="n">
        <f aca="false">INDEX('All Items'!$Q:$Q,MATCH($A204,'All Items'!$A:$A,0))</f>
        <v>5.6</v>
      </c>
      <c r="I204" s="8" t="s">
        <v>7243</v>
      </c>
    </row>
    <row r="205" customFormat="false" ht="15" hidden="false" customHeight="false" outlineLevel="0" collapsed="false">
      <c r="A205" s="8" t="s">
        <v>7658</v>
      </c>
      <c r="B205" s="8" t="s">
        <v>7659</v>
      </c>
      <c r="C205" s="8" t="s">
        <v>178</v>
      </c>
      <c r="D205" s="8" t="s">
        <v>206</v>
      </c>
      <c r="E205" s="8" t="s">
        <v>113</v>
      </c>
      <c r="F205" s="8" t="s">
        <v>84</v>
      </c>
      <c r="G205" s="8" t="n">
        <v>2</v>
      </c>
      <c r="H205" s="18" t="n">
        <f aca="false">INDEX('All Items'!$Q:$Q,MATCH($A205,'All Items'!$A:$A,0))</f>
        <v>5.6</v>
      </c>
      <c r="I205" s="8" t="s">
        <v>7243</v>
      </c>
    </row>
    <row r="206" customFormat="false" ht="15" hidden="false" customHeight="false" outlineLevel="0" collapsed="false">
      <c r="A206" s="8" t="s">
        <v>7660</v>
      </c>
      <c r="B206" s="8" t="s">
        <v>7661</v>
      </c>
      <c r="C206" s="8" t="s">
        <v>178</v>
      </c>
      <c r="D206" s="8" t="s">
        <v>206</v>
      </c>
      <c r="E206" s="8" t="s">
        <v>113</v>
      </c>
      <c r="F206" s="8" t="s">
        <v>78</v>
      </c>
      <c r="G206" s="8" t="n">
        <v>2</v>
      </c>
      <c r="H206" s="18" t="n">
        <f aca="false">INDEX('All Items'!$Q:$Q,MATCH($A206,'All Items'!$A:$A,0))</f>
        <v>5.6</v>
      </c>
      <c r="I206" s="8" t="s">
        <v>7243</v>
      </c>
    </row>
    <row r="207" customFormat="false" ht="15" hidden="false" customHeight="false" outlineLevel="0" collapsed="false">
      <c r="A207" s="8" t="s">
        <v>7662</v>
      </c>
      <c r="B207" s="8" t="s">
        <v>7663</v>
      </c>
      <c r="C207" s="8" t="s">
        <v>178</v>
      </c>
      <c r="D207" s="8" t="s">
        <v>206</v>
      </c>
      <c r="E207" s="8" t="s">
        <v>113</v>
      </c>
      <c r="F207" s="8" t="s">
        <v>83</v>
      </c>
      <c r="G207" s="8" t="n">
        <v>2</v>
      </c>
      <c r="H207" s="18" t="n">
        <f aca="false">INDEX('All Items'!$Q:$Q,MATCH($A207,'All Items'!$A:$A,0))</f>
        <v>5.6</v>
      </c>
      <c r="I207" s="8" t="s">
        <v>7243</v>
      </c>
    </row>
    <row r="208" customFormat="false" ht="15" hidden="false" customHeight="false" outlineLevel="0" collapsed="false">
      <c r="A208" s="8" t="s">
        <v>7664</v>
      </c>
      <c r="B208" s="8" t="s">
        <v>7665</v>
      </c>
      <c r="C208" s="8" t="s">
        <v>178</v>
      </c>
      <c r="D208" s="8" t="s">
        <v>206</v>
      </c>
      <c r="E208" s="8" t="s">
        <v>114</v>
      </c>
      <c r="F208" s="8" t="s">
        <v>79</v>
      </c>
      <c r="G208" s="8" t="n">
        <v>2</v>
      </c>
      <c r="H208" s="18" t="n">
        <f aca="false">INDEX('All Items'!$Q:$Q,MATCH($A208,'All Items'!$A:$A,0))</f>
        <v>5.6</v>
      </c>
      <c r="I208" s="8" t="s">
        <v>7243</v>
      </c>
    </row>
    <row r="209" customFormat="false" ht="15" hidden="false" customHeight="false" outlineLevel="0" collapsed="false">
      <c r="A209" s="8" t="s">
        <v>7666</v>
      </c>
      <c r="B209" s="8" t="s">
        <v>7667</v>
      </c>
      <c r="C209" s="8" t="s">
        <v>178</v>
      </c>
      <c r="D209" s="8" t="s">
        <v>206</v>
      </c>
      <c r="E209" s="8" t="s">
        <v>106</v>
      </c>
      <c r="F209" s="8" t="s">
        <v>86</v>
      </c>
      <c r="G209" s="8" t="n">
        <v>2</v>
      </c>
      <c r="H209" s="18" t="n">
        <f aca="false">INDEX('All Items'!$Q:$Q,MATCH($A209,'All Items'!$A:$A,0))</f>
        <v>5.6</v>
      </c>
      <c r="I209" s="8" t="s">
        <v>7243</v>
      </c>
    </row>
    <row r="210" customFormat="false" ht="15" hidden="false" customHeight="false" outlineLevel="0" collapsed="false">
      <c r="A210" s="8" t="s">
        <v>7668</v>
      </c>
      <c r="B210" s="8" t="s">
        <v>7669</v>
      </c>
      <c r="C210" s="8" t="s">
        <v>178</v>
      </c>
      <c r="D210" s="8" t="s">
        <v>206</v>
      </c>
      <c r="E210" s="8" t="s">
        <v>119</v>
      </c>
      <c r="F210" s="8" t="s">
        <v>84</v>
      </c>
      <c r="G210" s="8" t="n">
        <v>2</v>
      </c>
      <c r="H210" s="18" t="n">
        <f aca="false">INDEX('All Items'!$Q:$Q,MATCH($A210,'All Items'!$A:$A,0))</f>
        <v>5.6</v>
      </c>
      <c r="I210" s="8" t="s">
        <v>7243</v>
      </c>
    </row>
    <row r="211" customFormat="false" ht="15" hidden="false" customHeight="false" outlineLevel="0" collapsed="false">
      <c r="A211" s="8" t="s">
        <v>7670</v>
      </c>
      <c r="B211" s="8" t="s">
        <v>7671</v>
      </c>
      <c r="C211" s="8" t="s">
        <v>178</v>
      </c>
      <c r="D211" s="8" t="s">
        <v>206</v>
      </c>
      <c r="E211" s="8" t="s">
        <v>121</v>
      </c>
      <c r="F211" s="8" t="s">
        <v>78</v>
      </c>
      <c r="G211" s="8" t="n">
        <v>2</v>
      </c>
      <c r="H211" s="18" t="n">
        <f aca="false">INDEX('All Items'!$Q:$Q,MATCH($A211,'All Items'!$A:$A,0))</f>
        <v>5.6</v>
      </c>
      <c r="I211" s="8" t="s">
        <v>7243</v>
      </c>
    </row>
    <row r="212" customFormat="false" ht="15" hidden="false" customHeight="false" outlineLevel="0" collapsed="false">
      <c r="A212" s="8" t="s">
        <v>7672</v>
      </c>
      <c r="B212" s="8" t="s">
        <v>7673</v>
      </c>
      <c r="C212" s="8" t="s">
        <v>178</v>
      </c>
      <c r="D212" s="8" t="s">
        <v>206</v>
      </c>
      <c r="E212" s="8" t="s">
        <v>122</v>
      </c>
      <c r="F212" s="8" t="s">
        <v>78</v>
      </c>
      <c r="G212" s="8" t="n">
        <v>2</v>
      </c>
      <c r="H212" s="18" t="n">
        <f aca="false">INDEX('All Items'!$Q:$Q,MATCH($A212,'All Items'!$A:$A,0))</f>
        <v>5.6</v>
      </c>
      <c r="I212" s="8" t="s">
        <v>7243</v>
      </c>
    </row>
    <row r="213" customFormat="false" ht="15" hidden="false" customHeight="false" outlineLevel="0" collapsed="false">
      <c r="A213" s="8" t="s">
        <v>7674</v>
      </c>
      <c r="B213" s="8" t="s">
        <v>7675</v>
      </c>
      <c r="C213" s="8" t="s">
        <v>178</v>
      </c>
      <c r="D213" s="8" t="s">
        <v>206</v>
      </c>
      <c r="E213" s="8" t="s">
        <v>125</v>
      </c>
      <c r="F213" s="8" t="s">
        <v>80</v>
      </c>
      <c r="G213" s="8" t="n">
        <v>2</v>
      </c>
      <c r="H213" s="18" t="n">
        <f aca="false">INDEX('All Items'!$Q:$Q,MATCH($A213,'All Items'!$A:$A,0))</f>
        <v>5.6</v>
      </c>
      <c r="I213" s="8" t="s">
        <v>7243</v>
      </c>
    </row>
    <row r="214" customFormat="false" ht="15" hidden="false" customHeight="false" outlineLevel="0" collapsed="false">
      <c r="A214" s="8" t="s">
        <v>7676</v>
      </c>
      <c r="B214" s="8" t="s">
        <v>7677</v>
      </c>
      <c r="C214" s="8" t="s">
        <v>178</v>
      </c>
      <c r="D214" s="8" t="s">
        <v>206</v>
      </c>
      <c r="E214" s="8" t="s">
        <v>130</v>
      </c>
      <c r="F214" s="8" t="s">
        <v>78</v>
      </c>
      <c r="G214" s="8" t="n">
        <v>2</v>
      </c>
      <c r="H214" s="18" t="n">
        <f aca="false">INDEX('All Items'!$Q:$Q,MATCH($A214,'All Items'!$A:$A,0))</f>
        <v>5.6</v>
      </c>
      <c r="I214" s="8" t="s">
        <v>7243</v>
      </c>
    </row>
    <row r="215" customFormat="false" ht="15" hidden="false" customHeight="false" outlineLevel="0" collapsed="false">
      <c r="A215" s="8" t="s">
        <v>7678</v>
      </c>
      <c r="B215" s="8" t="s">
        <v>7679</v>
      </c>
      <c r="C215" s="8" t="s">
        <v>178</v>
      </c>
      <c r="D215" s="8" t="s">
        <v>206</v>
      </c>
      <c r="E215" s="8" t="s">
        <v>131</v>
      </c>
      <c r="F215" s="8" t="s">
        <v>78</v>
      </c>
      <c r="G215" s="8" t="n">
        <v>2</v>
      </c>
      <c r="H215" s="18" t="n">
        <f aca="false">INDEX('All Items'!$Q:$Q,MATCH($A215,'All Items'!$A:$A,0))</f>
        <v>5.6</v>
      </c>
      <c r="I215" s="8" t="s">
        <v>7243</v>
      </c>
    </row>
    <row r="216" customFormat="false" ht="15" hidden="false" customHeight="false" outlineLevel="0" collapsed="false">
      <c r="A216" s="8" t="s">
        <v>7680</v>
      </c>
      <c r="B216" s="8" t="s">
        <v>7681</v>
      </c>
      <c r="C216" s="8" t="s">
        <v>178</v>
      </c>
      <c r="D216" s="8" t="s">
        <v>206</v>
      </c>
      <c r="E216" s="8" t="s">
        <v>123</v>
      </c>
      <c r="F216" s="8" t="s">
        <v>86</v>
      </c>
      <c r="G216" s="8" t="n">
        <v>2</v>
      </c>
      <c r="H216" s="18" t="n">
        <f aca="false">INDEX('All Items'!$Q:$Q,MATCH($A216,'All Items'!$A:$A,0))</f>
        <v>5.6</v>
      </c>
      <c r="I216" s="8" t="s">
        <v>7243</v>
      </c>
    </row>
    <row r="217" customFormat="false" ht="15" hidden="false" customHeight="false" outlineLevel="0" collapsed="false">
      <c r="A217" s="8" t="s">
        <v>7682</v>
      </c>
      <c r="B217" s="8" t="s">
        <v>7683</v>
      </c>
      <c r="C217" s="8" t="s">
        <v>178</v>
      </c>
      <c r="D217" s="8" t="s">
        <v>206</v>
      </c>
      <c r="E217" s="8" t="s">
        <v>123</v>
      </c>
      <c r="F217" s="8" t="s">
        <v>78</v>
      </c>
      <c r="G217" s="8" t="n">
        <v>2</v>
      </c>
      <c r="H217" s="18" t="n">
        <f aca="false">INDEX('All Items'!$Q:$Q,MATCH($A217,'All Items'!$A:$A,0))</f>
        <v>5.6</v>
      </c>
      <c r="I217" s="8" t="s">
        <v>7243</v>
      </c>
    </row>
    <row r="218" customFormat="false" ht="15" hidden="false" customHeight="false" outlineLevel="0" collapsed="false">
      <c r="A218" s="8" t="s">
        <v>7684</v>
      </c>
      <c r="B218" s="8" t="s">
        <v>7685</v>
      </c>
      <c r="C218" s="8" t="s">
        <v>178</v>
      </c>
      <c r="D218" s="8" t="s">
        <v>206</v>
      </c>
      <c r="E218" s="8" t="s">
        <v>103</v>
      </c>
      <c r="F218" s="8" t="s">
        <v>86</v>
      </c>
      <c r="G218" s="8" t="n">
        <v>2</v>
      </c>
      <c r="H218" s="18" t="n">
        <f aca="false">INDEX('All Items'!$Q:$Q,MATCH($A218,'All Items'!$A:$A,0))</f>
        <v>5.6</v>
      </c>
      <c r="I218" s="8" t="s">
        <v>7243</v>
      </c>
    </row>
    <row r="219" customFormat="false" ht="15" hidden="false" customHeight="false" outlineLevel="0" collapsed="false">
      <c r="A219" s="8" t="s">
        <v>7686</v>
      </c>
      <c r="B219" s="8" t="s">
        <v>7687</v>
      </c>
      <c r="C219" s="8" t="s">
        <v>178</v>
      </c>
      <c r="D219" s="8" t="s">
        <v>206</v>
      </c>
      <c r="E219" s="8" t="s">
        <v>104</v>
      </c>
      <c r="F219" s="8" t="s">
        <v>87</v>
      </c>
      <c r="G219" s="8" t="n">
        <v>2</v>
      </c>
      <c r="H219" s="18" t="n">
        <f aca="false">INDEX('All Items'!$Q:$Q,MATCH($A219,'All Items'!$A:$A,0))</f>
        <v>5.6</v>
      </c>
      <c r="I219" s="8" t="s">
        <v>7243</v>
      </c>
    </row>
    <row r="220" customFormat="false" ht="15" hidden="false" customHeight="false" outlineLevel="0" collapsed="false">
      <c r="A220" s="8" t="s">
        <v>7688</v>
      </c>
      <c r="B220" s="8" t="s">
        <v>7689</v>
      </c>
      <c r="C220" s="8" t="s">
        <v>178</v>
      </c>
      <c r="D220" s="8" t="s">
        <v>206</v>
      </c>
      <c r="E220" s="8" t="s">
        <v>109</v>
      </c>
      <c r="F220" s="8" t="s">
        <v>79</v>
      </c>
      <c r="G220" s="8" t="n">
        <v>2</v>
      </c>
      <c r="H220" s="18" t="n">
        <f aca="false">INDEX('All Items'!$Q:$Q,MATCH($A220,'All Items'!$A:$A,0))</f>
        <v>5.6</v>
      </c>
      <c r="I220" s="8" t="s">
        <v>7243</v>
      </c>
    </row>
    <row r="221" customFormat="false" ht="15" hidden="false" customHeight="false" outlineLevel="0" collapsed="false">
      <c r="A221" s="8" t="s">
        <v>7690</v>
      </c>
      <c r="B221" s="8" t="s">
        <v>7691</v>
      </c>
      <c r="C221" s="8" t="s">
        <v>178</v>
      </c>
      <c r="D221" s="8" t="s">
        <v>206</v>
      </c>
      <c r="E221" s="8" t="s">
        <v>113</v>
      </c>
      <c r="F221" s="8" t="s">
        <v>83</v>
      </c>
      <c r="G221" s="8" t="n">
        <v>2</v>
      </c>
      <c r="H221" s="18" t="n">
        <f aca="false">INDEX('All Items'!$Q:$Q,MATCH($A221,'All Items'!$A:$A,0))</f>
        <v>5.6</v>
      </c>
      <c r="I221" s="8" t="s">
        <v>7243</v>
      </c>
    </row>
    <row r="222" customFormat="false" ht="15" hidden="false" customHeight="false" outlineLevel="0" collapsed="false">
      <c r="A222" s="8" t="s">
        <v>7692</v>
      </c>
      <c r="B222" s="8" t="s">
        <v>7693</v>
      </c>
      <c r="C222" s="8" t="s">
        <v>178</v>
      </c>
      <c r="D222" s="8" t="s">
        <v>206</v>
      </c>
      <c r="E222" s="8" t="s">
        <v>106</v>
      </c>
      <c r="F222" s="8" t="s">
        <v>84</v>
      </c>
      <c r="G222" s="8" t="n">
        <v>2</v>
      </c>
      <c r="H222" s="18" t="n">
        <f aca="false">INDEX('All Items'!$Q:$Q,MATCH($A222,'All Items'!$A:$A,0))</f>
        <v>5.6</v>
      </c>
      <c r="I222" s="8" t="s">
        <v>7243</v>
      </c>
    </row>
    <row r="223" customFormat="false" ht="15" hidden="false" customHeight="false" outlineLevel="0" collapsed="false">
      <c r="A223" s="8" t="s">
        <v>7694</v>
      </c>
      <c r="B223" s="8" t="s">
        <v>7695</v>
      </c>
      <c r="C223" s="8" t="s">
        <v>178</v>
      </c>
      <c r="D223" s="8" t="s">
        <v>3137</v>
      </c>
      <c r="E223" s="8"/>
      <c r="F223" s="8" t="s">
        <v>78</v>
      </c>
      <c r="G223" s="8" t="n">
        <v>2</v>
      </c>
      <c r="H223" s="18" t="n">
        <f aca="false">INDEX('All Items'!$Q:$Q,MATCH($A223,'All Items'!$A:$A,0))</f>
        <v>5.6</v>
      </c>
      <c r="I223" s="8" t="s">
        <v>7243</v>
      </c>
    </row>
    <row r="224" customFormat="false" ht="15" hidden="false" customHeight="false" outlineLevel="0" collapsed="false">
      <c r="A224" s="8" t="s">
        <v>7696</v>
      </c>
      <c r="B224" s="8" t="s">
        <v>7697</v>
      </c>
      <c r="C224" s="8" t="s">
        <v>178</v>
      </c>
      <c r="D224" s="8" t="s">
        <v>3137</v>
      </c>
      <c r="E224" s="8"/>
      <c r="F224" s="8" t="s">
        <v>83</v>
      </c>
      <c r="G224" s="8" t="n">
        <v>2</v>
      </c>
      <c r="H224" s="18" t="n">
        <f aca="false">INDEX('All Items'!$Q:$Q,MATCH($A224,'All Items'!$A:$A,0))</f>
        <v>5.6</v>
      </c>
      <c r="I224" s="8" t="s">
        <v>7243</v>
      </c>
    </row>
    <row r="225" customFormat="false" ht="15" hidden="false" customHeight="false" outlineLevel="0" collapsed="false">
      <c r="A225" s="8" t="s">
        <v>7698</v>
      </c>
      <c r="B225" s="8" t="s">
        <v>7699</v>
      </c>
      <c r="C225" s="8" t="s">
        <v>178</v>
      </c>
      <c r="D225" s="8" t="s">
        <v>3309</v>
      </c>
      <c r="E225" s="8"/>
      <c r="F225" s="8" t="s">
        <v>81</v>
      </c>
      <c r="G225" s="8" t="n">
        <v>2</v>
      </c>
      <c r="H225" s="18" t="n">
        <f aca="false">INDEX('All Items'!$Q:$Q,MATCH($A225,'All Items'!$A:$A,0))</f>
        <v>5.6</v>
      </c>
      <c r="I225" s="8" t="s">
        <v>7243</v>
      </c>
    </row>
    <row r="226" customFormat="false" ht="15" hidden="false" customHeight="false" outlineLevel="0" collapsed="false">
      <c r="A226" s="8" t="s">
        <v>7700</v>
      </c>
      <c r="B226" s="8" t="s">
        <v>7701</v>
      </c>
      <c r="C226" s="8" t="s">
        <v>178</v>
      </c>
      <c r="D226" s="8" t="s">
        <v>3653</v>
      </c>
      <c r="E226" s="8"/>
      <c r="F226" s="8" t="s">
        <v>83</v>
      </c>
      <c r="G226" s="8" t="n">
        <v>2</v>
      </c>
      <c r="H226" s="18" t="n">
        <f aca="false">INDEX('All Items'!$Q:$Q,MATCH($A226,'All Items'!$A:$A,0))</f>
        <v>5.6</v>
      </c>
      <c r="I226" s="8" t="s">
        <v>7243</v>
      </c>
    </row>
    <row r="227" customFormat="false" ht="15" hidden="false" customHeight="false" outlineLevel="0" collapsed="false">
      <c r="A227" s="8" t="s">
        <v>7702</v>
      </c>
      <c r="B227" s="8" t="s">
        <v>7703</v>
      </c>
      <c r="C227" s="8" t="s">
        <v>178</v>
      </c>
      <c r="D227" s="8" t="s">
        <v>3739</v>
      </c>
      <c r="E227" s="8"/>
      <c r="F227" s="8" t="s">
        <v>88</v>
      </c>
      <c r="G227" s="8" t="n">
        <v>2</v>
      </c>
      <c r="H227" s="18" t="n">
        <f aca="false">INDEX('All Items'!$Q:$Q,MATCH($A227,'All Items'!$A:$A,0))</f>
        <v>5.6</v>
      </c>
      <c r="I227" s="8" t="s">
        <v>7243</v>
      </c>
    </row>
    <row r="228" customFormat="false" ht="15" hidden="false" customHeight="false" outlineLevel="0" collapsed="false">
      <c r="A228" s="8" t="s">
        <v>7704</v>
      </c>
      <c r="B228" s="8" t="s">
        <v>7705</v>
      </c>
      <c r="C228" s="8" t="s">
        <v>178</v>
      </c>
      <c r="D228" s="8" t="s">
        <v>3812</v>
      </c>
      <c r="E228" s="8"/>
      <c r="F228" s="8" t="s">
        <v>79</v>
      </c>
      <c r="G228" s="8" t="n">
        <v>2</v>
      </c>
      <c r="H228" s="18" t="n">
        <f aca="false">INDEX('All Items'!$Q:$Q,MATCH($A228,'All Items'!$A:$A,0))</f>
        <v>5.6</v>
      </c>
      <c r="I228" s="8" t="s">
        <v>7243</v>
      </c>
    </row>
    <row r="229" customFormat="false" ht="15" hidden="false" customHeight="false" outlineLevel="0" collapsed="false">
      <c r="A229" s="8" t="s">
        <v>7706</v>
      </c>
      <c r="B229" s="8" t="s">
        <v>7707</v>
      </c>
      <c r="C229" s="8" t="s">
        <v>178</v>
      </c>
      <c r="D229" s="8" t="s">
        <v>7708</v>
      </c>
      <c r="E229" s="8"/>
      <c r="F229" s="8" t="s">
        <v>79</v>
      </c>
      <c r="G229" s="8" t="n">
        <v>2</v>
      </c>
      <c r="H229" s="18" t="n">
        <f aca="false">INDEX('All Items'!$Q:$Q,MATCH($A229,'All Items'!$A:$A,0))</f>
        <v>5.6</v>
      </c>
      <c r="I229" s="8" t="s">
        <v>7243</v>
      </c>
    </row>
    <row r="230" customFormat="false" ht="15" hidden="false" customHeight="false" outlineLevel="0" collapsed="false">
      <c r="A230" s="8" t="s">
        <v>7709</v>
      </c>
      <c r="B230" s="8" t="s">
        <v>7710</v>
      </c>
      <c r="C230" s="8" t="s">
        <v>178</v>
      </c>
      <c r="D230" s="8" t="s">
        <v>7708</v>
      </c>
      <c r="E230" s="8"/>
      <c r="F230" s="8" t="s">
        <v>79</v>
      </c>
      <c r="G230" s="8" t="n">
        <v>2</v>
      </c>
      <c r="H230" s="18" t="n">
        <f aca="false">INDEX('All Items'!$Q:$Q,MATCH($A230,'All Items'!$A:$A,0))</f>
        <v>5.6</v>
      </c>
      <c r="I230" s="8" t="s">
        <v>7243</v>
      </c>
    </row>
    <row r="231" customFormat="false" ht="15" hidden="false" customHeight="false" outlineLevel="0" collapsed="false">
      <c r="A231" s="8" t="s">
        <v>7711</v>
      </c>
      <c r="B231" s="8" t="s">
        <v>7712</v>
      </c>
      <c r="C231" s="8" t="s">
        <v>178</v>
      </c>
      <c r="D231" s="8" t="s">
        <v>3828</v>
      </c>
      <c r="E231" s="8"/>
      <c r="F231" s="8" t="s">
        <v>78</v>
      </c>
      <c r="G231" s="8" t="n">
        <v>2</v>
      </c>
      <c r="H231" s="18" t="n">
        <f aca="false">INDEX('All Items'!$Q:$Q,MATCH($A231,'All Items'!$A:$A,0))</f>
        <v>5.6</v>
      </c>
      <c r="I231" s="8" t="s">
        <v>7243</v>
      </c>
    </row>
    <row r="232" customFormat="false" ht="15" hidden="false" customHeight="false" outlineLevel="0" collapsed="false">
      <c r="A232" s="8" t="s">
        <v>7713</v>
      </c>
      <c r="B232" s="8" t="s">
        <v>7714</v>
      </c>
      <c r="C232" s="8" t="s">
        <v>178</v>
      </c>
      <c r="D232" s="8" t="s">
        <v>4325</v>
      </c>
      <c r="E232" s="8"/>
      <c r="F232" s="8" t="s">
        <v>79</v>
      </c>
      <c r="G232" s="8" t="n">
        <v>2</v>
      </c>
      <c r="H232" s="18" t="n">
        <f aca="false">INDEX('All Items'!$Q:$Q,MATCH($A232,'All Items'!$A:$A,0))</f>
        <v>5.6</v>
      </c>
      <c r="I232" s="8" t="s">
        <v>7243</v>
      </c>
    </row>
    <row r="233" customFormat="false" ht="15" hidden="false" customHeight="false" outlineLevel="0" collapsed="false">
      <c r="A233" s="8" t="s">
        <v>7715</v>
      </c>
      <c r="B233" s="8" t="s">
        <v>7716</v>
      </c>
      <c r="C233" s="8" t="s">
        <v>178</v>
      </c>
      <c r="D233" s="8" t="s">
        <v>4448</v>
      </c>
      <c r="E233" s="8"/>
      <c r="F233" s="8" t="s">
        <v>80</v>
      </c>
      <c r="G233" s="8" t="n">
        <v>2</v>
      </c>
      <c r="H233" s="18" t="n">
        <f aca="false">INDEX('All Items'!$Q:$Q,MATCH($A233,'All Items'!$A:$A,0))</f>
        <v>5.6</v>
      </c>
      <c r="I233" s="8" t="s">
        <v>7243</v>
      </c>
    </row>
    <row r="234" customFormat="false" ht="15" hidden="false" customHeight="false" outlineLevel="0" collapsed="false">
      <c r="A234" s="8" t="s">
        <v>7717</v>
      </c>
      <c r="B234" s="8" t="s">
        <v>7718</v>
      </c>
      <c r="C234" s="8" t="s">
        <v>178</v>
      </c>
      <c r="D234" s="8" t="s">
        <v>4701</v>
      </c>
      <c r="E234" s="8"/>
      <c r="F234" s="8" t="s">
        <v>80</v>
      </c>
      <c r="G234" s="8" t="n">
        <v>2</v>
      </c>
      <c r="H234" s="18" t="n">
        <f aca="false">INDEX('All Items'!$Q:$Q,MATCH($A234,'All Items'!$A:$A,0))</f>
        <v>5.6</v>
      </c>
      <c r="I234" s="8" t="s">
        <v>7243</v>
      </c>
    </row>
    <row r="235" customFormat="false" ht="15" hidden="false" customHeight="false" outlineLevel="0" collapsed="false">
      <c r="A235" s="8" t="s">
        <v>7719</v>
      </c>
      <c r="B235" s="8" t="s">
        <v>7720</v>
      </c>
      <c r="C235" s="8" t="s">
        <v>178</v>
      </c>
      <c r="D235" s="8" t="s">
        <v>7721</v>
      </c>
      <c r="E235" s="8"/>
      <c r="F235" s="8" t="s">
        <v>78</v>
      </c>
      <c r="G235" s="8" t="n">
        <v>2</v>
      </c>
      <c r="H235" s="18" t="n">
        <f aca="false">INDEX('All Items'!$Q:$Q,MATCH($A235,'All Items'!$A:$A,0))</f>
        <v>5.6</v>
      </c>
      <c r="I235" s="8" t="s">
        <v>7243</v>
      </c>
    </row>
    <row r="236" customFormat="false" ht="15" hidden="false" customHeight="false" outlineLevel="0" collapsed="false">
      <c r="A236" s="8" t="s">
        <v>7722</v>
      </c>
      <c r="B236" s="8" t="s">
        <v>7723</v>
      </c>
      <c r="C236" s="8" t="s">
        <v>178</v>
      </c>
      <c r="D236" s="8" t="s">
        <v>4833</v>
      </c>
      <c r="E236" s="8"/>
      <c r="F236" s="8" t="s">
        <v>82</v>
      </c>
      <c r="G236" s="8" t="n">
        <v>2</v>
      </c>
      <c r="H236" s="18" t="n">
        <f aca="false">INDEX('All Items'!$Q:$Q,MATCH($A236,'All Items'!$A:$A,0))</f>
        <v>5.6</v>
      </c>
      <c r="I236" s="8" t="s">
        <v>7243</v>
      </c>
    </row>
    <row r="237" customFormat="false" ht="15" hidden="false" customHeight="false" outlineLevel="0" collapsed="false">
      <c r="A237" s="8" t="s">
        <v>7724</v>
      </c>
      <c r="B237" s="8" t="s">
        <v>7725</v>
      </c>
      <c r="C237" s="8" t="s">
        <v>178</v>
      </c>
      <c r="D237" s="8" t="s">
        <v>7726</v>
      </c>
      <c r="E237" s="8"/>
      <c r="F237" s="8" t="s">
        <v>81</v>
      </c>
      <c r="G237" s="8" t="n">
        <v>2</v>
      </c>
      <c r="H237" s="18" t="n">
        <f aca="false">INDEX('All Items'!$Q:$Q,MATCH($A237,'All Items'!$A:$A,0))</f>
        <v>5.6</v>
      </c>
      <c r="I237" s="8" t="s">
        <v>7243</v>
      </c>
    </row>
    <row r="238" customFormat="false" ht="15" hidden="false" customHeight="false" outlineLevel="0" collapsed="false">
      <c r="A238" s="8" t="s">
        <v>7727</v>
      </c>
      <c r="B238" s="8" t="s">
        <v>7728</v>
      </c>
      <c r="C238" s="8" t="s">
        <v>178</v>
      </c>
      <c r="D238" s="8" t="s">
        <v>4987</v>
      </c>
      <c r="E238" s="8"/>
      <c r="F238" s="8" t="s">
        <v>82</v>
      </c>
      <c r="G238" s="8" t="n">
        <v>2</v>
      </c>
      <c r="H238" s="18" t="n">
        <f aca="false">INDEX('All Items'!$Q:$Q,MATCH($A238,'All Items'!$A:$A,0))</f>
        <v>5.6</v>
      </c>
      <c r="I238" s="8" t="s">
        <v>7243</v>
      </c>
    </row>
    <row r="239" customFormat="false" ht="15" hidden="false" customHeight="false" outlineLevel="0" collapsed="false">
      <c r="A239" s="8" t="s">
        <v>7729</v>
      </c>
      <c r="B239" s="8" t="s">
        <v>7730</v>
      </c>
      <c r="C239" s="8" t="s">
        <v>178</v>
      </c>
      <c r="D239" s="8" t="s">
        <v>4987</v>
      </c>
      <c r="E239" s="8"/>
      <c r="F239" s="8" t="s">
        <v>87</v>
      </c>
      <c r="G239" s="8" t="n">
        <v>2</v>
      </c>
      <c r="H239" s="18" t="n">
        <f aca="false">INDEX('All Items'!$Q:$Q,MATCH($A239,'All Items'!$A:$A,0))</f>
        <v>5.6</v>
      </c>
      <c r="I239" s="8" t="s">
        <v>7243</v>
      </c>
    </row>
    <row r="240" customFormat="false" ht="15" hidden="false" customHeight="false" outlineLevel="0" collapsed="false">
      <c r="A240" s="8" t="s">
        <v>7731</v>
      </c>
      <c r="B240" s="8" t="s">
        <v>7732</v>
      </c>
      <c r="C240" s="8" t="s">
        <v>178</v>
      </c>
      <c r="D240" s="8" t="s">
        <v>5046</v>
      </c>
      <c r="E240" s="8"/>
      <c r="F240" s="8" t="s">
        <v>82</v>
      </c>
      <c r="G240" s="8" t="n">
        <v>2</v>
      </c>
      <c r="H240" s="18" t="n">
        <f aca="false">INDEX('All Items'!$Q:$Q,MATCH($A240,'All Items'!$A:$A,0))</f>
        <v>5.6</v>
      </c>
      <c r="I240" s="8" t="s">
        <v>7243</v>
      </c>
    </row>
    <row r="241" customFormat="false" ht="15" hidden="false" customHeight="false" outlineLevel="0" collapsed="false">
      <c r="A241" s="8" t="s">
        <v>7733</v>
      </c>
      <c r="B241" s="8" t="s">
        <v>7734</v>
      </c>
      <c r="C241" s="8" t="s">
        <v>178</v>
      </c>
      <c r="D241" s="8" t="s">
        <v>5985</v>
      </c>
      <c r="E241" s="8"/>
      <c r="F241" s="8" t="s">
        <v>78</v>
      </c>
      <c r="G241" s="8" t="n">
        <v>2</v>
      </c>
      <c r="H241" s="18" t="n">
        <f aca="false">INDEX('All Items'!$Q:$Q,MATCH($A241,'All Items'!$A:$A,0))</f>
        <v>5.6</v>
      </c>
      <c r="I241" s="8" t="s">
        <v>7243</v>
      </c>
    </row>
    <row r="242" customFormat="false" ht="15" hidden="false" customHeight="false" outlineLevel="0" collapsed="false">
      <c r="A242" s="8" t="s">
        <v>7735</v>
      </c>
      <c r="B242" s="8" t="s">
        <v>7736</v>
      </c>
      <c r="C242" s="8" t="s">
        <v>178</v>
      </c>
      <c r="D242" s="8" t="s">
        <v>5621</v>
      </c>
      <c r="E242" s="8"/>
      <c r="F242" s="8" t="s">
        <v>83</v>
      </c>
      <c r="G242" s="8" t="n">
        <v>2</v>
      </c>
      <c r="H242" s="18" t="n">
        <f aca="false">INDEX('All Items'!$Q:$Q,MATCH($A242,'All Items'!$A:$A,0))</f>
        <v>5.6</v>
      </c>
      <c r="I242" s="8" t="s">
        <v>7243</v>
      </c>
    </row>
    <row r="243" customFormat="false" ht="15" hidden="false" customHeight="false" outlineLevel="0" collapsed="false">
      <c r="A243" s="8" t="s">
        <v>7737</v>
      </c>
      <c r="B243" s="8" t="s">
        <v>7738</v>
      </c>
      <c r="C243" s="8" t="s">
        <v>178</v>
      </c>
      <c r="D243" s="8" t="s">
        <v>5817</v>
      </c>
      <c r="E243" s="8"/>
      <c r="F243" s="8" t="s">
        <v>78</v>
      </c>
      <c r="G243" s="8" t="n">
        <v>2</v>
      </c>
      <c r="H243" s="18" t="n">
        <f aca="false">INDEX('All Items'!$Q:$Q,MATCH($A243,'All Items'!$A:$A,0))</f>
        <v>5.6</v>
      </c>
      <c r="I243" s="8" t="s">
        <v>7243</v>
      </c>
    </row>
    <row r="244" customFormat="false" ht="15" hidden="false" customHeight="false" outlineLevel="0" collapsed="false">
      <c r="A244" s="8" t="s">
        <v>7739</v>
      </c>
      <c r="B244" s="8" t="s">
        <v>7740</v>
      </c>
      <c r="C244" s="8" t="s">
        <v>178</v>
      </c>
      <c r="D244" s="8" t="s">
        <v>5829</v>
      </c>
      <c r="E244" s="8"/>
      <c r="F244" s="8" t="s">
        <v>86</v>
      </c>
      <c r="G244" s="8" t="n">
        <v>2</v>
      </c>
      <c r="H244" s="18" t="n">
        <f aca="false">INDEX('All Items'!$Q:$Q,MATCH($A244,'All Items'!$A:$A,0))</f>
        <v>5.6</v>
      </c>
      <c r="I244" s="8" t="s">
        <v>7243</v>
      </c>
    </row>
    <row r="245" customFormat="false" ht="15" hidden="false" customHeight="false" outlineLevel="0" collapsed="false">
      <c r="A245" s="8" t="s">
        <v>7741</v>
      </c>
      <c r="B245" s="8" t="s">
        <v>7742</v>
      </c>
      <c r="C245" s="8" t="s">
        <v>178</v>
      </c>
      <c r="D245" s="8" t="s">
        <v>5829</v>
      </c>
      <c r="E245" s="8"/>
      <c r="F245" s="8" t="s">
        <v>79</v>
      </c>
      <c r="G245" s="8" t="n">
        <v>2</v>
      </c>
      <c r="H245" s="18" t="n">
        <f aca="false">INDEX('All Items'!$Q:$Q,MATCH($A245,'All Items'!$A:$A,0))</f>
        <v>5.6</v>
      </c>
      <c r="I245" s="8" t="s">
        <v>7243</v>
      </c>
    </row>
    <row r="246" customFormat="false" ht="15" hidden="false" customHeight="false" outlineLevel="0" collapsed="false">
      <c r="A246" s="8" t="s">
        <v>7743</v>
      </c>
      <c r="B246" s="8" t="s">
        <v>7744</v>
      </c>
      <c r="C246" s="8" t="s">
        <v>178</v>
      </c>
      <c r="D246" s="8" t="s">
        <v>5852</v>
      </c>
      <c r="E246" s="8"/>
      <c r="F246" s="8" t="s">
        <v>81</v>
      </c>
      <c r="G246" s="8" t="n">
        <v>2</v>
      </c>
      <c r="H246" s="18" t="n">
        <f aca="false">INDEX('All Items'!$Q:$Q,MATCH($A246,'All Items'!$A:$A,0))</f>
        <v>5.6</v>
      </c>
      <c r="I246" s="8" t="s">
        <v>7243</v>
      </c>
    </row>
    <row r="247" customFormat="false" ht="15" hidden="false" customHeight="false" outlineLevel="0" collapsed="false">
      <c r="A247" s="8" t="s">
        <v>7745</v>
      </c>
      <c r="B247" s="8" t="s">
        <v>7746</v>
      </c>
      <c r="C247" s="8" t="s">
        <v>178</v>
      </c>
      <c r="D247" s="8" t="s">
        <v>5926</v>
      </c>
      <c r="E247" s="8"/>
      <c r="F247" s="8" t="s">
        <v>80</v>
      </c>
      <c r="G247" s="8" t="n">
        <v>2</v>
      </c>
      <c r="H247" s="18" t="n">
        <f aca="false">INDEX('All Items'!$Q:$Q,MATCH($A247,'All Items'!$A:$A,0))</f>
        <v>5.6</v>
      </c>
      <c r="I247" s="8" t="s">
        <v>7243</v>
      </c>
    </row>
    <row r="248" customFormat="false" ht="15" hidden="false" customHeight="false" outlineLevel="0" collapsed="false">
      <c r="A248" s="8" t="s">
        <v>7747</v>
      </c>
      <c r="B248" s="8" t="s">
        <v>7748</v>
      </c>
      <c r="C248" s="8" t="s">
        <v>178</v>
      </c>
      <c r="D248" s="8" t="s">
        <v>206</v>
      </c>
      <c r="E248" s="8" t="s">
        <v>105</v>
      </c>
      <c r="F248" s="8" t="s">
        <v>85</v>
      </c>
      <c r="G248" s="8" t="n">
        <v>3</v>
      </c>
      <c r="H248" s="18" t="n">
        <f aca="false">INDEX('All Items'!$Q:$Q,MATCH($A248,'All Items'!$A:$A,0))</f>
        <v>5.4</v>
      </c>
      <c r="I248" s="8" t="s">
        <v>7749</v>
      </c>
    </row>
    <row r="249" customFormat="false" ht="15" hidden="false" customHeight="false" outlineLevel="0" collapsed="false">
      <c r="A249" s="8" t="s">
        <v>7750</v>
      </c>
      <c r="B249" s="8" t="s">
        <v>7751</v>
      </c>
      <c r="C249" s="8" t="s">
        <v>178</v>
      </c>
      <c r="D249" s="8" t="s">
        <v>206</v>
      </c>
      <c r="E249" s="8" t="s">
        <v>105</v>
      </c>
      <c r="F249" s="8" t="s">
        <v>85</v>
      </c>
      <c r="G249" s="8" t="n">
        <v>3</v>
      </c>
      <c r="H249" s="18" t="n">
        <f aca="false">INDEX('All Items'!$Q:$Q,MATCH($A249,'All Items'!$A:$A,0))</f>
        <v>5.4</v>
      </c>
      <c r="I249" s="8" t="s">
        <v>7752</v>
      </c>
    </row>
    <row r="250" customFormat="false" ht="15" hidden="false" customHeight="false" outlineLevel="0" collapsed="false">
      <c r="A250" s="8" t="s">
        <v>7753</v>
      </c>
      <c r="B250" s="8" t="s">
        <v>7754</v>
      </c>
      <c r="C250" s="8" t="s">
        <v>178</v>
      </c>
      <c r="D250" s="8" t="s">
        <v>206</v>
      </c>
      <c r="E250" s="8" t="s">
        <v>109</v>
      </c>
      <c r="F250" s="8" t="s">
        <v>82</v>
      </c>
      <c r="G250" s="8" t="n">
        <v>3</v>
      </c>
      <c r="H250" s="18" t="n">
        <f aca="false">INDEX('All Items'!$Q:$Q,MATCH($A250,'All Items'!$A:$A,0))</f>
        <v>5.4</v>
      </c>
      <c r="I250" s="8" t="s">
        <v>7755</v>
      </c>
    </row>
    <row r="251" customFormat="false" ht="15" hidden="false" customHeight="false" outlineLevel="0" collapsed="false">
      <c r="A251" s="8" t="s">
        <v>7756</v>
      </c>
      <c r="B251" s="8" t="s">
        <v>7757</v>
      </c>
      <c r="C251" s="8" t="s">
        <v>178</v>
      </c>
      <c r="D251" s="8" t="s">
        <v>206</v>
      </c>
      <c r="E251" s="8" t="s">
        <v>103</v>
      </c>
      <c r="F251" s="8" t="s">
        <v>79</v>
      </c>
      <c r="G251" s="8" t="n">
        <v>3</v>
      </c>
      <c r="H251" s="18" t="n">
        <f aca="false">INDEX('All Items'!$Q:$Q,MATCH($A251,'All Items'!$A:$A,0))</f>
        <v>5.4</v>
      </c>
      <c r="I251" s="8" t="s">
        <v>7758</v>
      </c>
    </row>
    <row r="252" customFormat="false" ht="15" hidden="false" customHeight="false" outlineLevel="0" collapsed="false">
      <c r="A252" s="8" t="s">
        <v>7759</v>
      </c>
      <c r="B252" s="8" t="s">
        <v>7760</v>
      </c>
      <c r="C252" s="8" t="s">
        <v>178</v>
      </c>
      <c r="D252" s="8" t="s">
        <v>206</v>
      </c>
      <c r="E252" s="8" t="s">
        <v>108</v>
      </c>
      <c r="F252" s="8" t="s">
        <v>80</v>
      </c>
      <c r="G252" s="8" t="n">
        <v>3</v>
      </c>
      <c r="H252" s="18" t="n">
        <f aca="false">INDEX('All Items'!$Q:$Q,MATCH($A252,'All Items'!$A:$A,0))</f>
        <v>5.4</v>
      </c>
      <c r="I252" s="8" t="s">
        <v>7761</v>
      </c>
    </row>
    <row r="253" customFormat="false" ht="15" hidden="false" customHeight="false" outlineLevel="0" collapsed="false">
      <c r="A253" s="8" t="s">
        <v>7762</v>
      </c>
      <c r="B253" s="8" t="s">
        <v>7763</v>
      </c>
      <c r="C253" s="8" t="s">
        <v>178</v>
      </c>
      <c r="D253" s="8" t="s">
        <v>3508</v>
      </c>
      <c r="E253" s="8"/>
      <c r="F253" s="8" t="s">
        <v>83</v>
      </c>
      <c r="G253" s="8" t="n">
        <v>3</v>
      </c>
      <c r="H253" s="18" t="n">
        <f aca="false">INDEX('All Items'!$Q:$Q,MATCH($A253,'All Items'!$A:$A,0))</f>
        <v>5.4</v>
      </c>
      <c r="I253" s="8" t="s">
        <v>7764</v>
      </c>
    </row>
    <row r="254" customFormat="false" ht="15" hidden="false" customHeight="false" outlineLevel="0" collapsed="false">
      <c r="A254" s="8" t="s">
        <v>7765</v>
      </c>
      <c r="B254" s="8" t="s">
        <v>7766</v>
      </c>
      <c r="C254" s="8" t="s">
        <v>178</v>
      </c>
      <c r="D254" s="8" t="s">
        <v>3763</v>
      </c>
      <c r="E254" s="8"/>
      <c r="F254" s="8" t="s">
        <v>79</v>
      </c>
      <c r="G254" s="8" t="n">
        <v>3</v>
      </c>
      <c r="H254" s="18" t="n">
        <f aca="false">INDEX('All Items'!$Q:$Q,MATCH($A254,'All Items'!$A:$A,0))</f>
        <v>5.4</v>
      </c>
      <c r="I254" s="8" t="s">
        <v>7767</v>
      </c>
    </row>
    <row r="255" customFormat="false" ht="15" hidden="false" customHeight="false" outlineLevel="0" collapsed="false">
      <c r="A255" s="8" t="s">
        <v>7768</v>
      </c>
      <c r="B255" s="8" t="s">
        <v>7769</v>
      </c>
      <c r="C255" s="8" t="s">
        <v>178</v>
      </c>
      <c r="D255" s="8" t="s">
        <v>4325</v>
      </c>
      <c r="E255" s="8"/>
      <c r="F255" s="8" t="s">
        <v>85</v>
      </c>
      <c r="G255" s="8" t="n">
        <v>3</v>
      </c>
      <c r="H255" s="18" t="n">
        <f aca="false">INDEX('All Items'!$Q:$Q,MATCH($A255,'All Items'!$A:$A,0))</f>
        <v>5.4</v>
      </c>
      <c r="I255" s="8" t="s">
        <v>7770</v>
      </c>
    </row>
    <row r="256" customFormat="false" ht="15" hidden="false" customHeight="false" outlineLevel="0" collapsed="false">
      <c r="A256" s="8" t="s">
        <v>7771</v>
      </c>
      <c r="B256" s="8" t="s">
        <v>7772</v>
      </c>
      <c r="C256" s="8" t="s">
        <v>178</v>
      </c>
      <c r="D256" s="8" t="s">
        <v>4693</v>
      </c>
      <c r="E256" s="8"/>
      <c r="F256" s="8" t="s">
        <v>78</v>
      </c>
      <c r="G256" s="8" t="n">
        <v>3</v>
      </c>
      <c r="H256" s="18" t="n">
        <f aca="false">INDEX('All Items'!$Q:$Q,MATCH($A256,'All Items'!$A:$A,0))</f>
        <v>5.4</v>
      </c>
      <c r="I256" s="8" t="s">
        <v>7773</v>
      </c>
    </row>
    <row r="257" customFormat="false" ht="15" hidden="false" customHeight="false" outlineLevel="0" collapsed="false">
      <c r="A257" s="8" t="s">
        <v>7774</v>
      </c>
      <c r="B257" s="8" t="s">
        <v>7775</v>
      </c>
      <c r="C257" s="8" t="s">
        <v>178</v>
      </c>
      <c r="D257" s="8" t="s">
        <v>4987</v>
      </c>
      <c r="E257" s="8"/>
      <c r="F257" s="8" t="s">
        <v>80</v>
      </c>
      <c r="G257" s="8" t="n">
        <v>3</v>
      </c>
      <c r="H257" s="18" t="n">
        <f aca="false">INDEX('All Items'!$Q:$Q,MATCH($A257,'All Items'!$A:$A,0))</f>
        <v>5.4</v>
      </c>
      <c r="I257" s="8" t="s">
        <v>7776</v>
      </c>
    </row>
    <row r="258" customFormat="false" ht="15" hidden="false" customHeight="false" outlineLevel="0" collapsed="false">
      <c r="A258" s="8" t="s">
        <v>7777</v>
      </c>
      <c r="B258" s="8" t="s">
        <v>7778</v>
      </c>
      <c r="C258" s="8" t="s">
        <v>178</v>
      </c>
      <c r="D258" s="8" t="s">
        <v>206</v>
      </c>
      <c r="E258" s="8" t="s">
        <v>112</v>
      </c>
      <c r="F258" s="8" t="s">
        <v>87</v>
      </c>
      <c r="G258" s="8" t="n">
        <v>2</v>
      </c>
      <c r="H258" s="18" t="n">
        <f aca="false">INDEX('All Items'!$Q:$Q,MATCH($A258,'All Items'!$A:$A,0))</f>
        <v>5.35</v>
      </c>
      <c r="I258" s="8" t="s">
        <v>7243</v>
      </c>
    </row>
    <row r="259" customFormat="false" ht="15" hidden="false" customHeight="false" outlineLevel="0" collapsed="false">
      <c r="A259" s="8" t="s">
        <v>7779</v>
      </c>
      <c r="B259" s="8" t="s">
        <v>7780</v>
      </c>
      <c r="C259" s="8" t="s">
        <v>178</v>
      </c>
      <c r="D259" s="8" t="s">
        <v>206</v>
      </c>
      <c r="E259" s="8" t="s">
        <v>118</v>
      </c>
      <c r="F259" s="8" t="s">
        <v>84</v>
      </c>
      <c r="G259" s="8" t="n">
        <v>2</v>
      </c>
      <c r="H259" s="18" t="n">
        <f aca="false">INDEX('All Items'!$Q:$Q,MATCH($A259,'All Items'!$A:$A,0))</f>
        <v>5.35</v>
      </c>
      <c r="I259" s="8" t="s">
        <v>7243</v>
      </c>
    </row>
    <row r="260" customFormat="false" ht="15" hidden="false" customHeight="false" outlineLevel="0" collapsed="false">
      <c r="A260" s="8" t="s">
        <v>7781</v>
      </c>
      <c r="B260" s="8" t="s">
        <v>7782</v>
      </c>
      <c r="C260" s="8" t="s">
        <v>178</v>
      </c>
      <c r="D260" s="8" t="s">
        <v>206</v>
      </c>
      <c r="E260" s="8" t="s">
        <v>106</v>
      </c>
      <c r="F260" s="8" t="s">
        <v>78</v>
      </c>
      <c r="G260" s="8" t="n">
        <v>2</v>
      </c>
      <c r="H260" s="18" t="n">
        <f aca="false">INDEX('All Items'!$Q:$Q,MATCH($A260,'All Items'!$A:$A,0))</f>
        <v>5.35</v>
      </c>
      <c r="I260" s="8" t="s">
        <v>7243</v>
      </c>
    </row>
    <row r="261" customFormat="false" ht="15" hidden="false" customHeight="false" outlineLevel="0" collapsed="false">
      <c r="A261" s="8" t="s">
        <v>7783</v>
      </c>
      <c r="B261" s="8" t="s">
        <v>7784</v>
      </c>
      <c r="C261" s="8" t="s">
        <v>178</v>
      </c>
      <c r="D261" s="8" t="s">
        <v>206</v>
      </c>
      <c r="E261" s="8" t="s">
        <v>119</v>
      </c>
      <c r="F261" s="8" t="s">
        <v>78</v>
      </c>
      <c r="G261" s="8" t="n">
        <v>2</v>
      </c>
      <c r="H261" s="18" t="n">
        <f aca="false">INDEX('All Items'!$Q:$Q,MATCH($A261,'All Items'!$A:$A,0))</f>
        <v>5.35</v>
      </c>
      <c r="I261" s="8" t="s">
        <v>7243</v>
      </c>
    </row>
    <row r="262" customFormat="false" ht="15" hidden="false" customHeight="false" outlineLevel="0" collapsed="false">
      <c r="A262" s="8" t="s">
        <v>7785</v>
      </c>
      <c r="B262" s="8" t="s">
        <v>7786</v>
      </c>
      <c r="C262" s="8" t="s">
        <v>178</v>
      </c>
      <c r="D262" s="8" t="s">
        <v>206</v>
      </c>
      <c r="E262" s="8" t="s">
        <v>128</v>
      </c>
      <c r="F262" s="8" t="s">
        <v>85</v>
      </c>
      <c r="G262" s="8" t="n">
        <v>2</v>
      </c>
      <c r="H262" s="18" t="n">
        <f aca="false">INDEX('All Items'!$Q:$Q,MATCH($A262,'All Items'!$A:$A,0))</f>
        <v>5.35</v>
      </c>
      <c r="I262" s="8" t="s">
        <v>7243</v>
      </c>
    </row>
    <row r="263" customFormat="false" ht="15" hidden="false" customHeight="false" outlineLevel="0" collapsed="false">
      <c r="A263" s="8" t="s">
        <v>7787</v>
      </c>
      <c r="B263" s="8" t="s">
        <v>7788</v>
      </c>
      <c r="C263" s="8" t="s">
        <v>178</v>
      </c>
      <c r="D263" s="8" t="s">
        <v>206</v>
      </c>
      <c r="E263" s="8" t="s">
        <v>103</v>
      </c>
      <c r="F263" s="8" t="s">
        <v>79</v>
      </c>
      <c r="G263" s="8" t="n">
        <v>2</v>
      </c>
      <c r="H263" s="18" t="n">
        <f aca="false">INDEX('All Items'!$Q:$Q,MATCH($A263,'All Items'!$A:$A,0))</f>
        <v>5.35</v>
      </c>
      <c r="I263" s="8" t="s">
        <v>7243</v>
      </c>
    </row>
    <row r="264" customFormat="false" ht="15" hidden="false" customHeight="false" outlineLevel="0" collapsed="false">
      <c r="A264" s="8" t="s">
        <v>7789</v>
      </c>
      <c r="B264" s="8" t="s">
        <v>7790</v>
      </c>
      <c r="C264" s="8" t="s">
        <v>178</v>
      </c>
      <c r="D264" s="8" t="s">
        <v>206</v>
      </c>
      <c r="E264" s="8" t="s">
        <v>103</v>
      </c>
      <c r="F264" s="8" t="s">
        <v>88</v>
      </c>
      <c r="G264" s="8" t="n">
        <v>2</v>
      </c>
      <c r="H264" s="18" t="n">
        <f aca="false">INDEX('All Items'!$Q:$Q,MATCH($A264,'All Items'!$A:$A,0))</f>
        <v>5.35</v>
      </c>
      <c r="I264" s="8" t="s">
        <v>7243</v>
      </c>
    </row>
    <row r="265" customFormat="false" ht="15" hidden="false" customHeight="false" outlineLevel="0" collapsed="false">
      <c r="A265" s="8" t="s">
        <v>7791</v>
      </c>
      <c r="B265" s="8" t="s">
        <v>7792</v>
      </c>
      <c r="C265" s="8" t="s">
        <v>178</v>
      </c>
      <c r="D265" s="8" t="s">
        <v>206</v>
      </c>
      <c r="E265" s="8" t="s">
        <v>103</v>
      </c>
      <c r="F265" s="8" t="s">
        <v>79</v>
      </c>
      <c r="G265" s="8" t="n">
        <v>2</v>
      </c>
      <c r="H265" s="18" t="n">
        <f aca="false">INDEX('All Items'!$Q:$Q,MATCH($A265,'All Items'!$A:$A,0))</f>
        <v>5.35</v>
      </c>
      <c r="I265" s="8" t="s">
        <v>7243</v>
      </c>
    </row>
    <row r="266" customFormat="false" ht="15" hidden="false" customHeight="false" outlineLevel="0" collapsed="false">
      <c r="A266" s="8" t="s">
        <v>7793</v>
      </c>
      <c r="B266" s="8" t="s">
        <v>7794</v>
      </c>
      <c r="C266" s="8" t="s">
        <v>178</v>
      </c>
      <c r="D266" s="8" t="s">
        <v>3782</v>
      </c>
      <c r="E266" s="8"/>
      <c r="F266" s="8" t="s">
        <v>83</v>
      </c>
      <c r="G266" s="8" t="n">
        <v>2</v>
      </c>
      <c r="H266" s="18" t="n">
        <f aca="false">INDEX('All Items'!$Q:$Q,MATCH($A266,'All Items'!$A:$A,0))</f>
        <v>5.35</v>
      </c>
      <c r="I266" s="8" t="s">
        <v>7243</v>
      </c>
    </row>
    <row r="267" customFormat="false" ht="15" hidden="false" customHeight="false" outlineLevel="0" collapsed="false">
      <c r="A267" s="8" t="s">
        <v>7795</v>
      </c>
      <c r="B267" s="8" t="s">
        <v>7796</v>
      </c>
      <c r="C267" s="8" t="s">
        <v>178</v>
      </c>
      <c r="D267" s="8" t="s">
        <v>3828</v>
      </c>
      <c r="E267" s="8"/>
      <c r="F267" s="8" t="s">
        <v>79</v>
      </c>
      <c r="G267" s="8" t="n">
        <v>2</v>
      </c>
      <c r="H267" s="18" t="n">
        <f aca="false">INDEX('All Items'!$Q:$Q,MATCH($A267,'All Items'!$A:$A,0))</f>
        <v>5.35</v>
      </c>
      <c r="I267" s="8" t="s">
        <v>7243</v>
      </c>
    </row>
    <row r="268" customFormat="false" ht="15" hidden="false" customHeight="false" outlineLevel="0" collapsed="false">
      <c r="A268" s="8" t="s">
        <v>7797</v>
      </c>
      <c r="B268" s="8" t="s">
        <v>7798</v>
      </c>
      <c r="C268" s="8" t="s">
        <v>178</v>
      </c>
      <c r="D268" s="8" t="s">
        <v>4325</v>
      </c>
      <c r="E268" s="8"/>
      <c r="F268" s="8" t="s">
        <v>79</v>
      </c>
      <c r="G268" s="8" t="n">
        <v>2</v>
      </c>
      <c r="H268" s="18" t="n">
        <f aca="false">INDEX('All Items'!$Q:$Q,MATCH($A268,'All Items'!$A:$A,0))</f>
        <v>5.35</v>
      </c>
      <c r="I268" s="8" t="s">
        <v>7243</v>
      </c>
    </row>
    <row r="269" customFormat="false" ht="15" hidden="false" customHeight="false" outlineLevel="0" collapsed="false">
      <c r="A269" s="8" t="s">
        <v>7799</v>
      </c>
      <c r="B269" s="8" t="s">
        <v>7800</v>
      </c>
      <c r="C269" s="8" t="s">
        <v>178</v>
      </c>
      <c r="D269" s="8" t="s">
        <v>4574</v>
      </c>
      <c r="E269" s="8"/>
      <c r="F269" s="8" t="s">
        <v>87</v>
      </c>
      <c r="G269" s="8" t="n">
        <v>2</v>
      </c>
      <c r="H269" s="18" t="n">
        <f aca="false">INDEX('All Items'!$Q:$Q,MATCH($A269,'All Items'!$A:$A,0))</f>
        <v>5.35</v>
      </c>
      <c r="I269" s="8" t="s">
        <v>7243</v>
      </c>
    </row>
    <row r="270" customFormat="false" ht="15" hidden="false" customHeight="false" outlineLevel="0" collapsed="false">
      <c r="A270" s="8" t="s">
        <v>7801</v>
      </c>
      <c r="B270" s="8" t="s">
        <v>7802</v>
      </c>
      <c r="C270" s="8" t="s">
        <v>178</v>
      </c>
      <c r="D270" s="8" t="s">
        <v>4987</v>
      </c>
      <c r="E270" s="8"/>
      <c r="F270" s="8" t="s">
        <v>78</v>
      </c>
      <c r="G270" s="8" t="n">
        <v>2</v>
      </c>
      <c r="H270" s="18" t="n">
        <f aca="false">INDEX('All Items'!$Q:$Q,MATCH($A270,'All Items'!$A:$A,0))</f>
        <v>5.35</v>
      </c>
      <c r="I270" s="8" t="s">
        <v>7243</v>
      </c>
    </row>
    <row r="271" customFormat="false" ht="15" hidden="false" customHeight="false" outlineLevel="0" collapsed="false">
      <c r="A271" s="8" t="s">
        <v>7803</v>
      </c>
      <c r="B271" s="8" t="s">
        <v>7804</v>
      </c>
      <c r="C271" s="8" t="s">
        <v>178</v>
      </c>
      <c r="D271" s="8" t="s">
        <v>5903</v>
      </c>
      <c r="E271" s="8"/>
      <c r="F271" s="8" t="s">
        <v>86</v>
      </c>
      <c r="G271" s="8" t="n">
        <v>2</v>
      </c>
      <c r="H271" s="18" t="n">
        <f aca="false">INDEX('All Items'!$Q:$Q,MATCH($A271,'All Items'!$A:$A,0))</f>
        <v>5.35</v>
      </c>
      <c r="I271" s="8" t="s">
        <v>7243</v>
      </c>
    </row>
    <row r="272" customFormat="false" ht="15" hidden="false" customHeight="false" outlineLevel="0" collapsed="false">
      <c r="A272" s="8" t="s">
        <v>7805</v>
      </c>
      <c r="B272" s="8" t="s">
        <v>7806</v>
      </c>
      <c r="C272" s="8" t="s">
        <v>178</v>
      </c>
      <c r="D272" s="8" t="s">
        <v>5903</v>
      </c>
      <c r="E272" s="8"/>
      <c r="F272" s="8" t="s">
        <v>86</v>
      </c>
      <c r="G272" s="8" t="n">
        <v>2</v>
      </c>
      <c r="H272" s="18" t="n">
        <f aca="false">INDEX('All Items'!$Q:$Q,MATCH($A272,'All Items'!$A:$A,0))</f>
        <v>5.35</v>
      </c>
      <c r="I272" s="8" t="s">
        <v>7243</v>
      </c>
    </row>
    <row r="273" customFormat="false" ht="15" hidden="false" customHeight="false" outlineLevel="0" collapsed="false">
      <c r="A273" s="8" t="s">
        <v>7807</v>
      </c>
      <c r="B273" s="8" t="s">
        <v>7808</v>
      </c>
      <c r="C273" s="8" t="s">
        <v>178</v>
      </c>
      <c r="D273" s="8" t="s">
        <v>206</v>
      </c>
      <c r="E273" s="8" t="s">
        <v>104</v>
      </c>
      <c r="F273" s="8" t="s">
        <v>79</v>
      </c>
      <c r="G273" s="8" t="n">
        <v>3</v>
      </c>
      <c r="H273" s="18" t="n">
        <f aca="false">INDEX('All Items'!$Q:$Q,MATCH($A273,'All Items'!$A:$A,0))</f>
        <v>5.15</v>
      </c>
      <c r="I273" s="8" t="s">
        <v>7809</v>
      </c>
    </row>
    <row r="274" customFormat="false" ht="15" hidden="false" customHeight="false" outlineLevel="0" collapsed="false">
      <c r="A274" s="8" t="s">
        <v>7810</v>
      </c>
      <c r="B274" s="8" t="s">
        <v>7811</v>
      </c>
      <c r="C274" s="8" t="s">
        <v>178</v>
      </c>
      <c r="D274" s="8" t="s">
        <v>206</v>
      </c>
      <c r="E274" s="8" t="s">
        <v>104</v>
      </c>
      <c r="F274" s="8" t="s">
        <v>79</v>
      </c>
      <c r="G274" s="8" t="n">
        <v>3</v>
      </c>
      <c r="H274" s="18" t="n">
        <f aca="false">INDEX('All Items'!$Q:$Q,MATCH($A274,'All Items'!$A:$A,0))</f>
        <v>5.15</v>
      </c>
      <c r="I274" s="8" t="s">
        <v>7812</v>
      </c>
    </row>
    <row r="275" customFormat="false" ht="15" hidden="false" customHeight="false" outlineLevel="0" collapsed="false">
      <c r="A275" s="8" t="s">
        <v>7813</v>
      </c>
      <c r="B275" s="8" t="s">
        <v>7814</v>
      </c>
      <c r="C275" s="8" t="s">
        <v>178</v>
      </c>
      <c r="D275" s="8" t="s">
        <v>206</v>
      </c>
      <c r="E275" s="8" t="s">
        <v>103</v>
      </c>
      <c r="F275" s="8" t="s">
        <v>79</v>
      </c>
      <c r="G275" s="8" t="n">
        <v>3</v>
      </c>
      <c r="H275" s="18" t="n">
        <f aca="false">INDEX('All Items'!$Q:$Q,MATCH($A275,'All Items'!$A:$A,0))</f>
        <v>5.15</v>
      </c>
      <c r="I275" s="8" t="s">
        <v>7815</v>
      </c>
    </row>
    <row r="276" customFormat="false" ht="15" hidden="false" customHeight="false" outlineLevel="0" collapsed="false">
      <c r="A276" s="8" t="s">
        <v>7816</v>
      </c>
      <c r="B276" s="8" t="s">
        <v>7817</v>
      </c>
      <c r="C276" s="8" t="s">
        <v>178</v>
      </c>
      <c r="D276" s="8" t="s">
        <v>2859</v>
      </c>
      <c r="E276" s="8"/>
      <c r="F276" s="8" t="s">
        <v>83</v>
      </c>
      <c r="G276" s="8" t="n">
        <v>3</v>
      </c>
      <c r="H276" s="18" t="n">
        <f aca="false">INDEX('All Items'!$Q:$Q,MATCH($A276,'All Items'!$A:$A,0))</f>
        <v>5.15</v>
      </c>
      <c r="I276" s="8" t="s">
        <v>7818</v>
      </c>
    </row>
    <row r="277" customFormat="false" ht="15" hidden="false" customHeight="false" outlineLevel="0" collapsed="false">
      <c r="A277" s="8" t="s">
        <v>7819</v>
      </c>
      <c r="B277" s="8" t="s">
        <v>7820</v>
      </c>
      <c r="C277" s="8" t="s">
        <v>178</v>
      </c>
      <c r="D277" s="8" t="s">
        <v>4812</v>
      </c>
      <c r="E277" s="8"/>
      <c r="F277" s="8" t="s">
        <v>78</v>
      </c>
      <c r="G277" s="8" t="n">
        <v>3</v>
      </c>
      <c r="H277" s="18" t="n">
        <f aca="false">INDEX('All Items'!$Q:$Q,MATCH($A277,'All Items'!$A:$A,0))</f>
        <v>5.15</v>
      </c>
      <c r="I277" s="8" t="s">
        <v>7821</v>
      </c>
    </row>
    <row r="278" customFormat="false" ht="15" hidden="false" customHeight="false" outlineLevel="0" collapsed="false">
      <c r="A278" s="8" t="s">
        <v>7822</v>
      </c>
      <c r="B278" s="8" t="s">
        <v>7823</v>
      </c>
      <c r="C278" s="8" t="s">
        <v>178</v>
      </c>
      <c r="D278" s="8" t="s">
        <v>206</v>
      </c>
      <c r="E278" s="8" t="s">
        <v>103</v>
      </c>
      <c r="F278" s="8" t="s">
        <v>87</v>
      </c>
      <c r="G278" s="8" t="n">
        <v>2</v>
      </c>
      <c r="H278" s="18" t="n">
        <f aca="false">INDEX('All Items'!$Q:$Q,MATCH($A278,'All Items'!$A:$A,0))</f>
        <v>5.1</v>
      </c>
      <c r="I278" s="8" t="s">
        <v>7243</v>
      </c>
    </row>
    <row r="279" customFormat="false" ht="15" hidden="false" customHeight="false" outlineLevel="0" collapsed="false">
      <c r="A279" s="8" t="s">
        <v>7824</v>
      </c>
      <c r="B279" s="8" t="s">
        <v>7825</v>
      </c>
      <c r="C279" s="8" t="s">
        <v>178</v>
      </c>
      <c r="D279" s="8" t="s">
        <v>206</v>
      </c>
      <c r="E279" s="8" t="s">
        <v>103</v>
      </c>
      <c r="F279" s="8" t="s">
        <v>87</v>
      </c>
      <c r="G279" s="8" t="n">
        <v>2</v>
      </c>
      <c r="H279" s="18" t="n">
        <f aca="false">INDEX('All Items'!$Q:$Q,MATCH($A279,'All Items'!$A:$A,0))</f>
        <v>5.1</v>
      </c>
      <c r="I279" s="8" t="s">
        <v>7243</v>
      </c>
    </row>
    <row r="280" customFormat="false" ht="15" hidden="false" customHeight="false" outlineLevel="0" collapsed="false">
      <c r="A280" s="8" t="s">
        <v>7826</v>
      </c>
      <c r="B280" s="8" t="s">
        <v>7827</v>
      </c>
      <c r="C280" s="8" t="s">
        <v>178</v>
      </c>
      <c r="D280" s="8" t="s">
        <v>206</v>
      </c>
      <c r="E280" s="8" t="s">
        <v>110</v>
      </c>
      <c r="F280" s="8" t="s">
        <v>78</v>
      </c>
      <c r="G280" s="8" t="n">
        <v>3</v>
      </c>
      <c r="H280" s="18" t="n">
        <f aca="false">INDEX('All Items'!$Q:$Q,MATCH($A280,'All Items'!$A:$A,0))</f>
        <v>4.9</v>
      </c>
      <c r="I280" s="8" t="s">
        <v>7828</v>
      </c>
    </row>
    <row r="281" customFormat="false" ht="15" hidden="false" customHeight="false" outlineLevel="0" collapsed="false">
      <c r="A281" s="8" t="s">
        <v>7829</v>
      </c>
      <c r="B281" s="8" t="s">
        <v>7830</v>
      </c>
      <c r="C281" s="8" t="s">
        <v>178</v>
      </c>
      <c r="D281" s="8" t="s">
        <v>206</v>
      </c>
      <c r="E281" s="8" t="s">
        <v>112</v>
      </c>
      <c r="F281" s="8" t="s">
        <v>79</v>
      </c>
      <c r="G281" s="8" t="n">
        <v>3</v>
      </c>
      <c r="H281" s="18" t="n">
        <f aca="false">INDEX('All Items'!$Q:$Q,MATCH($A281,'All Items'!$A:$A,0))</f>
        <v>4.9</v>
      </c>
      <c r="I281" s="8" t="s">
        <v>7831</v>
      </c>
    </row>
    <row r="282" customFormat="false" ht="15" hidden="false" customHeight="false" outlineLevel="0" collapsed="false">
      <c r="A282" s="8" t="s">
        <v>7832</v>
      </c>
      <c r="B282" s="8" t="s">
        <v>7833</v>
      </c>
      <c r="C282" s="8" t="s">
        <v>178</v>
      </c>
      <c r="D282" s="8" t="s">
        <v>206</v>
      </c>
      <c r="E282" s="8" t="s">
        <v>109</v>
      </c>
      <c r="F282" s="8" t="s">
        <v>84</v>
      </c>
      <c r="G282" s="8" t="n">
        <v>3</v>
      </c>
      <c r="H282" s="18" t="n">
        <f aca="false">INDEX('All Items'!$Q:$Q,MATCH($A282,'All Items'!$A:$A,0))</f>
        <v>4.9</v>
      </c>
      <c r="I282" s="8" t="s">
        <v>7834</v>
      </c>
    </row>
    <row r="283" customFormat="false" ht="15" hidden="false" customHeight="false" outlineLevel="0" collapsed="false">
      <c r="A283" s="8" t="s">
        <v>7835</v>
      </c>
      <c r="B283" s="8" t="s">
        <v>7836</v>
      </c>
      <c r="C283" s="8" t="s">
        <v>178</v>
      </c>
      <c r="D283" s="8" t="s">
        <v>206</v>
      </c>
      <c r="E283" s="8" t="s">
        <v>103</v>
      </c>
      <c r="F283" s="8" t="s">
        <v>78</v>
      </c>
      <c r="G283" s="8" t="n">
        <v>3</v>
      </c>
      <c r="H283" s="18" t="n">
        <f aca="false">INDEX('All Items'!$Q:$Q,MATCH($A283,'All Items'!$A:$A,0))</f>
        <v>4.9</v>
      </c>
      <c r="I283" s="8" t="s">
        <v>7837</v>
      </c>
    </row>
    <row r="284" customFormat="false" ht="15" hidden="false" customHeight="false" outlineLevel="0" collapsed="false">
      <c r="A284" s="8" t="s">
        <v>7838</v>
      </c>
      <c r="B284" s="8" t="s">
        <v>7839</v>
      </c>
      <c r="C284" s="8" t="s">
        <v>178</v>
      </c>
      <c r="D284" s="8" t="s">
        <v>206</v>
      </c>
      <c r="E284" s="8" t="s">
        <v>108</v>
      </c>
      <c r="F284" s="8" t="s">
        <v>81</v>
      </c>
      <c r="G284" s="8" t="n">
        <v>3</v>
      </c>
      <c r="H284" s="18" t="n">
        <f aca="false">INDEX('All Items'!$Q:$Q,MATCH($A284,'All Items'!$A:$A,0))</f>
        <v>4.9</v>
      </c>
      <c r="I284" s="8" t="s">
        <v>7840</v>
      </c>
    </row>
    <row r="285" customFormat="false" ht="15" hidden="false" customHeight="false" outlineLevel="0" collapsed="false">
      <c r="A285" s="8" t="s">
        <v>7841</v>
      </c>
      <c r="B285" s="8" t="s">
        <v>7842</v>
      </c>
      <c r="C285" s="8" t="s">
        <v>178</v>
      </c>
      <c r="D285" s="8" t="s">
        <v>206</v>
      </c>
      <c r="E285" s="8" t="s">
        <v>111</v>
      </c>
      <c r="F285" s="8" t="s">
        <v>79</v>
      </c>
      <c r="G285" s="8" t="n">
        <v>3</v>
      </c>
      <c r="H285" s="18" t="n">
        <f aca="false">INDEX('All Items'!$Q:$Q,MATCH($A285,'All Items'!$A:$A,0))</f>
        <v>4.65</v>
      </c>
      <c r="I285" s="8" t="s">
        <v>7843</v>
      </c>
    </row>
    <row r="286" customFormat="false" ht="15" hidden="false" customHeight="false" outlineLevel="0" collapsed="false">
      <c r="A286" s="8" t="s">
        <v>7844</v>
      </c>
      <c r="B286" s="8" t="s">
        <v>7845</v>
      </c>
      <c r="C286" s="8" t="s">
        <v>178</v>
      </c>
      <c r="D286" s="8" t="s">
        <v>206</v>
      </c>
      <c r="E286" s="8" t="s">
        <v>103</v>
      </c>
      <c r="F286" s="8" t="s">
        <v>82</v>
      </c>
      <c r="G286" s="8" t="n">
        <v>3</v>
      </c>
      <c r="H286" s="18" t="n">
        <f aca="false">INDEX('All Items'!$Q:$Q,MATCH($A286,'All Items'!$A:$A,0))</f>
        <v>4.65</v>
      </c>
      <c r="I286" s="8" t="s">
        <v>7846</v>
      </c>
    </row>
    <row r="287" customFormat="false" ht="15" hidden="false" customHeight="false" outlineLevel="0" collapsed="false">
      <c r="A287" s="8" t="s">
        <v>7847</v>
      </c>
      <c r="B287" s="8" t="s">
        <v>7848</v>
      </c>
      <c r="C287" s="8" t="s">
        <v>178</v>
      </c>
      <c r="D287" s="8" t="s">
        <v>206</v>
      </c>
      <c r="E287" s="8" t="s">
        <v>104</v>
      </c>
      <c r="F287" s="8" t="s">
        <v>84</v>
      </c>
      <c r="G287" s="8" t="n">
        <v>2</v>
      </c>
      <c r="H287" s="18" t="n">
        <f aca="false">INDEX('All Items'!$Q:$Q,MATCH($A287,'All Items'!$A:$A,0))</f>
        <v>4.1</v>
      </c>
      <c r="I287" s="8" t="s">
        <v>7849</v>
      </c>
    </row>
    <row r="288" customFormat="false" ht="15" hidden="false" customHeight="false" outlineLevel="0" collapsed="false">
      <c r="A288" s="8" t="s">
        <v>7850</v>
      </c>
      <c r="B288" s="8" t="s">
        <v>7851</v>
      </c>
      <c r="C288" s="8" t="s">
        <v>178</v>
      </c>
      <c r="D288" s="8" t="s">
        <v>206</v>
      </c>
      <c r="E288" s="8" t="s">
        <v>108</v>
      </c>
      <c r="F288" s="8" t="s">
        <v>81</v>
      </c>
      <c r="G288" s="8" t="n">
        <v>2</v>
      </c>
      <c r="H288" s="18" t="n">
        <f aca="false">INDEX('All Items'!$Q:$Q,MATCH($A288,'All Items'!$A:$A,0))</f>
        <v>4.1</v>
      </c>
      <c r="I288" s="8" t="s">
        <v>7852</v>
      </c>
    </row>
    <row r="289" customFormat="false" ht="15" hidden="false" customHeight="false" outlineLevel="0" collapsed="false">
      <c r="A289" s="8" t="s">
        <v>7853</v>
      </c>
      <c r="B289" s="8" t="s">
        <v>7854</v>
      </c>
      <c r="C289" s="8" t="s">
        <v>178</v>
      </c>
      <c r="D289" s="8" t="s">
        <v>7855</v>
      </c>
      <c r="E289" s="8"/>
      <c r="F289" s="8" t="s">
        <v>89</v>
      </c>
      <c r="G289" s="8" t="n">
        <v>2</v>
      </c>
      <c r="H289" s="18" t="n">
        <f aca="false">INDEX('All Items'!$Q:$Q,MATCH($A289,'All Items'!$A:$A,0))</f>
        <v>4.1</v>
      </c>
      <c r="I289" s="8" t="s">
        <v>7856</v>
      </c>
    </row>
    <row r="290" customFormat="false" ht="15" hidden="false" customHeight="false" outlineLevel="0" collapsed="false">
      <c r="A290" s="8" t="s">
        <v>7857</v>
      </c>
      <c r="B290" s="8" t="s">
        <v>7858</v>
      </c>
      <c r="C290" s="8" t="s">
        <v>178</v>
      </c>
      <c r="D290" s="8" t="s">
        <v>3828</v>
      </c>
      <c r="E290" s="8"/>
      <c r="F290" s="8" t="s">
        <v>78</v>
      </c>
      <c r="G290" s="8" t="n">
        <v>2</v>
      </c>
      <c r="H290" s="18" t="n">
        <f aca="false">INDEX('All Items'!$Q:$Q,MATCH($A290,'All Items'!$A:$A,0))</f>
        <v>4.1</v>
      </c>
      <c r="I290" s="8" t="s">
        <v>7859</v>
      </c>
    </row>
    <row r="291" customFormat="false" ht="15" hidden="false" customHeight="false" outlineLevel="0" collapsed="false">
      <c r="A291" s="8" t="s">
        <v>7860</v>
      </c>
      <c r="B291" s="8" t="s">
        <v>7861</v>
      </c>
      <c r="C291" s="8" t="s">
        <v>178</v>
      </c>
      <c r="D291" s="8" t="s">
        <v>4812</v>
      </c>
      <c r="E291" s="8"/>
      <c r="F291" s="8" t="s">
        <v>78</v>
      </c>
      <c r="G291" s="8" t="n">
        <v>2</v>
      </c>
      <c r="H291" s="18" t="n">
        <f aca="false">INDEX('All Items'!$Q:$Q,MATCH($A291,'All Items'!$A:$A,0))</f>
        <v>4.1</v>
      </c>
      <c r="I291" s="8" t="s">
        <v>7862</v>
      </c>
    </row>
    <row r="292" customFormat="false" ht="15" hidden="false" customHeight="false" outlineLevel="0" collapsed="false">
      <c r="A292" s="8" t="s">
        <v>7863</v>
      </c>
      <c r="B292" s="8" t="s">
        <v>7864</v>
      </c>
      <c r="C292" s="8" t="s">
        <v>178</v>
      </c>
      <c r="D292" s="8" t="s">
        <v>7726</v>
      </c>
      <c r="E292" s="8"/>
      <c r="F292" s="8" t="s">
        <v>78</v>
      </c>
      <c r="G292" s="8" t="n">
        <v>2</v>
      </c>
      <c r="H292" s="18" t="n">
        <f aca="false">INDEX('All Items'!$Q:$Q,MATCH($A292,'All Items'!$A:$A,0))</f>
        <v>4.1</v>
      </c>
      <c r="I292" s="8" t="s">
        <v>7865</v>
      </c>
    </row>
    <row r="293" customFormat="false" ht="15" hidden="false" customHeight="false" outlineLevel="0" collapsed="false">
      <c r="A293" s="8" t="s">
        <v>7866</v>
      </c>
      <c r="B293" s="8" t="s">
        <v>7867</v>
      </c>
      <c r="C293" s="8" t="s">
        <v>178</v>
      </c>
      <c r="D293" s="8" t="s">
        <v>7598</v>
      </c>
      <c r="E293" s="8"/>
      <c r="F293" s="8" t="s">
        <v>78</v>
      </c>
      <c r="G293" s="8" t="n">
        <v>2</v>
      </c>
      <c r="H293" s="18" t="n">
        <f aca="false">INDEX('All Items'!$Q:$Q,MATCH($A293,'All Items'!$A:$A,0))</f>
        <v>4.1</v>
      </c>
      <c r="I293" s="8" t="s">
        <v>7868</v>
      </c>
    </row>
    <row r="294" customFormat="false" ht="15" hidden="false" customHeight="false" outlineLevel="0" collapsed="false">
      <c r="A294" s="8" t="s">
        <v>7869</v>
      </c>
      <c r="B294" s="8" t="s">
        <v>7870</v>
      </c>
      <c r="C294" s="8" t="s">
        <v>178</v>
      </c>
      <c r="D294" s="8" t="s">
        <v>206</v>
      </c>
      <c r="E294" s="8" t="s">
        <v>105</v>
      </c>
      <c r="F294" s="8" t="s">
        <v>85</v>
      </c>
      <c r="G294" s="8" t="n">
        <v>2</v>
      </c>
      <c r="H294" s="18" t="n">
        <f aca="false">INDEX('All Items'!$Q:$Q,MATCH($A294,'All Items'!$A:$A,0))</f>
        <v>3.85</v>
      </c>
      <c r="I294" s="8" t="s">
        <v>7871</v>
      </c>
    </row>
    <row r="295" customFormat="false" ht="15" hidden="false" customHeight="false" outlineLevel="0" collapsed="false">
      <c r="A295" s="8" t="s">
        <v>7872</v>
      </c>
      <c r="B295" s="8" t="s">
        <v>7873</v>
      </c>
      <c r="C295" s="8" t="s">
        <v>178</v>
      </c>
      <c r="D295" s="8" t="s">
        <v>206</v>
      </c>
      <c r="E295" s="8" t="s">
        <v>103</v>
      </c>
      <c r="F295" s="8" t="s">
        <v>84</v>
      </c>
      <c r="G295" s="8" t="n">
        <v>2</v>
      </c>
      <c r="H295" s="18" t="n">
        <f aca="false">INDEX('All Items'!$Q:$Q,MATCH($A295,'All Items'!$A:$A,0))</f>
        <v>3.85</v>
      </c>
      <c r="I295" s="8" t="s">
        <v>7874</v>
      </c>
    </row>
    <row r="296" customFormat="false" ht="15" hidden="false" customHeight="false" outlineLevel="0" collapsed="false">
      <c r="A296" s="8" t="s">
        <v>7875</v>
      </c>
      <c r="B296" s="8" t="s">
        <v>7876</v>
      </c>
      <c r="C296" s="8" t="s">
        <v>178</v>
      </c>
      <c r="D296" s="8" t="s">
        <v>206</v>
      </c>
      <c r="E296" s="8" t="s">
        <v>107</v>
      </c>
      <c r="F296" s="8" t="s">
        <v>80</v>
      </c>
      <c r="G296" s="8" t="n">
        <v>2</v>
      </c>
      <c r="H296" s="18" t="n">
        <f aca="false">INDEX('All Items'!$Q:$Q,MATCH($A296,'All Items'!$A:$A,0))</f>
        <v>3.85</v>
      </c>
      <c r="I296" s="8" t="s">
        <v>7877</v>
      </c>
    </row>
    <row r="297" customFormat="false" ht="15" hidden="false" customHeight="false" outlineLevel="0" collapsed="false">
      <c r="A297" s="8" t="s">
        <v>7878</v>
      </c>
      <c r="B297" s="8" t="s">
        <v>7879</v>
      </c>
      <c r="C297" s="8" t="s">
        <v>178</v>
      </c>
      <c r="D297" s="8" t="s">
        <v>3756</v>
      </c>
      <c r="E297" s="8"/>
      <c r="F297" s="8" t="s">
        <v>84</v>
      </c>
      <c r="G297" s="8" t="n">
        <v>2</v>
      </c>
      <c r="H297" s="18" t="n">
        <f aca="false">INDEX('All Items'!$Q:$Q,MATCH($A297,'All Items'!$A:$A,0))</f>
        <v>3.85</v>
      </c>
      <c r="I297" s="8" t="s">
        <v>7880</v>
      </c>
    </row>
    <row r="298" customFormat="false" ht="15" hidden="false" customHeight="false" outlineLevel="0" collapsed="false">
      <c r="A298" s="8" t="s">
        <v>7881</v>
      </c>
      <c r="B298" s="8" t="s">
        <v>7882</v>
      </c>
      <c r="C298" s="8" t="s">
        <v>178</v>
      </c>
      <c r="D298" s="8" t="s">
        <v>4448</v>
      </c>
      <c r="E298" s="8"/>
      <c r="F298" s="8" t="s">
        <v>78</v>
      </c>
      <c r="G298" s="8" t="n">
        <v>2</v>
      </c>
      <c r="H298" s="18" t="n">
        <f aca="false">INDEX('All Items'!$Q:$Q,MATCH($A298,'All Items'!$A:$A,0))</f>
        <v>3.85</v>
      </c>
      <c r="I298" s="8" t="s">
        <v>7883</v>
      </c>
    </row>
    <row r="299" customFormat="false" ht="15" hidden="false" customHeight="false" outlineLevel="0" collapsed="false">
      <c r="A299" s="8" t="s">
        <v>7884</v>
      </c>
      <c r="B299" s="8" t="s">
        <v>7885</v>
      </c>
      <c r="C299" s="8" t="s">
        <v>178</v>
      </c>
      <c r="D299" s="8" t="s">
        <v>206</v>
      </c>
      <c r="E299" s="8" t="s">
        <v>120</v>
      </c>
      <c r="F299" s="8" t="s">
        <v>79</v>
      </c>
      <c r="G299" s="8" t="n">
        <v>2</v>
      </c>
      <c r="H299" s="18" t="n">
        <f aca="false">INDEX('All Items'!$Q:$Q,MATCH($A299,'All Items'!$A:$A,0))</f>
        <v>3.6</v>
      </c>
      <c r="I299" s="8" t="s">
        <v>7886</v>
      </c>
    </row>
    <row r="300" customFormat="false" ht="15" hidden="false" customHeight="false" outlineLevel="0" collapsed="false">
      <c r="A300" s="8" t="s">
        <v>7887</v>
      </c>
      <c r="B300" s="8" t="s">
        <v>7888</v>
      </c>
      <c r="C300" s="8" t="s">
        <v>178</v>
      </c>
      <c r="D300" s="8" t="s">
        <v>206</v>
      </c>
      <c r="E300" s="8" t="s">
        <v>103</v>
      </c>
      <c r="F300" s="8" t="s">
        <v>79</v>
      </c>
      <c r="G300" s="8" t="n">
        <v>2</v>
      </c>
      <c r="H300" s="18" t="n">
        <f aca="false">INDEX('All Items'!$Q:$Q,MATCH($A300,'All Items'!$A:$A,0))</f>
        <v>3.6</v>
      </c>
      <c r="I300" s="8" t="s">
        <v>7889</v>
      </c>
    </row>
    <row r="301" customFormat="false" ht="15" hidden="false" customHeight="false" outlineLevel="0" collapsed="false">
      <c r="A301" s="8" t="s">
        <v>7890</v>
      </c>
      <c r="B301" s="8" t="s">
        <v>7891</v>
      </c>
      <c r="C301" s="8" t="s">
        <v>178</v>
      </c>
      <c r="D301" s="8" t="s">
        <v>206</v>
      </c>
      <c r="E301" s="8" t="s">
        <v>111</v>
      </c>
      <c r="F301" s="8" t="s">
        <v>87</v>
      </c>
      <c r="G301" s="8" t="n">
        <v>2</v>
      </c>
      <c r="H301" s="18" t="n">
        <f aca="false">INDEX('All Items'!$Q:$Q,MATCH($A301,'All Items'!$A:$A,0))</f>
        <v>3.6</v>
      </c>
      <c r="I301" s="8" t="s">
        <v>7892</v>
      </c>
    </row>
    <row r="302" customFormat="false" ht="15" hidden="false" customHeight="false" outlineLevel="0" collapsed="false">
      <c r="A302" s="8" t="s">
        <v>7893</v>
      </c>
      <c r="B302" s="8" t="s">
        <v>7894</v>
      </c>
      <c r="C302" s="8" t="s">
        <v>178</v>
      </c>
      <c r="D302" s="8" t="s">
        <v>206</v>
      </c>
      <c r="E302" s="8" t="s">
        <v>110</v>
      </c>
      <c r="F302" s="8" t="s">
        <v>78</v>
      </c>
      <c r="G302" s="8" t="n">
        <v>2</v>
      </c>
      <c r="H302" s="18" t="n">
        <f aca="false">INDEX('All Items'!$Q:$Q,MATCH($A302,'All Items'!$A:$A,0))</f>
        <v>3.6</v>
      </c>
      <c r="I302" s="8" t="s">
        <v>7895</v>
      </c>
    </row>
    <row r="303" customFormat="false" ht="15" hidden="false" customHeight="false" outlineLevel="0" collapsed="false">
      <c r="A303" s="8" t="s">
        <v>7896</v>
      </c>
      <c r="B303" s="8" t="s">
        <v>7897</v>
      </c>
      <c r="C303" s="8" t="s">
        <v>178</v>
      </c>
      <c r="D303" s="8" t="s">
        <v>206</v>
      </c>
      <c r="E303" s="8" t="s">
        <v>103</v>
      </c>
      <c r="F303" s="8" t="s">
        <v>78</v>
      </c>
      <c r="G303" s="8" t="n">
        <v>2</v>
      </c>
      <c r="H303" s="18" t="n">
        <f aca="false">INDEX('All Items'!$Q:$Q,MATCH($A303,'All Items'!$A:$A,0))</f>
        <v>3.35</v>
      </c>
      <c r="I303" s="8" t="s">
        <v>7898</v>
      </c>
    </row>
    <row r="304" customFormat="false" ht="15" hidden="false" customHeight="false" outlineLevel="0" collapsed="false">
      <c r="A304" s="8" t="s">
        <v>7899</v>
      </c>
      <c r="B304" s="8" t="s">
        <v>7900</v>
      </c>
      <c r="C304" s="8" t="s">
        <v>5958</v>
      </c>
      <c r="D304" s="8" t="s">
        <v>4613</v>
      </c>
      <c r="E304" s="8"/>
      <c r="F304" s="8" t="s">
        <v>97</v>
      </c>
      <c r="G304" s="8" t="n">
        <v>3</v>
      </c>
      <c r="H304" s="18" t="n">
        <f aca="false">INDEX('All Items'!$Q:$Q,MATCH($A304,'All Items'!$A:$A,0))</f>
        <v>6.4</v>
      </c>
      <c r="I304" s="8" t="s">
        <v>7901</v>
      </c>
    </row>
    <row r="305" customFormat="false" ht="15" hidden="false" customHeight="false" outlineLevel="0" collapsed="false">
      <c r="A305" s="8" t="s">
        <v>7902</v>
      </c>
      <c r="B305" s="8" t="s">
        <v>7903</v>
      </c>
      <c r="C305" s="8" t="s">
        <v>5958</v>
      </c>
      <c r="D305" s="8" t="s">
        <v>4448</v>
      </c>
      <c r="E305" s="8"/>
      <c r="F305" s="8" t="s">
        <v>97</v>
      </c>
      <c r="G305" s="8" t="n">
        <v>3</v>
      </c>
      <c r="H305" s="18" t="n">
        <f aca="false">INDEX('All Items'!$Q:$Q,MATCH($A305,'All Items'!$A:$A,0))</f>
        <v>6.4</v>
      </c>
      <c r="I305" s="8" t="s">
        <v>7901</v>
      </c>
    </row>
    <row r="306" customFormat="false" ht="15" hidden="false" customHeight="false" outlineLevel="0" collapsed="false">
      <c r="A306" s="8" t="s">
        <v>7904</v>
      </c>
      <c r="B306" s="8" t="s">
        <v>7905</v>
      </c>
      <c r="C306" s="8" t="s">
        <v>5958</v>
      </c>
      <c r="D306" s="8" t="s">
        <v>4448</v>
      </c>
      <c r="E306" s="8"/>
      <c r="F306" s="8" t="s">
        <v>97</v>
      </c>
      <c r="G306" s="8" t="n">
        <v>3</v>
      </c>
      <c r="H306" s="18" t="n">
        <f aca="false">INDEX('All Items'!$Q:$Q,MATCH($A306,'All Items'!$A:$A,0))</f>
        <v>6.4</v>
      </c>
      <c r="I306" s="8" t="s">
        <v>7901</v>
      </c>
    </row>
    <row r="307" customFormat="false" ht="15" hidden="false" customHeight="false" outlineLevel="0" collapsed="false">
      <c r="A307" s="8" t="s">
        <v>7906</v>
      </c>
      <c r="B307" s="8" t="s">
        <v>7907</v>
      </c>
      <c r="C307" s="8" t="s">
        <v>5958</v>
      </c>
      <c r="D307" s="8" t="s">
        <v>2532</v>
      </c>
      <c r="E307" s="8"/>
      <c r="F307" s="8" t="s">
        <v>94</v>
      </c>
      <c r="G307" s="8" t="n">
        <v>3</v>
      </c>
      <c r="H307" s="18" t="n">
        <f aca="false">INDEX('All Items'!$Q:$Q,MATCH($A307,'All Items'!$A:$A,0))</f>
        <v>6.4</v>
      </c>
      <c r="I307" s="8" t="s">
        <v>7901</v>
      </c>
    </row>
    <row r="308" customFormat="false" ht="15" hidden="false" customHeight="false" outlineLevel="0" collapsed="false">
      <c r="A308" s="8" t="s">
        <v>7908</v>
      </c>
      <c r="B308" s="8" t="s">
        <v>7909</v>
      </c>
      <c r="C308" s="8" t="s">
        <v>5958</v>
      </c>
      <c r="D308" s="8" t="s">
        <v>206</v>
      </c>
      <c r="E308" s="8" t="s">
        <v>103</v>
      </c>
      <c r="F308" s="8" t="s">
        <v>93</v>
      </c>
      <c r="G308" s="8" t="n">
        <v>3</v>
      </c>
      <c r="H308" s="18" t="n">
        <f aca="false">INDEX('All Items'!$Q:$Q,MATCH($A308,'All Items'!$A:$A,0))</f>
        <v>6.4</v>
      </c>
      <c r="I308" s="8" t="s">
        <v>7236</v>
      </c>
    </row>
    <row r="309" customFormat="false" ht="15" hidden="false" customHeight="false" outlineLevel="0" collapsed="false">
      <c r="A309" s="8" t="s">
        <v>7910</v>
      </c>
      <c r="B309" s="8" t="s">
        <v>7911</v>
      </c>
      <c r="C309" s="8" t="s">
        <v>5958</v>
      </c>
      <c r="D309" s="8" t="s">
        <v>5425</v>
      </c>
      <c r="E309" s="8"/>
      <c r="F309" s="8" t="s">
        <v>99</v>
      </c>
      <c r="G309" s="8" t="n">
        <v>4</v>
      </c>
      <c r="H309" s="18" t="n">
        <f aca="false">INDEX('All Items'!$Q:$Q,MATCH($A309,'All Items'!$A:$A,0))</f>
        <v>6.2</v>
      </c>
      <c r="I309" s="8" t="s">
        <v>7912</v>
      </c>
    </row>
    <row r="310" customFormat="false" ht="15" hidden="false" customHeight="false" outlineLevel="0" collapsed="false">
      <c r="A310" s="8" t="s">
        <v>7913</v>
      </c>
      <c r="B310" s="8" t="s">
        <v>5986</v>
      </c>
      <c r="C310" s="8" t="s">
        <v>5958</v>
      </c>
      <c r="D310" s="8" t="s">
        <v>5046</v>
      </c>
      <c r="E310" s="8"/>
      <c r="F310" s="8" t="s">
        <v>92</v>
      </c>
      <c r="G310" s="8" t="n">
        <v>2</v>
      </c>
      <c r="H310" s="18" t="n">
        <f aca="false">INDEX('All Items'!$Q:$Q,MATCH($A310,'All Items'!$A:$A,0))</f>
        <v>6.1</v>
      </c>
      <c r="I310" s="8" t="s">
        <v>7243</v>
      </c>
    </row>
    <row r="311" customFormat="false" ht="15" hidden="false" customHeight="false" outlineLevel="0" collapsed="false">
      <c r="A311" s="8" t="s">
        <v>7914</v>
      </c>
      <c r="B311" s="8" t="s">
        <v>7915</v>
      </c>
      <c r="C311" s="8" t="s">
        <v>5958</v>
      </c>
      <c r="D311" s="8" t="s">
        <v>5046</v>
      </c>
      <c r="E311" s="8"/>
      <c r="F311" s="8" t="s">
        <v>92</v>
      </c>
      <c r="G311" s="8" t="n">
        <v>2</v>
      </c>
      <c r="H311" s="18" t="n">
        <f aca="false">INDEX('All Items'!$Q:$Q,MATCH($A311,'All Items'!$A:$A,0))</f>
        <v>6.1</v>
      </c>
      <c r="I311" s="8" t="s">
        <v>7243</v>
      </c>
    </row>
    <row r="312" customFormat="false" ht="15" hidden="false" customHeight="false" outlineLevel="0" collapsed="false">
      <c r="A312" s="8" t="s">
        <v>7916</v>
      </c>
      <c r="B312" s="8" t="s">
        <v>7917</v>
      </c>
      <c r="C312" s="8" t="s">
        <v>5958</v>
      </c>
      <c r="D312" s="8" t="s">
        <v>4448</v>
      </c>
      <c r="E312" s="8"/>
      <c r="F312" s="8" t="s">
        <v>92</v>
      </c>
      <c r="G312" s="8" t="n">
        <v>2</v>
      </c>
      <c r="H312" s="18" t="n">
        <f aca="false">INDEX('All Items'!$Q:$Q,MATCH($A312,'All Items'!$A:$A,0))</f>
        <v>6.1</v>
      </c>
      <c r="I312" s="8" t="s">
        <v>7243</v>
      </c>
    </row>
    <row r="313" customFormat="false" ht="15" hidden="false" customHeight="false" outlineLevel="0" collapsed="false">
      <c r="A313" s="8" t="s">
        <v>7918</v>
      </c>
      <c r="B313" s="8" t="s">
        <v>7919</v>
      </c>
      <c r="C313" s="8" t="s">
        <v>5958</v>
      </c>
      <c r="D313" s="8" t="s">
        <v>5046</v>
      </c>
      <c r="E313" s="8"/>
      <c r="F313" s="8" t="s">
        <v>92</v>
      </c>
      <c r="G313" s="8" t="n">
        <v>2</v>
      </c>
      <c r="H313" s="18" t="n">
        <f aca="false">INDEX('All Items'!$Q:$Q,MATCH($A313,'All Items'!$A:$A,0))</f>
        <v>6.1</v>
      </c>
      <c r="I313" s="8" t="s">
        <v>7243</v>
      </c>
    </row>
    <row r="314" customFormat="false" ht="15" hidden="false" customHeight="false" outlineLevel="0" collapsed="false">
      <c r="A314" s="8" t="s">
        <v>7920</v>
      </c>
      <c r="B314" s="8" t="s">
        <v>7921</v>
      </c>
      <c r="C314" s="8" t="s">
        <v>5958</v>
      </c>
      <c r="D314" s="8" t="s">
        <v>5255</v>
      </c>
      <c r="E314" s="8"/>
      <c r="F314" s="8" t="s">
        <v>92</v>
      </c>
      <c r="G314" s="8" t="n">
        <v>2</v>
      </c>
      <c r="H314" s="18" t="n">
        <f aca="false">INDEX('All Items'!$Q:$Q,MATCH($A314,'All Items'!$A:$A,0))</f>
        <v>6.1</v>
      </c>
      <c r="I314" s="8" t="s">
        <v>7243</v>
      </c>
    </row>
    <row r="315" customFormat="false" ht="15" hidden="false" customHeight="false" outlineLevel="0" collapsed="false">
      <c r="A315" s="8" t="s">
        <v>7922</v>
      </c>
      <c r="B315" s="8" t="s">
        <v>7923</v>
      </c>
      <c r="C315" s="8" t="s">
        <v>5958</v>
      </c>
      <c r="D315" s="8" t="s">
        <v>206</v>
      </c>
      <c r="E315" s="8" t="s">
        <v>103</v>
      </c>
      <c r="F315" s="8" t="s">
        <v>96</v>
      </c>
      <c r="G315" s="8" t="n">
        <v>2</v>
      </c>
      <c r="H315" s="18" t="n">
        <f aca="false">INDEX('All Items'!$Q:$Q,MATCH($A315,'All Items'!$A:$A,0))</f>
        <v>6.1</v>
      </c>
      <c r="I315" s="8" t="s">
        <v>7243</v>
      </c>
    </row>
    <row r="316" customFormat="false" ht="15" hidden="false" customHeight="false" outlineLevel="0" collapsed="false">
      <c r="A316" s="8" t="s">
        <v>7924</v>
      </c>
      <c r="B316" s="8" t="s">
        <v>7925</v>
      </c>
      <c r="C316" s="8" t="s">
        <v>5958</v>
      </c>
      <c r="D316" s="8" t="s">
        <v>4833</v>
      </c>
      <c r="E316" s="8"/>
      <c r="F316" s="8" t="s">
        <v>96</v>
      </c>
      <c r="G316" s="8" t="n">
        <v>2</v>
      </c>
      <c r="H316" s="18" t="n">
        <f aca="false">INDEX('All Items'!$Q:$Q,MATCH($A316,'All Items'!$A:$A,0))</f>
        <v>6.1</v>
      </c>
      <c r="I316" s="8" t="s">
        <v>7243</v>
      </c>
    </row>
    <row r="317" customFormat="false" ht="15" hidden="false" customHeight="false" outlineLevel="0" collapsed="false">
      <c r="A317" s="8" t="s">
        <v>7926</v>
      </c>
      <c r="B317" s="8" t="s">
        <v>7927</v>
      </c>
      <c r="C317" s="8" t="s">
        <v>5958</v>
      </c>
      <c r="D317" s="8" t="s">
        <v>5621</v>
      </c>
      <c r="E317" s="8"/>
      <c r="F317" s="8" t="s">
        <v>94</v>
      </c>
      <c r="G317" s="8" t="n">
        <v>2</v>
      </c>
      <c r="H317" s="18" t="n">
        <f aca="false">INDEX('All Items'!$Q:$Q,MATCH($A317,'All Items'!$A:$A,0))</f>
        <v>6.1</v>
      </c>
      <c r="I317" s="8" t="s">
        <v>7243</v>
      </c>
    </row>
    <row r="318" customFormat="false" ht="15" hidden="false" customHeight="false" outlineLevel="0" collapsed="false">
      <c r="A318" s="8" t="s">
        <v>7928</v>
      </c>
      <c r="B318" s="8" t="s">
        <v>7929</v>
      </c>
      <c r="C318" s="8" t="s">
        <v>5958</v>
      </c>
      <c r="D318" s="8" t="s">
        <v>5207</v>
      </c>
      <c r="E318" s="8"/>
      <c r="F318" s="8" t="s">
        <v>94</v>
      </c>
      <c r="G318" s="8" t="n">
        <v>2</v>
      </c>
      <c r="H318" s="18" t="n">
        <f aca="false">INDEX('All Items'!$Q:$Q,MATCH($A318,'All Items'!$A:$A,0))</f>
        <v>6.1</v>
      </c>
      <c r="I318" s="8" t="s">
        <v>7243</v>
      </c>
    </row>
    <row r="319" customFormat="false" ht="15" hidden="false" customHeight="false" outlineLevel="0" collapsed="false">
      <c r="A319" s="8" t="s">
        <v>7930</v>
      </c>
      <c r="B319" s="8" t="s">
        <v>7931</v>
      </c>
      <c r="C319" s="8" t="s">
        <v>5958</v>
      </c>
      <c r="D319" s="8" t="s">
        <v>5046</v>
      </c>
      <c r="E319" s="8"/>
      <c r="F319" s="8" t="s">
        <v>93</v>
      </c>
      <c r="G319" s="8" t="n">
        <v>2</v>
      </c>
      <c r="H319" s="18" t="n">
        <f aca="false">INDEX('All Items'!$Q:$Q,MATCH($A319,'All Items'!$A:$A,0))</f>
        <v>6.1</v>
      </c>
      <c r="I319" s="8" t="s">
        <v>7243</v>
      </c>
    </row>
    <row r="320" customFormat="false" ht="15" hidden="false" customHeight="false" outlineLevel="0" collapsed="false">
      <c r="A320" s="8" t="s">
        <v>7932</v>
      </c>
      <c r="B320" s="8" t="s">
        <v>7933</v>
      </c>
      <c r="C320" s="8" t="s">
        <v>5958</v>
      </c>
      <c r="D320" s="8" t="s">
        <v>5609</v>
      </c>
      <c r="E320" s="8"/>
      <c r="F320" s="8" t="s">
        <v>93</v>
      </c>
      <c r="G320" s="8" t="n">
        <v>2</v>
      </c>
      <c r="H320" s="18" t="n">
        <f aca="false">INDEX('All Items'!$Q:$Q,MATCH($A320,'All Items'!$A:$A,0))</f>
        <v>6.1</v>
      </c>
      <c r="I320" s="8" t="s">
        <v>7243</v>
      </c>
    </row>
    <row r="321" customFormat="false" ht="15" hidden="false" customHeight="false" outlineLevel="0" collapsed="false">
      <c r="A321" s="8" t="s">
        <v>7934</v>
      </c>
      <c r="B321" s="8" t="s">
        <v>7935</v>
      </c>
      <c r="C321" s="8" t="s">
        <v>5958</v>
      </c>
      <c r="D321" s="8" t="s">
        <v>3547</v>
      </c>
      <c r="E321" s="8"/>
      <c r="F321" s="8" t="s">
        <v>93</v>
      </c>
      <c r="G321" s="8" t="n">
        <v>2</v>
      </c>
      <c r="H321" s="18" t="n">
        <f aca="false">INDEX('All Items'!$Q:$Q,MATCH($A321,'All Items'!$A:$A,0))</f>
        <v>6.1</v>
      </c>
      <c r="I321" s="8" t="s">
        <v>7243</v>
      </c>
    </row>
    <row r="322" customFormat="false" ht="15" hidden="false" customHeight="false" outlineLevel="0" collapsed="false">
      <c r="A322" s="8" t="s">
        <v>7936</v>
      </c>
      <c r="B322" s="8" t="s">
        <v>7937</v>
      </c>
      <c r="C322" s="8" t="s">
        <v>5958</v>
      </c>
      <c r="D322" s="8" t="s">
        <v>5829</v>
      </c>
      <c r="E322" s="8"/>
      <c r="F322" s="8" t="s">
        <v>93</v>
      </c>
      <c r="G322" s="8" t="n">
        <v>2</v>
      </c>
      <c r="H322" s="18" t="n">
        <f aca="false">INDEX('All Items'!$Q:$Q,MATCH($A322,'All Items'!$A:$A,0))</f>
        <v>6.1</v>
      </c>
      <c r="I322" s="8" t="s">
        <v>7243</v>
      </c>
    </row>
    <row r="323" customFormat="false" ht="15" hidden="false" customHeight="false" outlineLevel="0" collapsed="false">
      <c r="A323" s="8" t="s">
        <v>7938</v>
      </c>
      <c r="B323" s="8" t="s">
        <v>7939</v>
      </c>
      <c r="C323" s="8" t="s">
        <v>5958</v>
      </c>
      <c r="D323" s="8" t="s">
        <v>5046</v>
      </c>
      <c r="E323" s="8"/>
      <c r="F323" s="8" t="s">
        <v>92</v>
      </c>
      <c r="G323" s="8" t="n">
        <v>2</v>
      </c>
      <c r="H323" s="18" t="n">
        <f aca="false">INDEX('All Items'!$Q:$Q,MATCH($A323,'All Items'!$A:$A,0))</f>
        <v>5.85</v>
      </c>
      <c r="I323" s="8" t="s">
        <v>7243</v>
      </c>
    </row>
    <row r="324" customFormat="false" ht="15" hidden="false" customHeight="false" outlineLevel="0" collapsed="false">
      <c r="A324" s="8" t="s">
        <v>7940</v>
      </c>
      <c r="B324" s="8" t="s">
        <v>7941</v>
      </c>
      <c r="C324" s="8" t="s">
        <v>5958</v>
      </c>
      <c r="D324" s="8" t="s">
        <v>4081</v>
      </c>
      <c r="E324" s="8"/>
      <c r="F324" s="8" t="s">
        <v>92</v>
      </c>
      <c r="G324" s="8" t="n">
        <v>2</v>
      </c>
      <c r="H324" s="18" t="n">
        <f aca="false">INDEX('All Items'!$Q:$Q,MATCH($A324,'All Items'!$A:$A,0))</f>
        <v>5.85</v>
      </c>
      <c r="I324" s="8" t="s">
        <v>7243</v>
      </c>
    </row>
    <row r="325" customFormat="false" ht="15" hidden="false" customHeight="false" outlineLevel="0" collapsed="false">
      <c r="A325" s="8" t="s">
        <v>7942</v>
      </c>
      <c r="B325" s="8" t="s">
        <v>7943</v>
      </c>
      <c r="C325" s="8" t="s">
        <v>5958</v>
      </c>
      <c r="D325" s="8" t="s">
        <v>3828</v>
      </c>
      <c r="E325" s="8"/>
      <c r="F325" s="8" t="s">
        <v>92</v>
      </c>
      <c r="G325" s="8" t="n">
        <v>2</v>
      </c>
      <c r="H325" s="18" t="n">
        <f aca="false">INDEX('All Items'!$Q:$Q,MATCH($A325,'All Items'!$A:$A,0))</f>
        <v>5.85</v>
      </c>
      <c r="I325" s="8" t="s">
        <v>7243</v>
      </c>
    </row>
    <row r="326" customFormat="false" ht="15" hidden="false" customHeight="false" outlineLevel="0" collapsed="false">
      <c r="A326" s="8" t="s">
        <v>7944</v>
      </c>
      <c r="B326" s="8" t="s">
        <v>7945</v>
      </c>
      <c r="C326" s="8" t="s">
        <v>5958</v>
      </c>
      <c r="D326" s="8" t="s">
        <v>5046</v>
      </c>
      <c r="E326" s="8"/>
      <c r="F326" s="8" t="s">
        <v>92</v>
      </c>
      <c r="G326" s="8" t="n">
        <v>2</v>
      </c>
      <c r="H326" s="18" t="n">
        <f aca="false">INDEX('All Items'!$Q:$Q,MATCH($A326,'All Items'!$A:$A,0))</f>
        <v>5.85</v>
      </c>
      <c r="I326" s="8" t="s">
        <v>7243</v>
      </c>
    </row>
    <row r="327" customFormat="false" ht="15" hidden="false" customHeight="false" outlineLevel="0" collapsed="false">
      <c r="A327" s="8" t="s">
        <v>7946</v>
      </c>
      <c r="B327" s="8" t="s">
        <v>7947</v>
      </c>
      <c r="C327" s="8" t="s">
        <v>5958</v>
      </c>
      <c r="D327" s="8" t="s">
        <v>5046</v>
      </c>
      <c r="E327" s="8"/>
      <c r="F327" s="8" t="s">
        <v>92</v>
      </c>
      <c r="G327" s="8" t="n">
        <v>2</v>
      </c>
      <c r="H327" s="18" t="n">
        <f aca="false">INDEX('All Items'!$Q:$Q,MATCH($A327,'All Items'!$A:$A,0))</f>
        <v>5.85</v>
      </c>
      <c r="I327" s="8" t="s">
        <v>7243</v>
      </c>
    </row>
    <row r="328" customFormat="false" ht="15" hidden="false" customHeight="false" outlineLevel="0" collapsed="false">
      <c r="A328" s="8" t="s">
        <v>7948</v>
      </c>
      <c r="B328" s="8" t="s">
        <v>7949</v>
      </c>
      <c r="C328" s="8" t="s">
        <v>5958</v>
      </c>
      <c r="D328" s="8" t="s">
        <v>5046</v>
      </c>
      <c r="E328" s="8"/>
      <c r="F328" s="8" t="s">
        <v>92</v>
      </c>
      <c r="G328" s="8" t="n">
        <v>2</v>
      </c>
      <c r="H328" s="18" t="n">
        <f aca="false">INDEX('All Items'!$Q:$Q,MATCH($A328,'All Items'!$A:$A,0))</f>
        <v>5.85</v>
      </c>
      <c r="I328" s="8" t="s">
        <v>7243</v>
      </c>
    </row>
    <row r="329" customFormat="false" ht="15" hidden="false" customHeight="false" outlineLevel="0" collapsed="false">
      <c r="A329" s="8" t="s">
        <v>7950</v>
      </c>
      <c r="B329" s="8" t="s">
        <v>7951</v>
      </c>
      <c r="C329" s="8" t="s">
        <v>5958</v>
      </c>
      <c r="D329" s="8" t="s">
        <v>5046</v>
      </c>
      <c r="E329" s="8"/>
      <c r="F329" s="8" t="s">
        <v>92</v>
      </c>
      <c r="G329" s="8" t="n">
        <v>2</v>
      </c>
      <c r="H329" s="18" t="n">
        <f aca="false">INDEX('All Items'!$Q:$Q,MATCH($A329,'All Items'!$A:$A,0))</f>
        <v>5.85</v>
      </c>
      <c r="I329" s="8" t="s">
        <v>7243</v>
      </c>
    </row>
    <row r="330" customFormat="false" ht="15" hidden="false" customHeight="false" outlineLevel="0" collapsed="false">
      <c r="A330" s="8" t="s">
        <v>7952</v>
      </c>
      <c r="B330" s="8" t="s">
        <v>7953</v>
      </c>
      <c r="C330" s="8" t="s">
        <v>5958</v>
      </c>
      <c r="D330" s="8" t="s">
        <v>5046</v>
      </c>
      <c r="E330" s="8"/>
      <c r="F330" s="8" t="s">
        <v>92</v>
      </c>
      <c r="G330" s="8" t="n">
        <v>2</v>
      </c>
      <c r="H330" s="18" t="n">
        <f aca="false">INDEX('All Items'!$Q:$Q,MATCH($A330,'All Items'!$A:$A,0))</f>
        <v>5.85</v>
      </c>
      <c r="I330" s="8" t="s">
        <v>7243</v>
      </c>
    </row>
    <row r="331" customFormat="false" ht="15" hidden="false" customHeight="false" outlineLevel="0" collapsed="false">
      <c r="A331" s="8" t="s">
        <v>7954</v>
      </c>
      <c r="B331" s="8" t="s">
        <v>7955</v>
      </c>
      <c r="C331" s="8" t="s">
        <v>5958</v>
      </c>
      <c r="D331" s="8" t="s">
        <v>4448</v>
      </c>
      <c r="E331" s="8"/>
      <c r="F331" s="8" t="s">
        <v>92</v>
      </c>
      <c r="G331" s="8" t="n">
        <v>2</v>
      </c>
      <c r="H331" s="18" t="n">
        <f aca="false">INDEX('All Items'!$Q:$Q,MATCH($A331,'All Items'!$A:$A,0))</f>
        <v>5.85</v>
      </c>
      <c r="I331" s="8" t="s">
        <v>7243</v>
      </c>
    </row>
    <row r="332" customFormat="false" ht="15" hidden="false" customHeight="false" outlineLevel="0" collapsed="false">
      <c r="A332" s="8" t="s">
        <v>7956</v>
      </c>
      <c r="B332" s="8" t="s">
        <v>7957</v>
      </c>
      <c r="C332" s="8" t="s">
        <v>5958</v>
      </c>
      <c r="D332" s="8" t="s">
        <v>5046</v>
      </c>
      <c r="E332" s="8"/>
      <c r="F332" s="8" t="s">
        <v>92</v>
      </c>
      <c r="G332" s="8" t="n">
        <v>2</v>
      </c>
      <c r="H332" s="18" t="n">
        <f aca="false">INDEX('All Items'!$Q:$Q,MATCH($A332,'All Items'!$A:$A,0))</f>
        <v>5.85</v>
      </c>
      <c r="I332" s="8" t="s">
        <v>7243</v>
      </c>
    </row>
    <row r="333" customFormat="false" ht="15" hidden="false" customHeight="false" outlineLevel="0" collapsed="false">
      <c r="A333" s="8" t="s">
        <v>7958</v>
      </c>
      <c r="B333" s="8" t="s">
        <v>7959</v>
      </c>
      <c r="C333" s="8" t="s">
        <v>5958</v>
      </c>
      <c r="D333" s="8" t="s">
        <v>7960</v>
      </c>
      <c r="E333" s="8"/>
      <c r="F333" s="8" t="s">
        <v>92</v>
      </c>
      <c r="G333" s="8" t="n">
        <v>2</v>
      </c>
      <c r="H333" s="18" t="n">
        <f aca="false">INDEX('All Items'!$Q:$Q,MATCH($A333,'All Items'!$A:$A,0))</f>
        <v>5.85</v>
      </c>
      <c r="I333" s="8" t="s">
        <v>7243</v>
      </c>
    </row>
    <row r="334" customFormat="false" ht="15" hidden="false" customHeight="false" outlineLevel="0" collapsed="false">
      <c r="A334" s="8" t="s">
        <v>7961</v>
      </c>
      <c r="B334" s="8" t="s">
        <v>7962</v>
      </c>
      <c r="C334" s="8" t="s">
        <v>5958</v>
      </c>
      <c r="D334" s="8" t="s">
        <v>5046</v>
      </c>
      <c r="E334" s="8"/>
      <c r="F334" s="8" t="s">
        <v>92</v>
      </c>
      <c r="G334" s="8" t="n">
        <v>2</v>
      </c>
      <c r="H334" s="18" t="n">
        <f aca="false">INDEX('All Items'!$Q:$Q,MATCH($A334,'All Items'!$A:$A,0))</f>
        <v>5.85</v>
      </c>
      <c r="I334" s="8" t="s">
        <v>7243</v>
      </c>
    </row>
    <row r="335" customFormat="false" ht="15" hidden="false" customHeight="false" outlineLevel="0" collapsed="false">
      <c r="A335" s="8" t="s">
        <v>7963</v>
      </c>
      <c r="B335" s="8" t="s">
        <v>7964</v>
      </c>
      <c r="C335" s="8" t="s">
        <v>5958</v>
      </c>
      <c r="D335" s="8" t="s">
        <v>3828</v>
      </c>
      <c r="E335" s="8"/>
      <c r="F335" s="8" t="s">
        <v>92</v>
      </c>
      <c r="G335" s="8" t="n">
        <v>2</v>
      </c>
      <c r="H335" s="18" t="n">
        <f aca="false">INDEX('All Items'!$Q:$Q,MATCH($A335,'All Items'!$A:$A,0))</f>
        <v>5.85</v>
      </c>
      <c r="I335" s="8" t="s">
        <v>7243</v>
      </c>
    </row>
    <row r="336" customFormat="false" ht="15" hidden="false" customHeight="false" outlineLevel="0" collapsed="false">
      <c r="A336" s="8" t="s">
        <v>7965</v>
      </c>
      <c r="B336" s="8" t="s">
        <v>7966</v>
      </c>
      <c r="C336" s="8" t="s">
        <v>5958</v>
      </c>
      <c r="D336" s="8" t="s">
        <v>5046</v>
      </c>
      <c r="E336" s="8"/>
      <c r="F336" s="8" t="s">
        <v>92</v>
      </c>
      <c r="G336" s="8" t="n">
        <v>2</v>
      </c>
      <c r="H336" s="18" t="n">
        <f aca="false">INDEX('All Items'!$Q:$Q,MATCH($A336,'All Items'!$A:$A,0))</f>
        <v>5.85</v>
      </c>
      <c r="I336" s="8" t="s">
        <v>7243</v>
      </c>
    </row>
    <row r="337" customFormat="false" ht="15" hidden="false" customHeight="false" outlineLevel="0" collapsed="false">
      <c r="A337" s="8" t="s">
        <v>7967</v>
      </c>
      <c r="B337" s="8" t="s">
        <v>7968</v>
      </c>
      <c r="C337" s="8" t="s">
        <v>5958</v>
      </c>
      <c r="D337" s="8" t="s">
        <v>206</v>
      </c>
      <c r="E337" s="8" t="s">
        <v>103</v>
      </c>
      <c r="F337" s="8" t="s">
        <v>92</v>
      </c>
      <c r="G337" s="8" t="n">
        <v>2</v>
      </c>
      <c r="H337" s="18" t="n">
        <f aca="false">INDEX('All Items'!$Q:$Q,MATCH($A337,'All Items'!$A:$A,0))</f>
        <v>5.85</v>
      </c>
      <c r="I337" s="8" t="s">
        <v>7243</v>
      </c>
    </row>
    <row r="338" customFormat="false" ht="15" hidden="false" customHeight="false" outlineLevel="0" collapsed="false">
      <c r="A338" s="8" t="s">
        <v>7969</v>
      </c>
      <c r="B338" s="8" t="s">
        <v>7970</v>
      </c>
      <c r="C338" s="8" t="s">
        <v>5958</v>
      </c>
      <c r="D338" s="8" t="s">
        <v>206</v>
      </c>
      <c r="E338" s="8" t="s">
        <v>103</v>
      </c>
      <c r="F338" s="8" t="s">
        <v>96</v>
      </c>
      <c r="G338" s="8" t="n">
        <v>2</v>
      </c>
      <c r="H338" s="18" t="n">
        <f aca="false">INDEX('All Items'!$Q:$Q,MATCH($A338,'All Items'!$A:$A,0))</f>
        <v>5.85</v>
      </c>
      <c r="I338" s="8" t="s">
        <v>7243</v>
      </c>
    </row>
    <row r="339" customFormat="false" ht="15" hidden="false" customHeight="false" outlineLevel="0" collapsed="false">
      <c r="A339" s="8" t="s">
        <v>7971</v>
      </c>
      <c r="B339" s="8" t="s">
        <v>7972</v>
      </c>
      <c r="C339" s="8" t="s">
        <v>5958</v>
      </c>
      <c r="D339" s="8" t="s">
        <v>5207</v>
      </c>
      <c r="E339" s="8"/>
      <c r="F339" s="8" t="s">
        <v>96</v>
      </c>
      <c r="G339" s="8" t="n">
        <v>2</v>
      </c>
      <c r="H339" s="18" t="n">
        <f aca="false">INDEX('All Items'!$Q:$Q,MATCH($A339,'All Items'!$A:$A,0))</f>
        <v>5.85</v>
      </c>
      <c r="I339" s="8" t="s">
        <v>7243</v>
      </c>
    </row>
    <row r="340" customFormat="false" ht="15" hidden="false" customHeight="false" outlineLevel="0" collapsed="false">
      <c r="A340" s="8" t="s">
        <v>7973</v>
      </c>
      <c r="B340" s="8" t="s">
        <v>7974</v>
      </c>
      <c r="C340" s="8" t="s">
        <v>5958</v>
      </c>
      <c r="D340" s="8" t="s">
        <v>5446</v>
      </c>
      <c r="E340" s="8"/>
      <c r="F340" s="8" t="s">
        <v>96</v>
      </c>
      <c r="G340" s="8" t="n">
        <v>2</v>
      </c>
      <c r="H340" s="18" t="n">
        <f aca="false">INDEX('All Items'!$Q:$Q,MATCH($A340,'All Items'!$A:$A,0))</f>
        <v>5.85</v>
      </c>
      <c r="I340" s="8" t="s">
        <v>7243</v>
      </c>
    </row>
    <row r="341" customFormat="false" ht="15" hidden="false" customHeight="false" outlineLevel="0" collapsed="false">
      <c r="A341" s="8" t="s">
        <v>7975</v>
      </c>
      <c r="B341" s="8" t="s">
        <v>7976</v>
      </c>
      <c r="C341" s="8" t="s">
        <v>5958</v>
      </c>
      <c r="D341" s="8" t="s">
        <v>5817</v>
      </c>
      <c r="E341" s="8"/>
      <c r="F341" s="8" t="s">
        <v>96</v>
      </c>
      <c r="G341" s="8" t="n">
        <v>2</v>
      </c>
      <c r="H341" s="18" t="n">
        <f aca="false">INDEX('All Items'!$Q:$Q,MATCH($A341,'All Items'!$A:$A,0))</f>
        <v>5.85</v>
      </c>
      <c r="I341" s="8" t="s">
        <v>7243</v>
      </c>
    </row>
    <row r="342" customFormat="false" ht="15" hidden="false" customHeight="false" outlineLevel="0" collapsed="false">
      <c r="A342" s="8" t="s">
        <v>7977</v>
      </c>
      <c r="B342" s="8" t="s">
        <v>7978</v>
      </c>
      <c r="C342" s="8" t="s">
        <v>5958</v>
      </c>
      <c r="D342" s="8" t="s">
        <v>5829</v>
      </c>
      <c r="E342" s="8"/>
      <c r="F342" s="8" t="s">
        <v>96</v>
      </c>
      <c r="G342" s="8" t="n">
        <v>2</v>
      </c>
      <c r="H342" s="18" t="n">
        <f aca="false">INDEX('All Items'!$Q:$Q,MATCH($A342,'All Items'!$A:$A,0))</f>
        <v>5.85</v>
      </c>
      <c r="I342" s="8" t="s">
        <v>7243</v>
      </c>
    </row>
    <row r="343" customFormat="false" ht="15" hidden="false" customHeight="false" outlineLevel="0" collapsed="false">
      <c r="A343" s="8" t="s">
        <v>7979</v>
      </c>
      <c r="B343" s="8" t="s">
        <v>7980</v>
      </c>
      <c r="C343" s="8" t="s">
        <v>5958</v>
      </c>
      <c r="D343" s="8" t="s">
        <v>5207</v>
      </c>
      <c r="E343" s="8"/>
      <c r="F343" s="8" t="s">
        <v>94</v>
      </c>
      <c r="G343" s="8" t="n">
        <v>2</v>
      </c>
      <c r="H343" s="18" t="n">
        <f aca="false">INDEX('All Items'!$Q:$Q,MATCH($A343,'All Items'!$A:$A,0))</f>
        <v>5.85</v>
      </c>
      <c r="I343" s="8" t="s">
        <v>7243</v>
      </c>
    </row>
    <row r="344" customFormat="false" ht="15" hidden="false" customHeight="false" outlineLevel="0" collapsed="false">
      <c r="A344" s="8" t="s">
        <v>7981</v>
      </c>
      <c r="B344" s="8" t="s">
        <v>7982</v>
      </c>
      <c r="C344" s="8" t="s">
        <v>5958</v>
      </c>
      <c r="D344" s="8" t="s">
        <v>7404</v>
      </c>
      <c r="E344" s="8"/>
      <c r="F344" s="8" t="s">
        <v>94</v>
      </c>
      <c r="G344" s="8" t="n">
        <v>2</v>
      </c>
      <c r="H344" s="18" t="n">
        <f aca="false">INDEX('All Items'!$Q:$Q,MATCH($A344,'All Items'!$A:$A,0))</f>
        <v>5.85</v>
      </c>
      <c r="I344" s="8" t="s">
        <v>7243</v>
      </c>
    </row>
    <row r="345" customFormat="false" ht="15" hidden="false" customHeight="false" outlineLevel="0" collapsed="false">
      <c r="A345" s="8" t="s">
        <v>7983</v>
      </c>
      <c r="B345" s="8" t="s">
        <v>7984</v>
      </c>
      <c r="C345" s="8" t="s">
        <v>5958</v>
      </c>
      <c r="D345" s="8" t="s">
        <v>3508</v>
      </c>
      <c r="E345" s="8"/>
      <c r="F345" s="8" t="s">
        <v>93</v>
      </c>
      <c r="G345" s="8" t="n">
        <v>2</v>
      </c>
      <c r="H345" s="18" t="n">
        <f aca="false">INDEX('All Items'!$Q:$Q,MATCH($A345,'All Items'!$A:$A,0))</f>
        <v>5.85</v>
      </c>
      <c r="I345" s="8" t="s">
        <v>7243</v>
      </c>
    </row>
    <row r="346" customFormat="false" ht="15" hidden="false" customHeight="false" outlineLevel="0" collapsed="false">
      <c r="A346" s="8" t="s">
        <v>7985</v>
      </c>
      <c r="B346" s="8" t="s">
        <v>7986</v>
      </c>
      <c r="C346" s="8" t="s">
        <v>5958</v>
      </c>
      <c r="D346" s="8" t="s">
        <v>206</v>
      </c>
      <c r="E346" s="8" t="s">
        <v>103</v>
      </c>
      <c r="F346" s="8" t="s">
        <v>93</v>
      </c>
      <c r="G346" s="8" t="n">
        <v>2</v>
      </c>
      <c r="H346" s="18" t="n">
        <f aca="false">INDEX('All Items'!$Q:$Q,MATCH($A346,'All Items'!$A:$A,0))</f>
        <v>5.85</v>
      </c>
      <c r="I346" s="8" t="s">
        <v>7243</v>
      </c>
    </row>
    <row r="347" customFormat="false" ht="15" hidden="false" customHeight="false" outlineLevel="0" collapsed="false">
      <c r="A347" s="8" t="s">
        <v>7987</v>
      </c>
      <c r="B347" s="8" t="s">
        <v>7988</v>
      </c>
      <c r="C347" s="8" t="s">
        <v>5958</v>
      </c>
      <c r="D347" s="8" t="s">
        <v>3435</v>
      </c>
      <c r="E347" s="8"/>
      <c r="F347" s="8" t="s">
        <v>94</v>
      </c>
      <c r="G347" s="8" t="n">
        <v>2</v>
      </c>
      <c r="H347" s="18" t="n">
        <f aca="false">INDEX('All Items'!$Q:$Q,MATCH($A347,'All Items'!$A:$A,0))</f>
        <v>5.85</v>
      </c>
      <c r="I347" s="8" t="s">
        <v>7243</v>
      </c>
    </row>
    <row r="348" customFormat="false" ht="15" hidden="false" customHeight="false" outlineLevel="0" collapsed="false">
      <c r="A348" s="8" t="s">
        <v>7989</v>
      </c>
      <c r="B348" s="8" t="s">
        <v>7990</v>
      </c>
      <c r="C348" s="8" t="s">
        <v>5958</v>
      </c>
      <c r="D348" s="8" t="s">
        <v>4081</v>
      </c>
      <c r="E348" s="8"/>
      <c r="F348" s="8" t="s">
        <v>92</v>
      </c>
      <c r="G348" s="8" t="n">
        <v>2</v>
      </c>
      <c r="H348" s="18" t="n">
        <f aca="false">INDEX('All Items'!$Q:$Q,MATCH($A348,'All Items'!$A:$A,0))</f>
        <v>5.6</v>
      </c>
      <c r="I348" s="8" t="s">
        <v>7243</v>
      </c>
    </row>
    <row r="349" customFormat="false" ht="15" hidden="false" customHeight="false" outlineLevel="0" collapsed="false">
      <c r="A349" s="8" t="s">
        <v>7991</v>
      </c>
      <c r="B349" s="8" t="s">
        <v>7992</v>
      </c>
      <c r="C349" s="8" t="s">
        <v>5958</v>
      </c>
      <c r="D349" s="8" t="s">
        <v>4448</v>
      </c>
      <c r="E349" s="8"/>
      <c r="F349" s="8" t="s">
        <v>92</v>
      </c>
      <c r="G349" s="8" t="n">
        <v>2</v>
      </c>
      <c r="H349" s="18" t="n">
        <f aca="false">INDEX('All Items'!$Q:$Q,MATCH($A349,'All Items'!$A:$A,0))</f>
        <v>5.6</v>
      </c>
      <c r="I349" s="8" t="s">
        <v>7243</v>
      </c>
    </row>
    <row r="350" customFormat="false" ht="15" hidden="false" customHeight="false" outlineLevel="0" collapsed="false">
      <c r="A350" s="8" t="s">
        <v>7993</v>
      </c>
      <c r="B350" s="8" t="s">
        <v>7994</v>
      </c>
      <c r="C350" s="8" t="s">
        <v>5958</v>
      </c>
      <c r="D350" s="8" t="s">
        <v>3828</v>
      </c>
      <c r="E350" s="8"/>
      <c r="F350" s="8" t="s">
        <v>92</v>
      </c>
      <c r="G350" s="8" t="n">
        <v>2</v>
      </c>
      <c r="H350" s="18" t="n">
        <f aca="false">INDEX('All Items'!$Q:$Q,MATCH($A350,'All Items'!$A:$A,0))</f>
        <v>5.6</v>
      </c>
      <c r="I350" s="8" t="s">
        <v>7243</v>
      </c>
    </row>
    <row r="351" customFormat="false" ht="15" hidden="false" customHeight="false" outlineLevel="0" collapsed="false">
      <c r="A351" s="8" t="s">
        <v>7995</v>
      </c>
      <c r="B351" s="8" t="s">
        <v>7996</v>
      </c>
      <c r="C351" s="8" t="s">
        <v>5958</v>
      </c>
      <c r="D351" s="8" t="s">
        <v>5046</v>
      </c>
      <c r="E351" s="8"/>
      <c r="F351" s="8" t="s">
        <v>92</v>
      </c>
      <c r="G351" s="8" t="n">
        <v>2</v>
      </c>
      <c r="H351" s="18" t="n">
        <f aca="false">INDEX('All Items'!$Q:$Q,MATCH($A351,'All Items'!$A:$A,0))</f>
        <v>5.6</v>
      </c>
      <c r="I351" s="8" t="s">
        <v>7243</v>
      </c>
    </row>
    <row r="352" customFormat="false" ht="15" hidden="false" customHeight="false" outlineLevel="0" collapsed="false">
      <c r="A352" s="8" t="s">
        <v>7997</v>
      </c>
      <c r="B352" s="8" t="s">
        <v>7998</v>
      </c>
      <c r="C352" s="8" t="s">
        <v>5958</v>
      </c>
      <c r="D352" s="8" t="s">
        <v>4448</v>
      </c>
      <c r="E352" s="8"/>
      <c r="F352" s="8" t="s">
        <v>92</v>
      </c>
      <c r="G352" s="8" t="n">
        <v>2</v>
      </c>
      <c r="H352" s="18" t="n">
        <f aca="false">INDEX('All Items'!$Q:$Q,MATCH($A352,'All Items'!$A:$A,0))</f>
        <v>5.6</v>
      </c>
      <c r="I352" s="8" t="s">
        <v>7243</v>
      </c>
    </row>
    <row r="353" customFormat="false" ht="15" hidden="false" customHeight="false" outlineLevel="0" collapsed="false">
      <c r="A353" s="8" t="s">
        <v>7999</v>
      </c>
      <c r="B353" s="8" t="s">
        <v>8000</v>
      </c>
      <c r="C353" s="8" t="s">
        <v>5958</v>
      </c>
      <c r="D353" s="8" t="s">
        <v>5046</v>
      </c>
      <c r="E353" s="8"/>
      <c r="F353" s="8" t="s">
        <v>92</v>
      </c>
      <c r="G353" s="8" t="n">
        <v>2</v>
      </c>
      <c r="H353" s="18" t="n">
        <f aca="false">INDEX('All Items'!$Q:$Q,MATCH($A353,'All Items'!$A:$A,0))</f>
        <v>5.6</v>
      </c>
      <c r="I353" s="8" t="s">
        <v>7243</v>
      </c>
    </row>
    <row r="354" customFormat="false" ht="15" hidden="false" customHeight="false" outlineLevel="0" collapsed="false">
      <c r="A354" s="8" t="s">
        <v>8001</v>
      </c>
      <c r="B354" s="8" t="s">
        <v>8002</v>
      </c>
      <c r="C354" s="8" t="s">
        <v>5958</v>
      </c>
      <c r="D354" s="8" t="s">
        <v>4325</v>
      </c>
      <c r="E354" s="8"/>
      <c r="F354" s="8" t="s">
        <v>92</v>
      </c>
      <c r="G354" s="8" t="n">
        <v>2</v>
      </c>
      <c r="H354" s="18" t="n">
        <f aca="false">INDEX('All Items'!$Q:$Q,MATCH($A354,'All Items'!$A:$A,0))</f>
        <v>5.6</v>
      </c>
      <c r="I354" s="8" t="s">
        <v>7243</v>
      </c>
    </row>
    <row r="355" customFormat="false" ht="15" hidden="false" customHeight="false" outlineLevel="0" collapsed="false">
      <c r="A355" s="8" t="s">
        <v>8003</v>
      </c>
      <c r="B355" s="8" t="s">
        <v>8004</v>
      </c>
      <c r="C355" s="8" t="s">
        <v>5958</v>
      </c>
      <c r="D355" s="8" t="s">
        <v>5046</v>
      </c>
      <c r="E355" s="8"/>
      <c r="F355" s="8" t="s">
        <v>92</v>
      </c>
      <c r="G355" s="8" t="n">
        <v>2</v>
      </c>
      <c r="H355" s="18" t="n">
        <f aca="false">INDEX('All Items'!$Q:$Q,MATCH($A355,'All Items'!$A:$A,0))</f>
        <v>5.6</v>
      </c>
      <c r="I355" s="8" t="s">
        <v>7243</v>
      </c>
    </row>
    <row r="356" customFormat="false" ht="15" hidden="false" customHeight="false" outlineLevel="0" collapsed="false">
      <c r="A356" s="8" t="s">
        <v>8005</v>
      </c>
      <c r="B356" s="8" t="s">
        <v>8006</v>
      </c>
      <c r="C356" s="8" t="s">
        <v>5958</v>
      </c>
      <c r="D356" s="8" t="s">
        <v>5046</v>
      </c>
      <c r="E356" s="8"/>
      <c r="F356" s="8" t="s">
        <v>92</v>
      </c>
      <c r="G356" s="8" t="n">
        <v>2</v>
      </c>
      <c r="H356" s="18" t="n">
        <f aca="false">INDEX('All Items'!$Q:$Q,MATCH($A356,'All Items'!$A:$A,0))</f>
        <v>5.6</v>
      </c>
      <c r="I356" s="8" t="s">
        <v>7243</v>
      </c>
    </row>
    <row r="357" customFormat="false" ht="15" hidden="false" customHeight="false" outlineLevel="0" collapsed="false">
      <c r="A357" s="8" t="s">
        <v>8007</v>
      </c>
      <c r="B357" s="8" t="s">
        <v>8008</v>
      </c>
      <c r="C357" s="8" t="s">
        <v>5958</v>
      </c>
      <c r="D357" s="8" t="s">
        <v>5046</v>
      </c>
      <c r="E357" s="8"/>
      <c r="F357" s="8" t="s">
        <v>92</v>
      </c>
      <c r="G357" s="8" t="n">
        <v>2</v>
      </c>
      <c r="H357" s="18" t="n">
        <f aca="false">INDEX('All Items'!$Q:$Q,MATCH($A357,'All Items'!$A:$A,0))</f>
        <v>5.6</v>
      </c>
      <c r="I357" s="8" t="s">
        <v>7243</v>
      </c>
    </row>
    <row r="358" customFormat="false" ht="15" hidden="false" customHeight="false" outlineLevel="0" collapsed="false">
      <c r="A358" s="8" t="s">
        <v>8009</v>
      </c>
      <c r="B358" s="8" t="s">
        <v>8010</v>
      </c>
      <c r="C358" s="8" t="s">
        <v>5958</v>
      </c>
      <c r="D358" s="8" t="s">
        <v>4081</v>
      </c>
      <c r="E358" s="8"/>
      <c r="F358" s="8" t="s">
        <v>95</v>
      </c>
      <c r="G358" s="8" t="n">
        <v>2</v>
      </c>
      <c r="H358" s="18" t="n">
        <f aca="false">INDEX('All Items'!$Q:$Q,MATCH($A358,'All Items'!$A:$A,0))</f>
        <v>5.6</v>
      </c>
      <c r="I358" s="8" t="s">
        <v>7243</v>
      </c>
    </row>
    <row r="359" customFormat="false" ht="15" hidden="false" customHeight="false" outlineLevel="0" collapsed="false">
      <c r="A359" s="8" t="s">
        <v>8011</v>
      </c>
      <c r="B359" s="8" t="s">
        <v>8012</v>
      </c>
      <c r="C359" s="8" t="s">
        <v>5958</v>
      </c>
      <c r="D359" s="8" t="s">
        <v>4081</v>
      </c>
      <c r="E359" s="8"/>
      <c r="F359" s="8" t="s">
        <v>95</v>
      </c>
      <c r="G359" s="8" t="n">
        <v>2</v>
      </c>
      <c r="H359" s="18" t="n">
        <f aca="false">INDEX('All Items'!$Q:$Q,MATCH($A359,'All Items'!$A:$A,0))</f>
        <v>5.6</v>
      </c>
      <c r="I359" s="8" t="s">
        <v>7243</v>
      </c>
    </row>
    <row r="360" customFormat="false" ht="15" hidden="false" customHeight="false" outlineLevel="0" collapsed="false">
      <c r="A360" s="8" t="s">
        <v>8013</v>
      </c>
      <c r="B360" s="8" t="s">
        <v>8014</v>
      </c>
      <c r="C360" s="8" t="s">
        <v>5958</v>
      </c>
      <c r="D360" s="8" t="s">
        <v>3763</v>
      </c>
      <c r="E360" s="8"/>
      <c r="F360" s="8" t="s">
        <v>96</v>
      </c>
      <c r="G360" s="8" t="n">
        <v>2</v>
      </c>
      <c r="H360" s="18" t="n">
        <f aca="false">INDEX('All Items'!$Q:$Q,MATCH($A360,'All Items'!$A:$A,0))</f>
        <v>5.6</v>
      </c>
      <c r="I360" s="8" t="s">
        <v>7243</v>
      </c>
    </row>
    <row r="361" customFormat="false" ht="15" hidden="false" customHeight="false" outlineLevel="0" collapsed="false">
      <c r="A361" s="8" t="s">
        <v>8015</v>
      </c>
      <c r="B361" s="8" t="s">
        <v>8016</v>
      </c>
      <c r="C361" s="8" t="s">
        <v>5958</v>
      </c>
      <c r="D361" s="8" t="s">
        <v>4833</v>
      </c>
      <c r="E361" s="8"/>
      <c r="F361" s="8" t="s">
        <v>96</v>
      </c>
      <c r="G361" s="8" t="n">
        <v>2</v>
      </c>
      <c r="H361" s="18" t="n">
        <f aca="false">INDEX('All Items'!$Q:$Q,MATCH($A361,'All Items'!$A:$A,0))</f>
        <v>5.6</v>
      </c>
      <c r="I361" s="8" t="s">
        <v>7243</v>
      </c>
    </row>
    <row r="362" customFormat="false" ht="15" hidden="false" customHeight="false" outlineLevel="0" collapsed="false">
      <c r="A362" s="8" t="s">
        <v>8017</v>
      </c>
      <c r="B362" s="8" t="s">
        <v>8018</v>
      </c>
      <c r="C362" s="8" t="s">
        <v>5958</v>
      </c>
      <c r="D362" s="8" t="s">
        <v>5747</v>
      </c>
      <c r="E362" s="8"/>
      <c r="F362" s="8" t="s">
        <v>96</v>
      </c>
      <c r="G362" s="8" t="n">
        <v>2</v>
      </c>
      <c r="H362" s="18" t="n">
        <f aca="false">INDEX('All Items'!$Q:$Q,MATCH($A362,'All Items'!$A:$A,0))</f>
        <v>5.6</v>
      </c>
      <c r="I362" s="8" t="s">
        <v>7243</v>
      </c>
    </row>
    <row r="363" customFormat="false" ht="15" hidden="false" customHeight="false" outlineLevel="0" collapsed="false">
      <c r="A363" s="8" t="s">
        <v>8019</v>
      </c>
      <c r="B363" s="8" t="s">
        <v>8020</v>
      </c>
      <c r="C363" s="8" t="s">
        <v>5958</v>
      </c>
      <c r="D363" s="8" t="s">
        <v>7508</v>
      </c>
      <c r="E363" s="8"/>
      <c r="F363" s="8" t="s">
        <v>96</v>
      </c>
      <c r="G363" s="8" t="n">
        <v>2</v>
      </c>
      <c r="H363" s="18" t="n">
        <f aca="false">INDEX('All Items'!$Q:$Q,MATCH($A363,'All Items'!$A:$A,0))</f>
        <v>5.6</v>
      </c>
      <c r="I363" s="8" t="s">
        <v>7243</v>
      </c>
    </row>
    <row r="364" customFormat="false" ht="15" hidden="false" customHeight="false" outlineLevel="0" collapsed="false">
      <c r="A364" s="8" t="s">
        <v>8021</v>
      </c>
      <c r="B364" s="8" t="s">
        <v>8022</v>
      </c>
      <c r="C364" s="8" t="s">
        <v>5958</v>
      </c>
      <c r="D364" s="8" t="s">
        <v>7354</v>
      </c>
      <c r="E364" s="8"/>
      <c r="F364" s="8" t="s">
        <v>97</v>
      </c>
      <c r="G364" s="8" t="n">
        <v>2</v>
      </c>
      <c r="H364" s="18" t="n">
        <f aca="false">INDEX('All Items'!$Q:$Q,MATCH($A364,'All Items'!$A:$A,0))</f>
        <v>5.6</v>
      </c>
      <c r="I364" s="8" t="s">
        <v>7243</v>
      </c>
    </row>
    <row r="365" customFormat="false" ht="15" hidden="false" customHeight="false" outlineLevel="0" collapsed="false">
      <c r="A365" s="8" t="s">
        <v>8023</v>
      </c>
      <c r="B365" s="8" t="s">
        <v>8024</v>
      </c>
      <c r="C365" s="8" t="s">
        <v>5958</v>
      </c>
      <c r="D365" s="8" t="s">
        <v>4613</v>
      </c>
      <c r="E365" s="8"/>
      <c r="F365" s="8" t="s">
        <v>97</v>
      </c>
      <c r="G365" s="8" t="n">
        <v>2</v>
      </c>
      <c r="H365" s="18" t="n">
        <f aca="false">INDEX('All Items'!$Q:$Q,MATCH($A365,'All Items'!$A:$A,0))</f>
        <v>5.6</v>
      </c>
      <c r="I365" s="8" t="s">
        <v>7243</v>
      </c>
    </row>
    <row r="366" customFormat="false" ht="15" hidden="false" customHeight="false" outlineLevel="0" collapsed="false">
      <c r="A366" s="8" t="s">
        <v>8025</v>
      </c>
      <c r="B366" s="8" t="s">
        <v>8026</v>
      </c>
      <c r="C366" s="8" t="s">
        <v>5958</v>
      </c>
      <c r="D366" s="8" t="s">
        <v>4693</v>
      </c>
      <c r="E366" s="8"/>
      <c r="F366" s="8" t="s">
        <v>97</v>
      </c>
      <c r="G366" s="8" t="n">
        <v>2</v>
      </c>
      <c r="H366" s="18" t="n">
        <f aca="false">INDEX('All Items'!$Q:$Q,MATCH($A366,'All Items'!$A:$A,0))</f>
        <v>5.6</v>
      </c>
      <c r="I366" s="8" t="s">
        <v>7243</v>
      </c>
    </row>
    <row r="367" customFormat="false" ht="15" hidden="false" customHeight="false" outlineLevel="0" collapsed="false">
      <c r="A367" s="8" t="s">
        <v>8027</v>
      </c>
      <c r="B367" s="8" t="s">
        <v>8028</v>
      </c>
      <c r="C367" s="8" t="s">
        <v>5958</v>
      </c>
      <c r="D367" s="8" t="s">
        <v>4987</v>
      </c>
      <c r="E367" s="8"/>
      <c r="F367" s="8" t="s">
        <v>94</v>
      </c>
      <c r="G367" s="8" t="n">
        <v>2</v>
      </c>
      <c r="H367" s="18" t="n">
        <f aca="false">INDEX('All Items'!$Q:$Q,MATCH($A367,'All Items'!$A:$A,0))</f>
        <v>5.6</v>
      </c>
      <c r="I367" s="8" t="s">
        <v>7243</v>
      </c>
    </row>
    <row r="368" customFormat="false" ht="15" hidden="false" customHeight="false" outlineLevel="0" collapsed="false">
      <c r="A368" s="8" t="s">
        <v>8029</v>
      </c>
      <c r="B368" s="8" t="s">
        <v>8030</v>
      </c>
      <c r="C368" s="8" t="s">
        <v>5958</v>
      </c>
      <c r="D368" s="8" t="s">
        <v>7583</v>
      </c>
      <c r="E368" s="8"/>
      <c r="F368" s="8" t="s">
        <v>93</v>
      </c>
      <c r="G368" s="8" t="n">
        <v>2</v>
      </c>
      <c r="H368" s="18" t="n">
        <f aca="false">INDEX('All Items'!$Q:$Q,MATCH($A368,'All Items'!$A:$A,0))</f>
        <v>5.6</v>
      </c>
      <c r="I368" s="8" t="s">
        <v>7243</v>
      </c>
    </row>
    <row r="369" customFormat="false" ht="15" hidden="false" customHeight="false" outlineLevel="0" collapsed="false">
      <c r="A369" s="8" t="s">
        <v>8031</v>
      </c>
      <c r="B369" s="8" t="s">
        <v>8032</v>
      </c>
      <c r="C369" s="8" t="s">
        <v>5958</v>
      </c>
      <c r="D369" s="8" t="s">
        <v>3137</v>
      </c>
      <c r="E369" s="8"/>
      <c r="F369" s="8" t="s">
        <v>93</v>
      </c>
      <c r="G369" s="8" t="n">
        <v>2</v>
      </c>
      <c r="H369" s="18" t="n">
        <f aca="false">INDEX('All Items'!$Q:$Q,MATCH($A369,'All Items'!$A:$A,0))</f>
        <v>5.6</v>
      </c>
      <c r="I369" s="8" t="s">
        <v>7243</v>
      </c>
    </row>
    <row r="370" customFormat="false" ht="15" hidden="false" customHeight="false" outlineLevel="0" collapsed="false">
      <c r="A370" s="8" t="s">
        <v>8033</v>
      </c>
      <c r="B370" s="8" t="s">
        <v>8034</v>
      </c>
      <c r="C370" s="8" t="s">
        <v>5958</v>
      </c>
      <c r="D370" s="8" t="s">
        <v>3653</v>
      </c>
      <c r="E370" s="8"/>
      <c r="F370" s="8" t="s">
        <v>93</v>
      </c>
      <c r="G370" s="8" t="n">
        <v>2</v>
      </c>
      <c r="H370" s="18" t="n">
        <f aca="false">INDEX('All Items'!$Q:$Q,MATCH($A370,'All Items'!$A:$A,0))</f>
        <v>5.6</v>
      </c>
      <c r="I370" s="8" t="s">
        <v>7243</v>
      </c>
    </row>
    <row r="371" customFormat="false" ht="15" hidden="false" customHeight="false" outlineLevel="0" collapsed="false">
      <c r="A371" s="8" t="s">
        <v>8035</v>
      </c>
      <c r="B371" s="8" t="s">
        <v>8036</v>
      </c>
      <c r="C371" s="8" t="s">
        <v>5958</v>
      </c>
      <c r="D371" s="8" t="s">
        <v>5446</v>
      </c>
      <c r="E371" s="8"/>
      <c r="F371" s="8" t="s">
        <v>93</v>
      </c>
      <c r="G371" s="8" t="n">
        <v>2</v>
      </c>
      <c r="H371" s="18" t="n">
        <f aca="false">INDEX('All Items'!$Q:$Q,MATCH($A371,'All Items'!$A:$A,0))</f>
        <v>5.6</v>
      </c>
      <c r="I371" s="8" t="s">
        <v>7243</v>
      </c>
    </row>
    <row r="372" customFormat="false" ht="15" hidden="false" customHeight="false" outlineLevel="0" collapsed="false">
      <c r="A372" s="8" t="s">
        <v>8037</v>
      </c>
      <c r="B372" s="8" t="s">
        <v>8038</v>
      </c>
      <c r="C372" s="8" t="s">
        <v>5958</v>
      </c>
      <c r="D372" s="8" t="s">
        <v>7393</v>
      </c>
      <c r="E372" s="8"/>
      <c r="F372" s="8" t="s">
        <v>93</v>
      </c>
      <c r="G372" s="8" t="n">
        <v>2</v>
      </c>
      <c r="H372" s="18" t="n">
        <f aca="false">INDEX('All Items'!$Q:$Q,MATCH($A372,'All Items'!$A:$A,0))</f>
        <v>5.6</v>
      </c>
      <c r="I372" s="8" t="s">
        <v>7243</v>
      </c>
    </row>
    <row r="373" customFormat="false" ht="15" hidden="false" customHeight="false" outlineLevel="0" collapsed="false">
      <c r="A373" s="8" t="s">
        <v>8039</v>
      </c>
      <c r="B373" s="8" t="s">
        <v>8040</v>
      </c>
      <c r="C373" s="8" t="s">
        <v>5958</v>
      </c>
      <c r="D373" s="8" t="s">
        <v>206</v>
      </c>
      <c r="E373" s="8" t="s">
        <v>103</v>
      </c>
      <c r="F373" s="8" t="s">
        <v>99</v>
      </c>
      <c r="G373" s="8" t="n">
        <v>2</v>
      </c>
      <c r="H373" s="18" t="n">
        <f aca="false">INDEX('All Items'!$Q:$Q,MATCH($A373,'All Items'!$A:$A,0))</f>
        <v>5.6</v>
      </c>
      <c r="I373" s="8" t="s">
        <v>7243</v>
      </c>
    </row>
    <row r="374" customFormat="false" ht="15" hidden="false" customHeight="false" outlineLevel="0" collapsed="false">
      <c r="A374" s="8" t="s">
        <v>8041</v>
      </c>
      <c r="B374" s="8" t="s">
        <v>8042</v>
      </c>
      <c r="C374" s="8" t="s">
        <v>5958</v>
      </c>
      <c r="D374" s="8" t="s">
        <v>2532</v>
      </c>
      <c r="E374" s="8" t="s">
        <v>8043</v>
      </c>
      <c r="F374" s="8" t="s">
        <v>94</v>
      </c>
      <c r="G374" s="8" t="n">
        <v>2</v>
      </c>
      <c r="H374" s="18" t="n">
        <f aca="false">INDEX('All Items'!$Q:$Q,MATCH($A374,'All Items'!$A:$A,0))</f>
        <v>5.6</v>
      </c>
      <c r="I374" s="8" t="s">
        <v>7243</v>
      </c>
    </row>
    <row r="375" customFormat="false" ht="15" hidden="false" customHeight="false" outlineLevel="0" collapsed="false">
      <c r="A375" s="8" t="s">
        <v>8044</v>
      </c>
      <c r="B375" s="8" t="s">
        <v>8045</v>
      </c>
      <c r="C375" s="8" t="s">
        <v>5958</v>
      </c>
      <c r="D375" s="8" t="s">
        <v>5478</v>
      </c>
      <c r="E375" s="8"/>
      <c r="F375" s="8" t="s">
        <v>95</v>
      </c>
      <c r="G375" s="8" t="n">
        <v>2</v>
      </c>
      <c r="H375" s="18" t="n">
        <f aca="false">INDEX('All Items'!$Q:$Q,MATCH($A375,'All Items'!$A:$A,0))</f>
        <v>5.35</v>
      </c>
      <c r="I375" s="8" t="s">
        <v>7243</v>
      </c>
    </row>
    <row r="376" customFormat="false" ht="15" hidden="false" customHeight="false" outlineLevel="0" collapsed="false">
      <c r="A376" s="8" t="s">
        <v>8046</v>
      </c>
      <c r="B376" s="8" t="s">
        <v>8047</v>
      </c>
      <c r="C376" s="8" t="s">
        <v>5958</v>
      </c>
      <c r="D376" s="8" t="s">
        <v>4403</v>
      </c>
      <c r="E376" s="8"/>
      <c r="F376" s="8" t="s">
        <v>98</v>
      </c>
      <c r="G376" s="8" t="n">
        <v>2</v>
      </c>
      <c r="H376" s="18" t="n">
        <f aca="false">INDEX('All Items'!$Q:$Q,MATCH($A376,'All Items'!$A:$A,0))</f>
        <v>5.35</v>
      </c>
      <c r="I376" s="8" t="s">
        <v>7243</v>
      </c>
    </row>
    <row r="377" customFormat="false" ht="15" hidden="false" customHeight="false" outlineLevel="0" collapsed="false">
      <c r="A377" s="8" t="s">
        <v>8048</v>
      </c>
      <c r="B377" s="8" t="s">
        <v>8049</v>
      </c>
      <c r="C377" s="8" t="s">
        <v>5958</v>
      </c>
      <c r="D377" s="8" t="s">
        <v>4923</v>
      </c>
      <c r="E377" s="8"/>
      <c r="F377" s="8" t="s">
        <v>98</v>
      </c>
      <c r="G377" s="8" t="n">
        <v>2</v>
      </c>
      <c r="H377" s="18" t="n">
        <f aca="false">INDEX('All Items'!$Q:$Q,MATCH($A377,'All Items'!$A:$A,0))</f>
        <v>5.35</v>
      </c>
      <c r="I377" s="8" t="s">
        <v>7243</v>
      </c>
    </row>
    <row r="378" customFormat="false" ht="15" hidden="false" customHeight="false" outlineLevel="0" collapsed="false">
      <c r="A378" s="8" t="s">
        <v>8050</v>
      </c>
      <c r="B378" s="8" t="s">
        <v>8051</v>
      </c>
      <c r="C378" s="8" t="s">
        <v>5958</v>
      </c>
      <c r="D378" s="8" t="s">
        <v>4768</v>
      </c>
      <c r="E378" s="8"/>
      <c r="F378" s="8" t="s">
        <v>98</v>
      </c>
      <c r="G378" s="8" t="n">
        <v>2</v>
      </c>
      <c r="H378" s="18" t="n">
        <f aca="false">INDEX('All Items'!$Q:$Q,MATCH($A378,'All Items'!$A:$A,0))</f>
        <v>5.35</v>
      </c>
      <c r="I378" s="8" t="s">
        <v>7243</v>
      </c>
    </row>
    <row r="379" customFormat="false" ht="15" hidden="false" customHeight="false" outlineLevel="0" collapsed="false">
      <c r="A379" s="8" t="s">
        <v>8052</v>
      </c>
      <c r="B379" s="8" t="s">
        <v>8053</v>
      </c>
      <c r="C379" s="8" t="s">
        <v>5958</v>
      </c>
      <c r="D379" s="8" t="s">
        <v>7721</v>
      </c>
      <c r="E379" s="8"/>
      <c r="F379" s="8" t="s">
        <v>95</v>
      </c>
      <c r="G379" s="8" t="n">
        <v>2</v>
      </c>
      <c r="H379" s="18" t="n">
        <f aca="false">INDEX('All Items'!$Q:$Q,MATCH($A379,'All Items'!$A:$A,0))</f>
        <v>5.35</v>
      </c>
      <c r="I379" s="8" t="s">
        <v>7243</v>
      </c>
    </row>
    <row r="380" customFormat="false" ht="15" hidden="false" customHeight="false" outlineLevel="0" collapsed="false">
      <c r="A380" s="8" t="s">
        <v>8054</v>
      </c>
      <c r="B380" s="8" t="s">
        <v>8055</v>
      </c>
      <c r="C380" s="8" t="s">
        <v>5958</v>
      </c>
      <c r="D380" s="8" t="s">
        <v>4768</v>
      </c>
      <c r="E380" s="8"/>
      <c r="F380" s="8" t="s">
        <v>95</v>
      </c>
      <c r="G380" s="8" t="n">
        <v>2</v>
      </c>
      <c r="H380" s="18" t="n">
        <f aca="false">INDEX('All Items'!$Q:$Q,MATCH($A380,'All Items'!$A:$A,0))</f>
        <v>5.35</v>
      </c>
      <c r="I380" s="8" t="s">
        <v>7243</v>
      </c>
    </row>
    <row r="381" customFormat="false" ht="15" hidden="false" customHeight="false" outlineLevel="0" collapsed="false">
      <c r="A381" s="8" t="s">
        <v>8056</v>
      </c>
      <c r="B381" s="8" t="s">
        <v>8057</v>
      </c>
      <c r="C381" s="8" t="s">
        <v>5958</v>
      </c>
      <c r="D381" s="8" t="s">
        <v>7354</v>
      </c>
      <c r="E381" s="8"/>
      <c r="F381" s="8" t="s">
        <v>95</v>
      </c>
      <c r="G381" s="8" t="n">
        <v>2</v>
      </c>
      <c r="H381" s="18" t="n">
        <f aca="false">INDEX('All Items'!$Q:$Q,MATCH($A381,'All Items'!$A:$A,0))</f>
        <v>5.35</v>
      </c>
      <c r="I381" s="8" t="s">
        <v>7243</v>
      </c>
    </row>
    <row r="382" customFormat="false" ht="15" hidden="false" customHeight="false" outlineLevel="0" collapsed="false">
      <c r="A382" s="8" t="s">
        <v>8058</v>
      </c>
      <c r="B382" s="8" t="s">
        <v>8059</v>
      </c>
      <c r="C382" s="8" t="s">
        <v>5958</v>
      </c>
      <c r="D382" s="8" t="s">
        <v>4901</v>
      </c>
      <c r="E382" s="8"/>
      <c r="F382" s="8" t="s">
        <v>95</v>
      </c>
      <c r="G382" s="8" t="n">
        <v>2</v>
      </c>
      <c r="H382" s="18" t="n">
        <f aca="false">INDEX('All Items'!$Q:$Q,MATCH($A382,'All Items'!$A:$A,0))</f>
        <v>5.35</v>
      </c>
      <c r="I382" s="8" t="s">
        <v>7243</v>
      </c>
    </row>
    <row r="383" customFormat="false" ht="15" hidden="false" customHeight="false" outlineLevel="0" collapsed="false">
      <c r="A383" s="8" t="s">
        <v>8060</v>
      </c>
      <c r="B383" s="8" t="s">
        <v>8061</v>
      </c>
      <c r="C383" s="8" t="s">
        <v>5958</v>
      </c>
      <c r="D383" s="8" t="s">
        <v>206</v>
      </c>
      <c r="E383" s="8" t="s">
        <v>103</v>
      </c>
      <c r="F383" s="8" t="s">
        <v>95</v>
      </c>
      <c r="G383" s="8" t="n">
        <v>2</v>
      </c>
      <c r="H383" s="18" t="n">
        <f aca="false">INDEX('All Items'!$Q:$Q,MATCH($A383,'All Items'!$A:$A,0))</f>
        <v>5.35</v>
      </c>
      <c r="I383" s="8" t="s">
        <v>7243</v>
      </c>
    </row>
    <row r="384" customFormat="false" ht="15" hidden="false" customHeight="false" outlineLevel="0" collapsed="false">
      <c r="A384" s="8" t="s">
        <v>8062</v>
      </c>
      <c r="B384" s="8" t="s">
        <v>8063</v>
      </c>
      <c r="C384" s="8" t="s">
        <v>5958</v>
      </c>
      <c r="D384" s="8" t="s">
        <v>6579</v>
      </c>
      <c r="E384" s="8"/>
      <c r="F384" s="8" t="s">
        <v>96</v>
      </c>
      <c r="G384" s="8" t="n">
        <v>2</v>
      </c>
      <c r="H384" s="18" t="n">
        <f aca="false">INDEX('All Items'!$Q:$Q,MATCH($A384,'All Items'!$A:$A,0))</f>
        <v>5.35</v>
      </c>
      <c r="I384" s="8" t="s">
        <v>7243</v>
      </c>
    </row>
    <row r="385" customFormat="false" ht="15" hidden="false" customHeight="false" outlineLevel="0" collapsed="false">
      <c r="A385" s="8" t="s">
        <v>8064</v>
      </c>
      <c r="B385" s="8" t="s">
        <v>8065</v>
      </c>
      <c r="C385" s="8" t="s">
        <v>5958</v>
      </c>
      <c r="D385" s="8" t="s">
        <v>4693</v>
      </c>
      <c r="E385" s="8"/>
      <c r="F385" s="8" t="s">
        <v>97</v>
      </c>
      <c r="G385" s="8" t="n">
        <v>2</v>
      </c>
      <c r="H385" s="18" t="n">
        <f aca="false">INDEX('All Items'!$Q:$Q,MATCH($A385,'All Items'!$A:$A,0))</f>
        <v>5.35</v>
      </c>
      <c r="I385" s="8" t="s">
        <v>7243</v>
      </c>
    </row>
    <row r="386" customFormat="false" ht="15" hidden="false" customHeight="false" outlineLevel="0" collapsed="false">
      <c r="A386" s="8" t="s">
        <v>8066</v>
      </c>
      <c r="B386" s="8" t="s">
        <v>8067</v>
      </c>
      <c r="C386" s="8" t="s">
        <v>5958</v>
      </c>
      <c r="D386" s="8" t="s">
        <v>2532</v>
      </c>
      <c r="E386" s="8"/>
      <c r="F386" s="8" t="s">
        <v>94</v>
      </c>
      <c r="G386" s="8" t="n">
        <v>2</v>
      </c>
      <c r="H386" s="18" t="n">
        <f aca="false">INDEX('All Items'!$Q:$Q,MATCH($A386,'All Items'!$A:$A,0))</f>
        <v>5.35</v>
      </c>
      <c r="I386" s="8" t="s">
        <v>7243</v>
      </c>
    </row>
    <row r="387" customFormat="false" ht="15" hidden="false" customHeight="false" outlineLevel="0" collapsed="false">
      <c r="A387" s="8" t="s">
        <v>8068</v>
      </c>
      <c r="B387" s="8" t="s">
        <v>8069</v>
      </c>
      <c r="C387" s="8" t="s">
        <v>5958</v>
      </c>
      <c r="D387" s="8" t="s">
        <v>4448</v>
      </c>
      <c r="E387" s="8"/>
      <c r="F387" s="8" t="s">
        <v>93</v>
      </c>
      <c r="G387" s="8" t="n">
        <v>2</v>
      </c>
      <c r="H387" s="18" t="n">
        <f aca="false">INDEX('All Items'!$Q:$Q,MATCH($A387,'All Items'!$A:$A,0))</f>
        <v>5.35</v>
      </c>
      <c r="I387" s="8" t="s">
        <v>7243</v>
      </c>
    </row>
    <row r="388" customFormat="false" ht="15" hidden="false" customHeight="false" outlineLevel="0" collapsed="false">
      <c r="A388" s="8" t="s">
        <v>8070</v>
      </c>
      <c r="B388" s="8" t="s">
        <v>8071</v>
      </c>
      <c r="C388" s="8" t="s">
        <v>5958</v>
      </c>
      <c r="D388" s="8" t="s">
        <v>3653</v>
      </c>
      <c r="E388" s="8"/>
      <c r="F388" s="8" t="s">
        <v>93</v>
      </c>
      <c r="G388" s="8" t="n">
        <v>2</v>
      </c>
      <c r="H388" s="18" t="n">
        <f aca="false">INDEX('All Items'!$Q:$Q,MATCH($A388,'All Items'!$A:$A,0))</f>
        <v>5.35</v>
      </c>
      <c r="I388" s="8" t="s">
        <v>7243</v>
      </c>
    </row>
    <row r="389" customFormat="false" ht="15" hidden="false" customHeight="false" outlineLevel="0" collapsed="false">
      <c r="A389" s="8" t="s">
        <v>8072</v>
      </c>
      <c r="B389" s="8" t="s">
        <v>8073</v>
      </c>
      <c r="C389" s="8" t="s">
        <v>5958</v>
      </c>
      <c r="D389" s="8" t="s">
        <v>5621</v>
      </c>
      <c r="E389" s="8"/>
      <c r="F389" s="8" t="s">
        <v>93</v>
      </c>
      <c r="G389" s="8" t="n">
        <v>2</v>
      </c>
      <c r="H389" s="18" t="n">
        <f aca="false">INDEX('All Items'!$Q:$Q,MATCH($A389,'All Items'!$A:$A,0))</f>
        <v>5.35</v>
      </c>
      <c r="I389" s="8" t="s">
        <v>7243</v>
      </c>
    </row>
    <row r="390" customFormat="false" ht="15" hidden="false" customHeight="false" outlineLevel="0" collapsed="false">
      <c r="A390" s="8" t="s">
        <v>8074</v>
      </c>
      <c r="B390" s="8" t="s">
        <v>8075</v>
      </c>
      <c r="C390" s="8" t="s">
        <v>5958</v>
      </c>
      <c r="D390" s="8" t="s">
        <v>8076</v>
      </c>
      <c r="E390" s="8"/>
      <c r="F390" s="8" t="s">
        <v>93</v>
      </c>
      <c r="G390" s="8" t="n">
        <v>2</v>
      </c>
      <c r="H390" s="18" t="n">
        <f aca="false">INDEX('All Items'!$Q:$Q,MATCH($A390,'All Items'!$A:$A,0))</f>
        <v>5.35</v>
      </c>
      <c r="I390" s="8" t="s">
        <v>7243</v>
      </c>
    </row>
    <row r="391" customFormat="false" ht="15" hidden="false" customHeight="false" outlineLevel="0" collapsed="false">
      <c r="A391" s="8" t="s">
        <v>8077</v>
      </c>
      <c r="B391" s="8" t="s">
        <v>8078</v>
      </c>
      <c r="C391" s="8" t="s">
        <v>5958</v>
      </c>
      <c r="D391" s="8" t="s">
        <v>206</v>
      </c>
      <c r="E391" s="8" t="s">
        <v>103</v>
      </c>
      <c r="F391" s="8" t="s">
        <v>93</v>
      </c>
      <c r="G391" s="8" t="n">
        <v>2</v>
      </c>
      <c r="H391" s="18" t="n">
        <f aca="false">INDEX('All Items'!$Q:$Q,MATCH($A391,'All Items'!$A:$A,0))</f>
        <v>5.35</v>
      </c>
      <c r="I391" s="8" t="s">
        <v>7243</v>
      </c>
    </row>
    <row r="392" customFormat="false" ht="15" hidden="false" customHeight="false" outlineLevel="0" collapsed="false">
      <c r="A392" s="8" t="s">
        <v>8079</v>
      </c>
      <c r="B392" s="8" t="s">
        <v>8080</v>
      </c>
      <c r="C392" s="8" t="s">
        <v>5958</v>
      </c>
      <c r="D392" s="8" t="s">
        <v>5609</v>
      </c>
      <c r="E392" s="8"/>
      <c r="F392" s="8" t="s">
        <v>95</v>
      </c>
      <c r="G392" s="8" t="n">
        <v>2</v>
      </c>
      <c r="H392" s="18" t="n">
        <f aca="false">INDEX('All Items'!$Q:$Q,MATCH($A392,'All Items'!$A:$A,0))</f>
        <v>5.1</v>
      </c>
      <c r="I392" s="8" t="s">
        <v>7243</v>
      </c>
    </row>
    <row r="393" customFormat="false" ht="15" hidden="false" customHeight="false" outlineLevel="0" collapsed="false">
      <c r="A393" s="8" t="s">
        <v>8081</v>
      </c>
      <c r="B393" s="8" t="s">
        <v>8082</v>
      </c>
      <c r="C393" s="8" t="s">
        <v>5958</v>
      </c>
      <c r="D393" s="8" t="s">
        <v>2859</v>
      </c>
      <c r="E393" s="8"/>
      <c r="F393" s="8" t="s">
        <v>94</v>
      </c>
      <c r="G393" s="8" t="n">
        <v>2</v>
      </c>
      <c r="H393" s="18" t="n">
        <f aca="false">INDEX('All Items'!$Q:$Q,MATCH($A393,'All Items'!$A:$A,0))</f>
        <v>5.1</v>
      </c>
      <c r="I393" s="8" t="s">
        <v>7243</v>
      </c>
    </row>
    <row r="394" customFormat="false" ht="15" hidden="false" customHeight="false" outlineLevel="0" collapsed="false">
      <c r="A394" s="8" t="s">
        <v>8083</v>
      </c>
      <c r="B394" s="8" t="s">
        <v>8084</v>
      </c>
      <c r="C394" s="8" t="s">
        <v>5958</v>
      </c>
      <c r="D394" s="8" t="s">
        <v>2859</v>
      </c>
      <c r="E394" s="8"/>
      <c r="F394" s="8" t="s">
        <v>94</v>
      </c>
      <c r="G394" s="8" t="n">
        <v>2</v>
      </c>
      <c r="H394" s="18" t="n">
        <f aca="false">INDEX('All Items'!$Q:$Q,MATCH($A394,'All Items'!$A:$A,0))</f>
        <v>5.1</v>
      </c>
      <c r="I394" s="8" t="s">
        <v>7243</v>
      </c>
    </row>
    <row r="395" customFormat="false" ht="15" hidden="false" customHeight="false" outlineLevel="0" collapsed="false">
      <c r="A395" s="8" t="s">
        <v>8085</v>
      </c>
      <c r="B395" s="8" t="s">
        <v>8086</v>
      </c>
      <c r="C395" s="8" t="s">
        <v>5958</v>
      </c>
      <c r="D395" s="8" t="s">
        <v>3309</v>
      </c>
      <c r="E395" s="8"/>
      <c r="F395" s="8" t="s">
        <v>93</v>
      </c>
      <c r="G395" s="8" t="n">
        <v>2</v>
      </c>
      <c r="H395" s="18" t="n">
        <f aca="false">INDEX('All Items'!$Q:$Q,MATCH($A395,'All Items'!$A:$A,0))</f>
        <v>5.1</v>
      </c>
      <c r="I395" s="8" t="s">
        <v>7243</v>
      </c>
    </row>
    <row r="396" customFormat="false" ht="15" hidden="false" customHeight="false" outlineLevel="0" collapsed="false">
      <c r="A396" s="8" t="s">
        <v>8087</v>
      </c>
      <c r="B396" s="8" t="s">
        <v>8088</v>
      </c>
      <c r="C396" s="8" t="s">
        <v>5958</v>
      </c>
      <c r="D396" s="8" t="s">
        <v>5985</v>
      </c>
      <c r="E396" s="8"/>
      <c r="F396" s="8" t="s">
        <v>99</v>
      </c>
      <c r="G396" s="8" t="n">
        <v>3</v>
      </c>
      <c r="H396" s="18" t="n">
        <f aca="false">INDEX('All Items'!$Q:$Q,MATCH($A396,'All Items'!$A:$A,0))</f>
        <v>4.9</v>
      </c>
      <c r="I396" s="8" t="s">
        <v>8089</v>
      </c>
    </row>
    <row r="397" customFormat="false" ht="15" hidden="false" customHeight="false" outlineLevel="0" collapsed="false">
      <c r="A397" s="8" t="s">
        <v>8090</v>
      </c>
      <c r="B397" s="8" t="s">
        <v>8091</v>
      </c>
      <c r="C397" s="8" t="s">
        <v>5958</v>
      </c>
      <c r="D397" s="8" t="s">
        <v>5207</v>
      </c>
      <c r="E397" s="8"/>
      <c r="F397" s="8" t="s">
        <v>93</v>
      </c>
      <c r="G397" s="8" t="n">
        <v>3</v>
      </c>
      <c r="H397" s="18" t="n">
        <f aca="false">INDEX('All Items'!$Q:$Q,MATCH($A397,'All Items'!$A:$A,0))</f>
        <v>4.65</v>
      </c>
      <c r="I397" s="8" t="s">
        <v>8092</v>
      </c>
    </row>
    <row r="398" customFormat="false" ht="15" hidden="false" customHeight="false" outlineLevel="0" collapsed="false">
      <c r="A398" s="8" t="s">
        <v>8093</v>
      </c>
      <c r="B398" s="8" t="s">
        <v>8094</v>
      </c>
      <c r="C398" s="8" t="s">
        <v>5958</v>
      </c>
      <c r="D398" s="8" t="s">
        <v>5046</v>
      </c>
      <c r="E398" s="8"/>
      <c r="F398" s="8" t="s">
        <v>92</v>
      </c>
      <c r="G398" s="8" t="n">
        <v>2</v>
      </c>
      <c r="H398" s="18" t="n">
        <f aca="false">INDEX('All Items'!$Q:$Q,MATCH($A398,'All Items'!$A:$A,0))</f>
        <v>3.85</v>
      </c>
      <c r="I398" s="8" t="s">
        <v>8095</v>
      </c>
    </row>
    <row r="399" customFormat="false" ht="15" hidden="false" customHeight="false" outlineLevel="0" collapsed="false">
      <c r="A399" s="8" t="s">
        <v>8096</v>
      </c>
      <c r="B399" s="8" t="s">
        <v>8097</v>
      </c>
      <c r="C399" s="8" t="s">
        <v>5958</v>
      </c>
      <c r="D399" s="8" t="s">
        <v>5425</v>
      </c>
      <c r="E399" s="8"/>
      <c r="F399" s="8" t="s">
        <v>92</v>
      </c>
      <c r="G399" s="8" t="n">
        <v>2</v>
      </c>
      <c r="H399" s="18" t="n">
        <f aca="false">INDEX('All Items'!$Q:$Q,MATCH($A399,'All Items'!$A:$A,0))</f>
        <v>3.85</v>
      </c>
      <c r="I399" s="8" t="s">
        <v>8098</v>
      </c>
    </row>
    <row r="400" customFormat="false" ht="15" hidden="false" customHeight="false" outlineLevel="0" collapsed="false">
      <c r="A400" s="8" t="s">
        <v>8099</v>
      </c>
      <c r="B400" s="8" t="s">
        <v>8100</v>
      </c>
      <c r="C400" s="8" t="s">
        <v>5958</v>
      </c>
      <c r="D400" s="8" t="s">
        <v>3828</v>
      </c>
      <c r="E400" s="8"/>
      <c r="F400" s="8" t="s">
        <v>92</v>
      </c>
      <c r="G400" s="8" t="n">
        <v>2</v>
      </c>
      <c r="H400" s="18" t="n">
        <f aca="false">INDEX('All Items'!$Q:$Q,MATCH($A400,'All Items'!$A:$A,0))</f>
        <v>3.85</v>
      </c>
      <c r="I400" s="8" t="s">
        <v>8101</v>
      </c>
    </row>
    <row r="401" customFormat="false" ht="15" hidden="false" customHeight="false" outlineLevel="0" collapsed="false">
      <c r="A401" s="8" t="s">
        <v>8102</v>
      </c>
      <c r="B401" s="8" t="s">
        <v>8103</v>
      </c>
      <c r="C401" s="8" t="s">
        <v>5958</v>
      </c>
      <c r="D401" s="8" t="s">
        <v>206</v>
      </c>
      <c r="E401" s="8" t="s">
        <v>103</v>
      </c>
      <c r="F401" s="8" t="s">
        <v>93</v>
      </c>
      <c r="G401" s="8" t="n">
        <v>2</v>
      </c>
      <c r="H401" s="18" t="n">
        <f aca="false">INDEX('All Items'!$Q:$Q,MATCH($A401,'All Items'!$A:$A,0))</f>
        <v>3.85</v>
      </c>
      <c r="I401" s="8" t="s">
        <v>8104</v>
      </c>
    </row>
    <row r="402" customFormat="false" ht="15" hidden="false" customHeight="false" outlineLevel="0" collapsed="false">
      <c r="A402" s="8" t="s">
        <v>8105</v>
      </c>
      <c r="B402" s="8" t="s">
        <v>8106</v>
      </c>
      <c r="C402" s="8" t="s">
        <v>5958</v>
      </c>
      <c r="D402" s="8" t="s">
        <v>5046</v>
      </c>
      <c r="E402" s="8"/>
      <c r="F402" s="8" t="s">
        <v>99</v>
      </c>
      <c r="G402" s="8" t="n">
        <v>2</v>
      </c>
      <c r="H402" s="18" t="n">
        <f aca="false">INDEX('All Items'!$Q:$Q,MATCH($A402,'All Items'!$A:$A,0))</f>
        <v>3.85</v>
      </c>
      <c r="I402" s="8" t="s">
        <v>8107</v>
      </c>
    </row>
    <row r="403" customFormat="false" ht="15" hidden="false" customHeight="false" outlineLevel="0" collapsed="false">
      <c r="A403" s="8" t="s">
        <v>8108</v>
      </c>
      <c r="B403" s="8" t="s">
        <v>8109</v>
      </c>
      <c r="C403" s="8" t="s">
        <v>5958</v>
      </c>
      <c r="D403" s="8" t="s">
        <v>4693</v>
      </c>
      <c r="E403" s="8"/>
      <c r="F403" s="8" t="s">
        <v>92</v>
      </c>
      <c r="G403" s="8" t="n">
        <v>2</v>
      </c>
      <c r="H403" s="18" t="n">
        <f aca="false">INDEX('All Items'!$Q:$Q,MATCH($A403,'All Items'!$A:$A,0))</f>
        <v>3.6</v>
      </c>
      <c r="I403" s="8" t="s">
        <v>8110</v>
      </c>
    </row>
    <row r="404" customFormat="false" ht="15" hidden="false" customHeight="false" outlineLevel="0" collapsed="false">
      <c r="A404" s="8" t="s">
        <v>8111</v>
      </c>
      <c r="B404" s="8" t="s">
        <v>8112</v>
      </c>
      <c r="C404" s="8" t="s">
        <v>5958</v>
      </c>
      <c r="D404" s="8" t="s">
        <v>5405</v>
      </c>
      <c r="E404" s="8"/>
      <c r="F404" s="8" t="s">
        <v>93</v>
      </c>
      <c r="G404" s="8" t="n">
        <v>2</v>
      </c>
      <c r="H404" s="18" t="n">
        <f aca="false">INDEX('All Items'!$Q:$Q,MATCH($A404,'All Items'!$A:$A,0))</f>
        <v>3.6</v>
      </c>
      <c r="I404" s="8" t="s">
        <v>8113</v>
      </c>
    </row>
    <row r="405" customFormat="false" ht="15" hidden="false" customHeight="false" outlineLevel="0" collapsed="false">
      <c r="A405" s="8" t="s">
        <v>8114</v>
      </c>
      <c r="B405" s="8" t="s">
        <v>8115</v>
      </c>
      <c r="C405" s="8" t="s">
        <v>5958</v>
      </c>
      <c r="D405" s="8" t="s">
        <v>5829</v>
      </c>
      <c r="E405" s="8"/>
      <c r="F405" s="8" t="s">
        <v>93</v>
      </c>
      <c r="G405" s="8" t="n">
        <v>2</v>
      </c>
      <c r="H405" s="18" t="n">
        <f aca="false">INDEX('All Items'!$Q:$Q,MATCH($A405,'All Items'!$A:$A,0))</f>
        <v>3.6</v>
      </c>
      <c r="I405" s="8" t="s">
        <v>8116</v>
      </c>
    </row>
    <row r="406" customFormat="false" ht="15" hidden="false" customHeight="false" outlineLevel="0" collapsed="false">
      <c r="A406" s="8" t="s">
        <v>8117</v>
      </c>
      <c r="B406" s="8" t="s">
        <v>8118</v>
      </c>
      <c r="C406" s="8" t="s">
        <v>5958</v>
      </c>
      <c r="D406" s="8" t="s">
        <v>206</v>
      </c>
      <c r="E406" s="8" t="s">
        <v>103</v>
      </c>
      <c r="F406" s="8" t="s">
        <v>99</v>
      </c>
      <c r="G406" s="8" t="n">
        <v>2</v>
      </c>
      <c r="H406" s="18" t="n">
        <f aca="false">INDEX('All Items'!$Q:$Q,MATCH($A406,'All Items'!$A:$A,0))</f>
        <v>3.6</v>
      </c>
      <c r="I406" s="8" t="s">
        <v>8119</v>
      </c>
    </row>
    <row r="407" customFormat="false" ht="15" hidden="false" customHeight="false" outlineLevel="0" collapsed="false">
      <c r="A407" s="8" t="s">
        <v>8120</v>
      </c>
      <c r="B407" s="8" t="s">
        <v>8121</v>
      </c>
      <c r="C407" s="8" t="s">
        <v>5958</v>
      </c>
      <c r="D407" s="8" t="s">
        <v>206</v>
      </c>
      <c r="E407" s="8" t="s">
        <v>103</v>
      </c>
      <c r="F407" s="8" t="s">
        <v>94</v>
      </c>
      <c r="G407" s="8" t="n">
        <v>2</v>
      </c>
      <c r="H407" s="18" t="n">
        <f aca="false">INDEX('All Items'!$Q:$Q,MATCH($A407,'All Items'!$A:$A,0))</f>
        <v>3.6</v>
      </c>
      <c r="I407" s="8" t="s">
        <v>8122</v>
      </c>
    </row>
    <row r="408" customFormat="false" ht="15" hidden="false" customHeight="false" outlineLevel="0" collapsed="false">
      <c r="A408" s="8" t="s">
        <v>8123</v>
      </c>
      <c r="B408" s="8" t="s">
        <v>8124</v>
      </c>
      <c r="C408" s="8" t="s">
        <v>5958</v>
      </c>
      <c r="D408" s="8" t="s">
        <v>5478</v>
      </c>
      <c r="E408" s="8"/>
      <c r="F408" s="8" t="s">
        <v>92</v>
      </c>
      <c r="G408" s="8" t="n">
        <v>2</v>
      </c>
      <c r="H408" s="18" t="n">
        <f aca="false">INDEX('All Items'!$Q:$Q,MATCH($A408,'All Items'!$A:$A,0))</f>
        <v>3.35</v>
      </c>
      <c r="I408" s="8" t="s">
        <v>8125</v>
      </c>
    </row>
    <row r="409" customFormat="false" ht="15" hidden="false" customHeight="false" outlineLevel="0" collapsed="false">
      <c r="A409" s="8" t="s">
        <v>8126</v>
      </c>
      <c r="B409" s="8" t="s">
        <v>8127</v>
      </c>
      <c r="C409" s="8" t="s">
        <v>5958</v>
      </c>
      <c r="D409" s="8" t="s">
        <v>5862</v>
      </c>
      <c r="E409" s="8"/>
      <c r="F409" s="8" t="s">
        <v>93</v>
      </c>
      <c r="G409" s="8" t="n">
        <v>2</v>
      </c>
      <c r="H409" s="18" t="n">
        <f aca="false">INDEX('All Items'!$Q:$Q,MATCH($A409,'All Items'!$A:$A,0))</f>
        <v>3.35</v>
      </c>
      <c r="I409" s="8" t="s">
        <v>8128</v>
      </c>
    </row>
    <row r="410" customFormat="false" ht="15" hidden="false" customHeight="false" outlineLevel="0" collapsed="false">
      <c r="A410" s="8" t="s">
        <v>8129</v>
      </c>
      <c r="B410" s="8" t="s">
        <v>8130</v>
      </c>
      <c r="C410" s="8" t="s">
        <v>5958</v>
      </c>
      <c r="D410" s="8" t="s">
        <v>5852</v>
      </c>
      <c r="E410" s="8"/>
      <c r="F410" s="8" t="s">
        <v>93</v>
      </c>
      <c r="G410" s="8" t="n">
        <v>2</v>
      </c>
      <c r="H410" s="18" t="n">
        <f aca="false">INDEX('All Items'!$Q:$Q,MATCH($A410,'All Items'!$A:$A,0))</f>
        <v>3.35</v>
      </c>
      <c r="I410" s="8" t="s">
        <v>8131</v>
      </c>
    </row>
    <row r="411" customFormat="false" ht="15" hidden="false" customHeight="false" outlineLevel="0" collapsed="false">
      <c r="A411" s="8" t="s">
        <v>8132</v>
      </c>
      <c r="B411" s="8" t="s">
        <v>8133</v>
      </c>
      <c r="C411" s="8" t="s">
        <v>5958</v>
      </c>
      <c r="D411" s="8" t="s">
        <v>206</v>
      </c>
      <c r="E411" s="8" t="s">
        <v>103</v>
      </c>
      <c r="F411" s="8" t="s">
        <v>93</v>
      </c>
      <c r="G411" s="8" t="n">
        <v>2</v>
      </c>
      <c r="H411" s="18" t="n">
        <f aca="false">INDEX('All Items'!$Q:$Q,MATCH($A411,'All Items'!$A:$A,0))</f>
        <v>3.35</v>
      </c>
      <c r="I411" s="8" t="s">
        <v>8134</v>
      </c>
    </row>
    <row r="412" customFormat="false" ht="15" hidden="false" customHeight="false" outlineLevel="0" collapsed="false">
      <c r="A412" s="8" t="s">
        <v>8135</v>
      </c>
      <c r="B412" s="8" t="s">
        <v>8136</v>
      </c>
      <c r="C412" s="8" t="s">
        <v>5958</v>
      </c>
      <c r="D412" s="8" t="s">
        <v>5207</v>
      </c>
      <c r="E412" s="8"/>
      <c r="F412" s="8" t="s">
        <v>93</v>
      </c>
      <c r="G412" s="8" t="n">
        <v>2</v>
      </c>
      <c r="H412" s="18" t="n">
        <f aca="false">INDEX('All Items'!$Q:$Q,MATCH($A412,'All Items'!$A:$A,0))</f>
        <v>3.1</v>
      </c>
      <c r="I412" s="8" t="s">
        <v>8137</v>
      </c>
    </row>
  </sheetData>
  <autoFilter ref="A1:I4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7"/>
    <col collapsed="false" customWidth="true" hidden="false" outlineLevel="0" max="5" min="4" style="0" width="16"/>
    <col collapsed="false" customWidth="true" hidden="false" outlineLevel="0" max="6" min="6" style="0" width="12"/>
    <col collapsed="false" customWidth="true" hidden="false" outlineLevel="0" max="7" min="7" style="0" width="8"/>
    <col collapsed="false" customWidth="true" hidden="false" outlineLevel="0" max="8" min="8" style="0" width="11"/>
    <col collapsed="false" customWidth="true" hidden="false" outlineLevel="0" max="10" min="9" style="0" width="10"/>
    <col collapsed="false" customWidth="true" hidden="false" outlineLevel="0" max="11" min="11" style="0" width="40"/>
    <col collapsed="false" customWidth="true" hidden="false" outlineLevel="0" max="12" min="12" style="0" width="11"/>
    <col collapsed="false" customWidth="true" hidden="false" outlineLevel="0" max="13" min="13" style="0" width="10"/>
    <col collapsed="false" customWidth="true" hidden="false" outlineLevel="0" max="14" min="14" style="0" width="8"/>
    <col collapsed="false" customWidth="true" hidden="false" outlineLevel="0" max="15" min="15" style="0" width="9"/>
    <col collapsed="false" customWidth="true" hidden="false" outlineLevel="0" max="17" min="16" style="0" width="8"/>
    <col collapsed="false" customWidth="true" hidden="false" outlineLevel="0" max="18" min="18" style="0" width="9"/>
    <col collapsed="false" customWidth="true" hidden="false" outlineLevel="0" max="19" min="19" style="0" width="48"/>
  </cols>
  <sheetData>
    <row r="1" customFormat="false" ht="30" hidden="false" customHeight="true" outlineLevel="0" collapsed="false">
      <c r="A1" s="17" t="s">
        <v>177</v>
      </c>
      <c r="B1" s="17" t="s">
        <v>7227</v>
      </c>
      <c r="C1" s="17" t="s">
        <v>7228</v>
      </c>
      <c r="D1" s="17" t="s">
        <v>180</v>
      </c>
      <c r="E1" s="17" t="s">
        <v>102</v>
      </c>
      <c r="F1" s="17" t="s">
        <v>7229</v>
      </c>
      <c r="G1" s="17" t="s">
        <v>183</v>
      </c>
      <c r="H1" s="17" t="s">
        <v>153</v>
      </c>
      <c r="I1" s="17" t="s">
        <v>8138</v>
      </c>
      <c r="J1" s="17" t="s">
        <v>8139</v>
      </c>
      <c r="K1" s="17" t="s">
        <v>8140</v>
      </c>
      <c r="L1" s="17" t="s">
        <v>8141</v>
      </c>
      <c r="M1" s="17" t="s">
        <v>8142</v>
      </c>
      <c r="N1" s="17" t="s">
        <v>8143</v>
      </c>
      <c r="O1" s="17" t="s">
        <v>8144</v>
      </c>
      <c r="P1" s="17" t="s">
        <v>8145</v>
      </c>
      <c r="Q1" s="17" t="s">
        <v>184</v>
      </c>
      <c r="R1" s="17" t="s">
        <v>5</v>
      </c>
      <c r="S1" s="17" t="s">
        <v>8146</v>
      </c>
    </row>
    <row r="2" customFormat="false" ht="15" hidden="false" customHeight="false" outlineLevel="0" collapsed="false">
      <c r="A2" s="8" t="s">
        <v>203</v>
      </c>
      <c r="B2" s="8" t="s">
        <v>204</v>
      </c>
      <c r="C2" s="8" t="s">
        <v>178</v>
      </c>
      <c r="D2" s="8" t="s">
        <v>206</v>
      </c>
      <c r="E2" s="8" t="s">
        <v>108</v>
      </c>
      <c r="F2" s="8" t="s">
        <v>78</v>
      </c>
      <c r="G2" s="8" t="n">
        <v>1</v>
      </c>
      <c r="H2" s="13" t="n">
        <v>5</v>
      </c>
      <c r="I2" s="8" t="n">
        <v>5</v>
      </c>
      <c r="J2" s="20" t="s">
        <v>259</v>
      </c>
      <c r="K2" s="8"/>
      <c r="L2" s="20" t="s">
        <v>259</v>
      </c>
      <c r="M2" s="16" t="n">
        <f aca="false">H2*Scoring!$C$5</f>
        <v>6.5</v>
      </c>
      <c r="N2" s="16" t="n">
        <f aca="false">IF(I2&gt;=5,1,IF(I2=4,0.75,IF(I2=3,0.5,IF(I2=2,0.25,0))))*Scoring!$C$8</f>
        <v>1</v>
      </c>
      <c r="O2" s="16" t="n">
        <f aca="false">IF(J2="Yes",0,Scoring!$C$6)</f>
        <v>2</v>
      </c>
      <c r="P2" s="16" t="n">
        <f aca="false">IF(L2="Yes",0,Scoring!$C$7)</f>
        <v>0.5</v>
      </c>
      <c r="Q2" s="8" t="n">
        <f aca="false">ROUND(SUM(M2:P2),2)</f>
        <v>10</v>
      </c>
      <c r="R2" s="8" t="str">
        <f aca="false">IF(Q2&gt;=Scoring!$C$10-0.000001,"Keep","Remove")</f>
        <v>Keep</v>
      </c>
      <c r="S2" s="8" t="s">
        <v>166</v>
      </c>
    </row>
    <row r="3" customFormat="false" ht="15" hidden="false" customHeight="false" outlineLevel="0" collapsed="false">
      <c r="A3" s="8" t="s">
        <v>225</v>
      </c>
      <c r="B3" s="8" t="s">
        <v>226</v>
      </c>
      <c r="C3" s="8" t="s">
        <v>178</v>
      </c>
      <c r="D3" s="8" t="s">
        <v>206</v>
      </c>
      <c r="E3" s="8" t="s">
        <v>110</v>
      </c>
      <c r="F3" s="8" t="s">
        <v>78</v>
      </c>
      <c r="G3" s="8" t="n">
        <v>1</v>
      </c>
      <c r="H3" s="13" t="n">
        <v>5</v>
      </c>
      <c r="I3" s="8" t="n">
        <v>4</v>
      </c>
      <c r="J3" s="20" t="s">
        <v>259</v>
      </c>
      <c r="K3" s="8"/>
      <c r="L3" s="20" t="s">
        <v>259</v>
      </c>
      <c r="M3" s="16" t="n">
        <f aca="false">H3*Scoring!$C$5</f>
        <v>6.5</v>
      </c>
      <c r="N3" s="16" t="n">
        <f aca="false">IF(I3&gt;=5,1,IF(I3=4,0.75,IF(I3=3,0.5,IF(I3=2,0.25,0))))*Scoring!$C$8</f>
        <v>0.75</v>
      </c>
      <c r="O3" s="16" t="n">
        <f aca="false">IF(J3="Yes",0,Scoring!$C$6)</f>
        <v>2</v>
      </c>
      <c r="P3" s="16" t="n">
        <f aca="false">IF(L3="Yes",0,Scoring!$C$7)</f>
        <v>0.5</v>
      </c>
      <c r="Q3" s="8" t="n">
        <f aca="false">ROUND(SUM(M3:P3),2)</f>
        <v>9.75</v>
      </c>
      <c r="R3" s="8" t="str">
        <f aca="false">IF(Q3&gt;=Scoring!$C$10-0.000001,"Keep","Remove")</f>
        <v>Keep</v>
      </c>
      <c r="S3" s="8" t="s">
        <v>166</v>
      </c>
    </row>
    <row r="4" customFormat="false" ht="15" hidden="false" customHeight="false" outlineLevel="0" collapsed="false">
      <c r="A4" s="8" t="s">
        <v>238</v>
      </c>
      <c r="B4" s="8" t="s">
        <v>239</v>
      </c>
      <c r="C4" s="8" t="s">
        <v>178</v>
      </c>
      <c r="D4" s="8" t="s">
        <v>206</v>
      </c>
      <c r="E4" s="8" t="s">
        <v>110</v>
      </c>
      <c r="F4" s="8" t="s">
        <v>78</v>
      </c>
      <c r="G4" s="8" t="n">
        <v>1</v>
      </c>
      <c r="H4" s="13" t="n">
        <v>4</v>
      </c>
      <c r="I4" s="8" t="n">
        <v>3</v>
      </c>
      <c r="J4" s="20" t="s">
        <v>259</v>
      </c>
      <c r="K4" s="8"/>
      <c r="L4" s="20" t="s">
        <v>259</v>
      </c>
      <c r="M4" s="16" t="n">
        <f aca="false">H4*Scoring!$C$5</f>
        <v>5.2</v>
      </c>
      <c r="N4" s="16" t="n">
        <f aca="false">IF(I4&gt;=5,1,IF(I4=4,0.75,IF(I4=3,0.5,IF(I4=2,0.25,0))))*Scoring!$C$8</f>
        <v>0.5</v>
      </c>
      <c r="O4" s="16" t="n">
        <f aca="false">IF(J4="Yes",0,Scoring!$C$6)</f>
        <v>2</v>
      </c>
      <c r="P4" s="16" t="n">
        <f aca="false">IF(L4="Yes",0,Scoring!$C$7)</f>
        <v>0.5</v>
      </c>
      <c r="Q4" s="8" t="n">
        <f aca="false">ROUND(SUM(M4:P4),2)</f>
        <v>8.2</v>
      </c>
      <c r="R4" s="8" t="str">
        <f aca="false">IF(Q4&gt;=Scoring!$C$10-0.000001,"Keep","Remove")</f>
        <v>Keep</v>
      </c>
      <c r="S4" s="8" t="s">
        <v>166</v>
      </c>
    </row>
    <row r="5" customFormat="false" ht="15" hidden="false" customHeight="false" outlineLevel="0" collapsed="false">
      <c r="A5" s="8" t="s">
        <v>7234</v>
      </c>
      <c r="B5" s="8" t="s">
        <v>7235</v>
      </c>
      <c r="C5" s="8" t="s">
        <v>178</v>
      </c>
      <c r="D5" s="8" t="s">
        <v>206</v>
      </c>
      <c r="E5" s="8" t="s">
        <v>110</v>
      </c>
      <c r="F5" s="8" t="s">
        <v>87</v>
      </c>
      <c r="G5" s="8" t="n">
        <v>2</v>
      </c>
      <c r="H5" s="13" t="n">
        <v>3</v>
      </c>
      <c r="I5" s="8" t="n">
        <v>1</v>
      </c>
      <c r="J5" s="20" t="s">
        <v>259</v>
      </c>
      <c r="K5" s="8"/>
      <c r="L5" s="20" t="s">
        <v>259</v>
      </c>
      <c r="M5" s="16" t="n">
        <f aca="false">H5*Scoring!$C$5</f>
        <v>3.9</v>
      </c>
      <c r="N5" s="16" t="n">
        <f aca="false">IF(I5&gt;=5,1,IF(I5=4,0.75,IF(I5=3,0.5,IF(I5=2,0.25,0))))*Scoring!$C$8</f>
        <v>0</v>
      </c>
      <c r="O5" s="16" t="n">
        <f aca="false">IF(J5="Yes",0,Scoring!$C$6)</f>
        <v>2</v>
      </c>
      <c r="P5" s="16" t="n">
        <f aca="false">IF(L5="Yes",0,Scoring!$C$7)</f>
        <v>0.5</v>
      </c>
      <c r="Q5" s="8" t="n">
        <f aca="false">ROUND(SUM(M5:P5),2)</f>
        <v>6.4</v>
      </c>
      <c r="R5" s="8" t="str">
        <f aca="false">IF(Q5&gt;=Scoring!$C$10-0.000001,"Keep","Remove")</f>
        <v>Remove</v>
      </c>
      <c r="S5" s="8" t="s">
        <v>7236</v>
      </c>
    </row>
    <row r="6" customFormat="false" ht="15" hidden="false" customHeight="false" outlineLevel="0" collapsed="false">
      <c r="A6" s="8" t="s">
        <v>249</v>
      </c>
      <c r="B6" s="8" t="s">
        <v>250</v>
      </c>
      <c r="C6" s="8" t="s">
        <v>178</v>
      </c>
      <c r="D6" s="8" t="s">
        <v>206</v>
      </c>
      <c r="E6" s="8" t="s">
        <v>110</v>
      </c>
      <c r="F6" s="8" t="s">
        <v>87</v>
      </c>
      <c r="G6" s="8" t="n">
        <v>2</v>
      </c>
      <c r="H6" s="13" t="n">
        <v>3</v>
      </c>
      <c r="I6" s="8" t="n">
        <v>4</v>
      </c>
      <c r="J6" s="20" t="s">
        <v>259</v>
      </c>
      <c r="K6" s="8"/>
      <c r="L6" s="20" t="s">
        <v>259</v>
      </c>
      <c r="M6" s="16" t="n">
        <f aca="false">H6*Scoring!$C$5</f>
        <v>3.9</v>
      </c>
      <c r="N6" s="16" t="n">
        <f aca="false">IF(I6&gt;=5,1,IF(I6=4,0.75,IF(I6=3,0.5,IF(I6=2,0.25,0))))*Scoring!$C$8</f>
        <v>0.75</v>
      </c>
      <c r="O6" s="16" t="n">
        <f aca="false">IF(J6="Yes",0,Scoring!$C$6)</f>
        <v>2</v>
      </c>
      <c r="P6" s="16" t="n">
        <f aca="false">IF(L6="Yes",0,Scoring!$C$7)</f>
        <v>0.5</v>
      </c>
      <c r="Q6" s="8" t="n">
        <f aca="false">ROUND(SUM(M6:P6),2)</f>
        <v>7.15</v>
      </c>
      <c r="R6" s="8" t="str">
        <f aca="false">IF(Q6&gt;=Scoring!$C$10-0.000001,"Keep","Remove")</f>
        <v>Keep</v>
      </c>
      <c r="S6" s="8" t="s">
        <v>166</v>
      </c>
    </row>
    <row r="7" customFormat="false" ht="15" hidden="false" customHeight="false" outlineLevel="0" collapsed="false">
      <c r="A7" s="8" t="s">
        <v>261</v>
      </c>
      <c r="B7" s="8" t="s">
        <v>262</v>
      </c>
      <c r="C7" s="8" t="s">
        <v>178</v>
      </c>
      <c r="D7" s="8" t="s">
        <v>206</v>
      </c>
      <c r="E7" s="8" t="s">
        <v>110</v>
      </c>
      <c r="F7" s="8" t="s">
        <v>78</v>
      </c>
      <c r="G7" s="8" t="n">
        <v>1</v>
      </c>
      <c r="H7" s="13" t="n">
        <v>5</v>
      </c>
      <c r="I7" s="8" t="n">
        <v>5</v>
      </c>
      <c r="J7" s="20" t="s">
        <v>259</v>
      </c>
      <c r="K7" s="8"/>
      <c r="L7" s="20" t="s">
        <v>259</v>
      </c>
      <c r="M7" s="16" t="n">
        <f aca="false">H7*Scoring!$C$5</f>
        <v>6.5</v>
      </c>
      <c r="N7" s="16" t="n">
        <f aca="false">IF(I7&gt;=5,1,IF(I7=4,0.75,IF(I7=3,0.5,IF(I7=2,0.25,0))))*Scoring!$C$8</f>
        <v>1</v>
      </c>
      <c r="O7" s="16" t="n">
        <f aca="false">IF(J7="Yes",0,Scoring!$C$6)</f>
        <v>2</v>
      </c>
      <c r="P7" s="16" t="n">
        <f aca="false">IF(L7="Yes",0,Scoring!$C$7)</f>
        <v>0.5</v>
      </c>
      <c r="Q7" s="8" t="n">
        <f aca="false">ROUND(SUM(M7:P7),2)</f>
        <v>10</v>
      </c>
      <c r="R7" s="8" t="str">
        <f aca="false">IF(Q7&gt;=Scoring!$C$10-0.000001,"Keep","Remove")</f>
        <v>Keep</v>
      </c>
      <c r="S7" s="8" t="s">
        <v>166</v>
      </c>
    </row>
    <row r="8" customFormat="false" ht="15" hidden="false" customHeight="false" outlineLevel="0" collapsed="false">
      <c r="A8" s="8" t="s">
        <v>271</v>
      </c>
      <c r="B8" s="8" t="s">
        <v>272</v>
      </c>
      <c r="C8" s="8" t="s">
        <v>178</v>
      </c>
      <c r="D8" s="8" t="s">
        <v>206</v>
      </c>
      <c r="E8" s="8" t="s">
        <v>110</v>
      </c>
      <c r="F8" s="8" t="s">
        <v>78</v>
      </c>
      <c r="G8" s="8" t="n">
        <v>1</v>
      </c>
      <c r="H8" s="13" t="n">
        <v>5</v>
      </c>
      <c r="I8" s="8" t="n">
        <v>3</v>
      </c>
      <c r="J8" s="20" t="s">
        <v>259</v>
      </c>
      <c r="K8" s="8"/>
      <c r="L8" s="20" t="s">
        <v>259</v>
      </c>
      <c r="M8" s="16" t="n">
        <f aca="false">H8*Scoring!$C$5</f>
        <v>6.5</v>
      </c>
      <c r="N8" s="16" t="n">
        <f aca="false">IF(I8&gt;=5,1,IF(I8=4,0.75,IF(I8=3,0.5,IF(I8=2,0.25,0))))*Scoring!$C$8</f>
        <v>0.5</v>
      </c>
      <c r="O8" s="16" t="n">
        <f aca="false">IF(J8="Yes",0,Scoring!$C$6)</f>
        <v>2</v>
      </c>
      <c r="P8" s="16" t="n">
        <f aca="false">IF(L8="Yes",0,Scoring!$C$7)</f>
        <v>0.5</v>
      </c>
      <c r="Q8" s="8" t="n">
        <f aca="false">ROUND(SUM(M8:P8),2)</f>
        <v>9.5</v>
      </c>
      <c r="R8" s="8" t="str">
        <f aca="false">IF(Q8&gt;=Scoring!$C$10-0.000001,"Keep","Remove")</f>
        <v>Keep</v>
      </c>
      <c r="S8" s="8" t="s">
        <v>166</v>
      </c>
    </row>
    <row r="9" customFormat="false" ht="15" hidden="false" customHeight="false" outlineLevel="0" collapsed="false">
      <c r="A9" s="8" t="s">
        <v>282</v>
      </c>
      <c r="B9" s="8" t="s">
        <v>283</v>
      </c>
      <c r="C9" s="8" t="s">
        <v>178</v>
      </c>
      <c r="D9" s="8" t="s">
        <v>206</v>
      </c>
      <c r="E9" s="8" t="s">
        <v>110</v>
      </c>
      <c r="F9" s="8" t="s">
        <v>79</v>
      </c>
      <c r="G9" s="8" t="n">
        <v>1</v>
      </c>
      <c r="H9" s="13" t="n">
        <v>5</v>
      </c>
      <c r="I9" s="8" t="n">
        <v>5</v>
      </c>
      <c r="J9" s="20" t="s">
        <v>259</v>
      </c>
      <c r="K9" s="8"/>
      <c r="L9" s="20" t="s">
        <v>259</v>
      </c>
      <c r="M9" s="16" t="n">
        <f aca="false">H9*Scoring!$C$5</f>
        <v>6.5</v>
      </c>
      <c r="N9" s="16" t="n">
        <f aca="false">IF(I9&gt;=5,1,IF(I9=4,0.75,IF(I9=3,0.5,IF(I9=2,0.25,0))))*Scoring!$C$8</f>
        <v>1</v>
      </c>
      <c r="O9" s="16" t="n">
        <f aca="false">IF(J9="Yes",0,Scoring!$C$6)</f>
        <v>2</v>
      </c>
      <c r="P9" s="16" t="n">
        <f aca="false">IF(L9="Yes",0,Scoring!$C$7)</f>
        <v>0.5</v>
      </c>
      <c r="Q9" s="8" t="n">
        <f aca="false">ROUND(SUM(M9:P9),2)</f>
        <v>10</v>
      </c>
      <c r="R9" s="8" t="str">
        <f aca="false">IF(Q9&gt;=Scoring!$C$10-0.000001,"Keep","Remove")</f>
        <v>Keep</v>
      </c>
      <c r="S9" s="8" t="s">
        <v>166</v>
      </c>
    </row>
    <row r="10" customFormat="false" ht="15" hidden="false" customHeight="false" outlineLevel="0" collapsed="false">
      <c r="A10" s="8" t="s">
        <v>295</v>
      </c>
      <c r="B10" s="8" t="s">
        <v>296</v>
      </c>
      <c r="C10" s="8" t="s">
        <v>178</v>
      </c>
      <c r="D10" s="8" t="s">
        <v>206</v>
      </c>
      <c r="E10" s="8" t="s">
        <v>110</v>
      </c>
      <c r="F10" s="8" t="s">
        <v>78</v>
      </c>
      <c r="G10" s="8" t="n">
        <v>1</v>
      </c>
      <c r="H10" s="13" t="n">
        <v>5</v>
      </c>
      <c r="I10" s="8" t="n">
        <v>5</v>
      </c>
      <c r="J10" s="20" t="s">
        <v>259</v>
      </c>
      <c r="K10" s="8"/>
      <c r="L10" s="20" t="s">
        <v>259</v>
      </c>
      <c r="M10" s="16" t="n">
        <f aca="false">H10*Scoring!$C$5</f>
        <v>6.5</v>
      </c>
      <c r="N10" s="16" t="n">
        <f aca="false">IF(I10&gt;=5,1,IF(I10=4,0.75,IF(I10=3,0.5,IF(I10=2,0.25,0))))*Scoring!$C$8</f>
        <v>1</v>
      </c>
      <c r="O10" s="16" t="n">
        <f aca="false">IF(J10="Yes",0,Scoring!$C$6)</f>
        <v>2</v>
      </c>
      <c r="P10" s="16" t="n">
        <f aca="false">IF(L10="Yes",0,Scoring!$C$7)</f>
        <v>0.5</v>
      </c>
      <c r="Q10" s="8" t="n">
        <f aca="false">ROUND(SUM(M10:P10),2)</f>
        <v>10</v>
      </c>
      <c r="R10" s="8" t="str">
        <f aca="false">IF(Q10&gt;=Scoring!$C$10-0.000001,"Keep","Remove")</f>
        <v>Keep</v>
      </c>
      <c r="S10" s="8" t="s">
        <v>166</v>
      </c>
    </row>
    <row r="11" customFormat="false" ht="15" hidden="false" customHeight="false" outlineLevel="0" collapsed="false">
      <c r="A11" s="8" t="s">
        <v>304</v>
      </c>
      <c r="B11" s="8" t="s">
        <v>305</v>
      </c>
      <c r="C11" s="8" t="s">
        <v>178</v>
      </c>
      <c r="D11" s="8" t="s">
        <v>206</v>
      </c>
      <c r="E11" s="8" t="s">
        <v>110</v>
      </c>
      <c r="F11" s="8" t="s">
        <v>79</v>
      </c>
      <c r="G11" s="8" t="n">
        <v>2</v>
      </c>
      <c r="H11" s="13" t="n">
        <v>3</v>
      </c>
      <c r="I11" s="8" t="n">
        <v>5</v>
      </c>
      <c r="J11" s="20" t="s">
        <v>259</v>
      </c>
      <c r="K11" s="8"/>
      <c r="L11" s="20" t="s">
        <v>259</v>
      </c>
      <c r="M11" s="16" t="n">
        <f aca="false">H11*Scoring!$C$5</f>
        <v>3.9</v>
      </c>
      <c r="N11" s="16" t="n">
        <f aca="false">IF(I11&gt;=5,1,IF(I11=4,0.75,IF(I11=3,0.5,IF(I11=2,0.25,0))))*Scoring!$C$8</f>
        <v>1</v>
      </c>
      <c r="O11" s="16" t="n">
        <f aca="false">IF(J11="Yes",0,Scoring!$C$6)</f>
        <v>2</v>
      </c>
      <c r="P11" s="16" t="n">
        <f aca="false">IF(L11="Yes",0,Scoring!$C$7)</f>
        <v>0.5</v>
      </c>
      <c r="Q11" s="8" t="n">
        <f aca="false">ROUND(SUM(M11:P11),2)</f>
        <v>7.4</v>
      </c>
      <c r="R11" s="8" t="str">
        <f aca="false">IF(Q11&gt;=Scoring!$C$10-0.000001,"Keep","Remove")</f>
        <v>Keep</v>
      </c>
      <c r="S11" s="8" t="s">
        <v>166</v>
      </c>
    </row>
    <row r="12" customFormat="false" ht="15" hidden="false" customHeight="false" outlineLevel="0" collapsed="false">
      <c r="A12" s="8" t="s">
        <v>7826</v>
      </c>
      <c r="B12" s="8" t="s">
        <v>7827</v>
      </c>
      <c r="C12" s="8" t="s">
        <v>178</v>
      </c>
      <c r="D12" s="8" t="s">
        <v>206</v>
      </c>
      <c r="E12" s="8" t="s">
        <v>110</v>
      </c>
      <c r="F12" s="8" t="s">
        <v>78</v>
      </c>
      <c r="G12" s="8" t="n">
        <v>2</v>
      </c>
      <c r="H12" s="13" t="n">
        <v>3</v>
      </c>
      <c r="I12" s="8" t="n">
        <v>3</v>
      </c>
      <c r="J12" s="20" t="s">
        <v>218</v>
      </c>
      <c r="K12" s="8" t="s">
        <v>8147</v>
      </c>
      <c r="L12" s="20" t="s">
        <v>259</v>
      </c>
      <c r="M12" s="16" t="n">
        <f aca="false">H12*Scoring!$C$5</f>
        <v>3.9</v>
      </c>
      <c r="N12" s="16" t="n">
        <f aca="false">IF(I12&gt;=5,1,IF(I12=4,0.75,IF(I12=3,0.5,IF(I12=2,0.25,0))))*Scoring!$C$8</f>
        <v>0.5</v>
      </c>
      <c r="O12" s="16" t="n">
        <f aca="false">IF(J12="Yes",0,Scoring!$C$6)</f>
        <v>0</v>
      </c>
      <c r="P12" s="16" t="n">
        <f aca="false">IF(L12="Yes",0,Scoring!$C$7)</f>
        <v>0.5</v>
      </c>
      <c r="Q12" s="8" t="n">
        <f aca="false">ROUND(SUM(M12:P12),2)</f>
        <v>4.9</v>
      </c>
      <c r="R12" s="8" t="str">
        <f aca="false">IF(Q12&gt;=Scoring!$C$10-0.000001,"Keep","Remove")</f>
        <v>Remove</v>
      </c>
      <c r="S12" s="8" t="s">
        <v>7828</v>
      </c>
    </row>
    <row r="13" customFormat="false" ht="15" hidden="false" customHeight="false" outlineLevel="0" collapsed="false">
      <c r="A13" s="8" t="s">
        <v>315</v>
      </c>
      <c r="B13" s="8" t="s">
        <v>316</v>
      </c>
      <c r="C13" s="8" t="s">
        <v>178</v>
      </c>
      <c r="D13" s="8" t="s">
        <v>206</v>
      </c>
      <c r="E13" s="8" t="s">
        <v>110</v>
      </c>
      <c r="F13" s="8" t="s">
        <v>82</v>
      </c>
      <c r="G13" s="8" t="n">
        <v>1</v>
      </c>
      <c r="H13" s="13" t="n">
        <v>5</v>
      </c>
      <c r="I13" s="8" t="n">
        <v>1</v>
      </c>
      <c r="J13" s="20" t="s">
        <v>259</v>
      </c>
      <c r="K13" s="8"/>
      <c r="L13" s="20" t="s">
        <v>259</v>
      </c>
      <c r="M13" s="16" t="n">
        <f aca="false">H13*Scoring!$C$5</f>
        <v>6.5</v>
      </c>
      <c r="N13" s="16" t="n">
        <f aca="false">IF(I13&gt;=5,1,IF(I13=4,0.75,IF(I13=3,0.5,IF(I13=2,0.25,0))))*Scoring!$C$8</f>
        <v>0</v>
      </c>
      <c r="O13" s="16" t="n">
        <f aca="false">IF(J13="Yes",0,Scoring!$C$6)</f>
        <v>2</v>
      </c>
      <c r="P13" s="16" t="n">
        <f aca="false">IF(L13="Yes",0,Scoring!$C$7)</f>
        <v>0.5</v>
      </c>
      <c r="Q13" s="8" t="n">
        <f aca="false">ROUND(SUM(M13:P13),2)</f>
        <v>9</v>
      </c>
      <c r="R13" s="8" t="str">
        <f aca="false">IF(Q13&gt;=Scoring!$C$10-0.000001,"Keep","Remove")</f>
        <v>Keep</v>
      </c>
      <c r="S13" s="8" t="s">
        <v>166</v>
      </c>
    </row>
    <row r="14" customFormat="false" ht="15" hidden="false" customHeight="false" outlineLevel="0" collapsed="false">
      <c r="A14" s="8" t="s">
        <v>7237</v>
      </c>
      <c r="B14" s="8" t="s">
        <v>7238</v>
      </c>
      <c r="C14" s="8" t="s">
        <v>178</v>
      </c>
      <c r="D14" s="8" t="s">
        <v>206</v>
      </c>
      <c r="E14" s="8" t="s">
        <v>110</v>
      </c>
      <c r="F14" s="8" t="s">
        <v>82</v>
      </c>
      <c r="G14" s="8" t="n">
        <v>2</v>
      </c>
      <c r="H14" s="13" t="n">
        <v>3</v>
      </c>
      <c r="I14" s="8" t="n">
        <v>1</v>
      </c>
      <c r="J14" s="20" t="s">
        <v>259</v>
      </c>
      <c r="K14" s="8"/>
      <c r="L14" s="20" t="s">
        <v>259</v>
      </c>
      <c r="M14" s="16" t="n">
        <f aca="false">H14*Scoring!$C$5</f>
        <v>3.9</v>
      </c>
      <c r="N14" s="16" t="n">
        <f aca="false">IF(I14&gt;=5,1,IF(I14=4,0.75,IF(I14=3,0.5,IF(I14=2,0.25,0))))*Scoring!$C$8</f>
        <v>0</v>
      </c>
      <c r="O14" s="16" t="n">
        <f aca="false">IF(J14="Yes",0,Scoring!$C$6)</f>
        <v>2</v>
      </c>
      <c r="P14" s="16" t="n">
        <f aca="false">IF(L14="Yes",0,Scoring!$C$7)</f>
        <v>0.5</v>
      </c>
      <c r="Q14" s="8" t="n">
        <f aca="false">ROUND(SUM(M14:P14),2)</f>
        <v>6.4</v>
      </c>
      <c r="R14" s="8" t="str">
        <f aca="false">IF(Q14&gt;=Scoring!$C$10-0.000001,"Keep","Remove")</f>
        <v>Remove</v>
      </c>
      <c r="S14" s="8" t="s">
        <v>7236</v>
      </c>
    </row>
    <row r="15" customFormat="false" ht="15" hidden="false" customHeight="false" outlineLevel="0" collapsed="false">
      <c r="A15" s="8" t="s">
        <v>322</v>
      </c>
      <c r="B15" s="8" t="s">
        <v>323</v>
      </c>
      <c r="C15" s="8" t="s">
        <v>178</v>
      </c>
      <c r="D15" s="8" t="s">
        <v>206</v>
      </c>
      <c r="E15" s="8" t="s">
        <v>110</v>
      </c>
      <c r="F15" s="8" t="s">
        <v>78</v>
      </c>
      <c r="G15" s="8" t="n">
        <v>1</v>
      </c>
      <c r="H15" s="13" t="n">
        <v>4</v>
      </c>
      <c r="I15" s="8" t="n">
        <v>4</v>
      </c>
      <c r="J15" s="20" t="s">
        <v>259</v>
      </c>
      <c r="K15" s="8"/>
      <c r="L15" s="20" t="s">
        <v>259</v>
      </c>
      <c r="M15" s="16" t="n">
        <f aca="false">H15*Scoring!$C$5</f>
        <v>5.2</v>
      </c>
      <c r="N15" s="16" t="n">
        <f aca="false">IF(I15&gt;=5,1,IF(I15=4,0.75,IF(I15=3,0.5,IF(I15=2,0.25,0))))*Scoring!$C$8</f>
        <v>0.75</v>
      </c>
      <c r="O15" s="16" t="n">
        <f aca="false">IF(J15="Yes",0,Scoring!$C$6)</f>
        <v>2</v>
      </c>
      <c r="P15" s="16" t="n">
        <f aca="false">IF(L15="Yes",0,Scoring!$C$7)</f>
        <v>0.5</v>
      </c>
      <c r="Q15" s="8" t="n">
        <f aca="false">ROUND(SUM(M15:P15),2)</f>
        <v>8.45</v>
      </c>
      <c r="R15" s="8" t="str">
        <f aca="false">IF(Q15&gt;=Scoring!$C$10-0.000001,"Keep","Remove")</f>
        <v>Keep</v>
      </c>
      <c r="S15" s="8" t="s">
        <v>166</v>
      </c>
    </row>
    <row r="16" customFormat="false" ht="15" hidden="false" customHeight="false" outlineLevel="0" collapsed="false">
      <c r="A16" s="8" t="s">
        <v>7636</v>
      </c>
      <c r="B16" s="8" t="s">
        <v>7637</v>
      </c>
      <c r="C16" s="8" t="s">
        <v>178</v>
      </c>
      <c r="D16" s="8" t="s">
        <v>206</v>
      </c>
      <c r="E16" s="8" t="s">
        <v>110</v>
      </c>
      <c r="F16" s="8" t="s">
        <v>84</v>
      </c>
      <c r="G16" s="8" t="n">
        <v>3</v>
      </c>
      <c r="H16" s="13" t="n">
        <v>2</v>
      </c>
      <c r="I16" s="8" t="n">
        <v>3</v>
      </c>
      <c r="J16" s="20" t="s">
        <v>259</v>
      </c>
      <c r="K16" s="8"/>
      <c r="L16" s="20" t="s">
        <v>259</v>
      </c>
      <c r="M16" s="16" t="n">
        <f aca="false">H16*Scoring!$C$5</f>
        <v>2.6</v>
      </c>
      <c r="N16" s="16" t="n">
        <f aca="false">IF(I16&gt;=5,1,IF(I16=4,0.75,IF(I16=3,0.5,IF(I16=2,0.25,0))))*Scoring!$C$8</f>
        <v>0.5</v>
      </c>
      <c r="O16" s="16" t="n">
        <f aca="false">IF(J16="Yes",0,Scoring!$C$6)</f>
        <v>2</v>
      </c>
      <c r="P16" s="16" t="n">
        <f aca="false">IF(L16="Yes",0,Scoring!$C$7)</f>
        <v>0.5</v>
      </c>
      <c r="Q16" s="8" t="n">
        <f aca="false">ROUND(SUM(M16:P16),2)</f>
        <v>5.6</v>
      </c>
      <c r="R16" s="8" t="str">
        <f aca="false">IF(Q16&gt;=Scoring!$C$10-0.000001,"Keep","Remove")</f>
        <v>Remove</v>
      </c>
      <c r="S16" s="8" t="s">
        <v>7243</v>
      </c>
    </row>
    <row r="17" customFormat="false" ht="15" hidden="false" customHeight="false" outlineLevel="0" collapsed="false">
      <c r="A17" s="8" t="s">
        <v>332</v>
      </c>
      <c r="B17" s="8" t="s">
        <v>333</v>
      </c>
      <c r="C17" s="8" t="s">
        <v>178</v>
      </c>
      <c r="D17" s="8" t="s">
        <v>206</v>
      </c>
      <c r="E17" s="8" t="s">
        <v>108</v>
      </c>
      <c r="F17" s="8" t="s">
        <v>78</v>
      </c>
      <c r="G17" s="8" t="n">
        <v>1</v>
      </c>
      <c r="H17" s="13" t="n">
        <v>5</v>
      </c>
      <c r="I17" s="8" t="n">
        <v>6</v>
      </c>
      <c r="J17" s="20" t="s">
        <v>259</v>
      </c>
      <c r="K17" s="8"/>
      <c r="L17" s="20" t="s">
        <v>259</v>
      </c>
      <c r="M17" s="16" t="n">
        <f aca="false">H17*Scoring!$C$5</f>
        <v>6.5</v>
      </c>
      <c r="N17" s="16" t="n">
        <f aca="false">IF(I17&gt;=5,1,IF(I17=4,0.75,IF(I17=3,0.5,IF(I17=2,0.25,0))))*Scoring!$C$8</f>
        <v>1</v>
      </c>
      <c r="O17" s="16" t="n">
        <f aca="false">IF(J17="Yes",0,Scoring!$C$6)</f>
        <v>2</v>
      </c>
      <c r="P17" s="16" t="n">
        <f aca="false">IF(L17="Yes",0,Scoring!$C$7)</f>
        <v>0.5</v>
      </c>
      <c r="Q17" s="8" t="n">
        <f aca="false">ROUND(SUM(M17:P17),2)</f>
        <v>10</v>
      </c>
      <c r="R17" s="8" t="str">
        <f aca="false">IF(Q17&gt;=Scoring!$C$10-0.000001,"Keep","Remove")</f>
        <v>Keep</v>
      </c>
      <c r="S17" s="8" t="s">
        <v>166</v>
      </c>
    </row>
    <row r="18" customFormat="false" ht="15" hidden="false" customHeight="false" outlineLevel="0" collapsed="false">
      <c r="A18" s="8" t="s">
        <v>343</v>
      </c>
      <c r="B18" s="8" t="s">
        <v>344</v>
      </c>
      <c r="C18" s="8" t="s">
        <v>178</v>
      </c>
      <c r="D18" s="8" t="s">
        <v>206</v>
      </c>
      <c r="E18" s="8" t="s">
        <v>108</v>
      </c>
      <c r="F18" s="8" t="s">
        <v>78</v>
      </c>
      <c r="G18" s="8" t="n">
        <v>1</v>
      </c>
      <c r="H18" s="13" t="n">
        <v>4</v>
      </c>
      <c r="I18" s="8" t="n">
        <v>5</v>
      </c>
      <c r="J18" s="20" t="s">
        <v>259</v>
      </c>
      <c r="K18" s="8"/>
      <c r="L18" s="20" t="s">
        <v>259</v>
      </c>
      <c r="M18" s="16" t="n">
        <f aca="false">H18*Scoring!$C$5</f>
        <v>5.2</v>
      </c>
      <c r="N18" s="16" t="n">
        <f aca="false">IF(I18&gt;=5,1,IF(I18=4,0.75,IF(I18=3,0.5,IF(I18=2,0.25,0))))*Scoring!$C$8</f>
        <v>1</v>
      </c>
      <c r="O18" s="16" t="n">
        <f aca="false">IF(J18="Yes",0,Scoring!$C$6)</f>
        <v>2</v>
      </c>
      <c r="P18" s="16" t="n">
        <f aca="false">IF(L18="Yes",0,Scoring!$C$7)</f>
        <v>0.5</v>
      </c>
      <c r="Q18" s="8" t="n">
        <f aca="false">ROUND(SUM(M18:P18),2)</f>
        <v>8.7</v>
      </c>
      <c r="R18" s="8" t="str">
        <f aca="false">IF(Q18&gt;=Scoring!$C$10-0.000001,"Keep","Remove")</f>
        <v>Keep</v>
      </c>
      <c r="S18" s="8" t="s">
        <v>166</v>
      </c>
    </row>
    <row r="19" customFormat="false" ht="15" hidden="false" customHeight="false" outlineLevel="0" collapsed="false">
      <c r="A19" s="8" t="s">
        <v>353</v>
      </c>
      <c r="B19" s="8" t="s">
        <v>354</v>
      </c>
      <c r="C19" s="8" t="s">
        <v>178</v>
      </c>
      <c r="D19" s="8" t="s">
        <v>206</v>
      </c>
      <c r="E19" s="8" t="s">
        <v>110</v>
      </c>
      <c r="F19" s="8" t="s">
        <v>78</v>
      </c>
      <c r="G19" s="8" t="n">
        <v>1</v>
      </c>
      <c r="H19" s="13" t="n">
        <v>4</v>
      </c>
      <c r="I19" s="8" t="n">
        <v>5</v>
      </c>
      <c r="J19" s="20" t="s">
        <v>259</v>
      </c>
      <c r="K19" s="8"/>
      <c r="L19" s="20" t="s">
        <v>259</v>
      </c>
      <c r="M19" s="16" t="n">
        <f aca="false">H19*Scoring!$C$5</f>
        <v>5.2</v>
      </c>
      <c r="N19" s="16" t="n">
        <f aca="false">IF(I19&gt;=5,1,IF(I19=4,0.75,IF(I19=3,0.5,IF(I19=2,0.25,0))))*Scoring!$C$8</f>
        <v>1</v>
      </c>
      <c r="O19" s="16" t="n">
        <f aca="false">IF(J19="Yes",0,Scoring!$C$6)</f>
        <v>2</v>
      </c>
      <c r="P19" s="16" t="n">
        <f aca="false">IF(L19="Yes",0,Scoring!$C$7)</f>
        <v>0.5</v>
      </c>
      <c r="Q19" s="8" t="n">
        <f aca="false">ROUND(SUM(M19:P19),2)</f>
        <v>8.7</v>
      </c>
      <c r="R19" s="8" t="str">
        <f aca="false">IF(Q19&gt;=Scoring!$C$10-0.000001,"Keep","Remove")</f>
        <v>Keep</v>
      </c>
      <c r="S19" s="8" t="s">
        <v>166</v>
      </c>
    </row>
    <row r="20" customFormat="false" ht="15" hidden="false" customHeight="false" outlineLevel="0" collapsed="false">
      <c r="A20" s="8" t="s">
        <v>364</v>
      </c>
      <c r="B20" s="8" t="s">
        <v>365</v>
      </c>
      <c r="C20" s="8" t="s">
        <v>178</v>
      </c>
      <c r="D20" s="8" t="s">
        <v>206</v>
      </c>
      <c r="E20" s="8" t="s">
        <v>108</v>
      </c>
      <c r="F20" s="8" t="s">
        <v>78</v>
      </c>
      <c r="G20" s="8" t="n">
        <v>1</v>
      </c>
      <c r="H20" s="13" t="n">
        <v>5</v>
      </c>
      <c r="I20" s="8" t="n">
        <v>6</v>
      </c>
      <c r="J20" s="20" t="s">
        <v>259</v>
      </c>
      <c r="K20" s="8"/>
      <c r="L20" s="20" t="s">
        <v>259</v>
      </c>
      <c r="M20" s="16" t="n">
        <f aca="false">H20*Scoring!$C$5</f>
        <v>6.5</v>
      </c>
      <c r="N20" s="16" t="n">
        <f aca="false">IF(I20&gt;=5,1,IF(I20=4,0.75,IF(I20=3,0.5,IF(I20=2,0.25,0))))*Scoring!$C$8</f>
        <v>1</v>
      </c>
      <c r="O20" s="16" t="n">
        <f aca="false">IF(J20="Yes",0,Scoring!$C$6)</f>
        <v>2</v>
      </c>
      <c r="P20" s="16" t="n">
        <f aca="false">IF(L20="Yes",0,Scoring!$C$7)</f>
        <v>0.5</v>
      </c>
      <c r="Q20" s="8" t="n">
        <f aca="false">ROUND(SUM(M20:P20),2)</f>
        <v>10</v>
      </c>
      <c r="R20" s="8" t="str">
        <f aca="false">IF(Q20&gt;=Scoring!$C$10-0.000001,"Keep","Remove")</f>
        <v>Keep</v>
      </c>
      <c r="S20" s="8" t="s">
        <v>166</v>
      </c>
    </row>
    <row r="21" customFormat="false" ht="15" hidden="false" customHeight="false" outlineLevel="0" collapsed="false">
      <c r="A21" s="8" t="s">
        <v>374</v>
      </c>
      <c r="B21" s="8" t="s">
        <v>375</v>
      </c>
      <c r="C21" s="8" t="s">
        <v>178</v>
      </c>
      <c r="D21" s="8" t="s">
        <v>206</v>
      </c>
      <c r="E21" s="8" t="s">
        <v>110</v>
      </c>
      <c r="F21" s="8" t="s">
        <v>78</v>
      </c>
      <c r="G21" s="8" t="n">
        <v>1</v>
      </c>
      <c r="H21" s="13" t="n">
        <v>5</v>
      </c>
      <c r="I21" s="8" t="n">
        <v>4</v>
      </c>
      <c r="J21" s="20" t="s">
        <v>259</v>
      </c>
      <c r="K21" s="8"/>
      <c r="L21" s="20" t="s">
        <v>259</v>
      </c>
      <c r="M21" s="16" t="n">
        <f aca="false">H21*Scoring!$C$5</f>
        <v>6.5</v>
      </c>
      <c r="N21" s="16" t="n">
        <f aca="false">IF(I21&gt;=5,1,IF(I21=4,0.75,IF(I21=3,0.5,IF(I21=2,0.25,0))))*Scoring!$C$8</f>
        <v>0.75</v>
      </c>
      <c r="O21" s="16" t="n">
        <f aca="false">IF(J21="Yes",0,Scoring!$C$6)</f>
        <v>2</v>
      </c>
      <c r="P21" s="16" t="n">
        <f aca="false">IF(L21="Yes",0,Scoring!$C$7)</f>
        <v>0.5</v>
      </c>
      <c r="Q21" s="8" t="n">
        <f aca="false">ROUND(SUM(M21:P21),2)</f>
        <v>9.75</v>
      </c>
      <c r="R21" s="8" t="str">
        <f aca="false">IF(Q21&gt;=Scoring!$C$10-0.000001,"Keep","Remove")</f>
        <v>Keep</v>
      </c>
      <c r="S21" s="8" t="s">
        <v>166</v>
      </c>
    </row>
    <row r="22" customFormat="false" ht="15" hidden="false" customHeight="false" outlineLevel="0" collapsed="false">
      <c r="A22" s="8" t="s">
        <v>386</v>
      </c>
      <c r="B22" s="8" t="s">
        <v>387</v>
      </c>
      <c r="C22" s="8" t="s">
        <v>178</v>
      </c>
      <c r="D22" s="8" t="s">
        <v>206</v>
      </c>
      <c r="E22" s="8" t="s">
        <v>108</v>
      </c>
      <c r="F22" s="8" t="s">
        <v>79</v>
      </c>
      <c r="G22" s="8" t="n">
        <v>1</v>
      </c>
      <c r="H22" s="13" t="n">
        <v>4</v>
      </c>
      <c r="I22" s="8" t="n">
        <v>3</v>
      </c>
      <c r="J22" s="20" t="s">
        <v>259</v>
      </c>
      <c r="K22" s="8"/>
      <c r="L22" s="20" t="s">
        <v>259</v>
      </c>
      <c r="M22" s="16" t="n">
        <f aca="false">H22*Scoring!$C$5</f>
        <v>5.2</v>
      </c>
      <c r="N22" s="16" t="n">
        <f aca="false">IF(I22&gt;=5,1,IF(I22=4,0.75,IF(I22=3,0.5,IF(I22=2,0.25,0))))*Scoring!$C$8</f>
        <v>0.5</v>
      </c>
      <c r="O22" s="16" t="n">
        <f aca="false">IF(J22="Yes",0,Scoring!$C$6)</f>
        <v>2</v>
      </c>
      <c r="P22" s="16" t="n">
        <f aca="false">IF(L22="Yes",0,Scoring!$C$7)</f>
        <v>0.5</v>
      </c>
      <c r="Q22" s="8" t="n">
        <f aca="false">ROUND(SUM(M22:P22),2)</f>
        <v>8.2</v>
      </c>
      <c r="R22" s="8" t="str">
        <f aca="false">IF(Q22&gt;=Scoring!$C$10-0.000001,"Keep","Remove")</f>
        <v>Keep</v>
      </c>
      <c r="S22" s="8" t="s">
        <v>166</v>
      </c>
    </row>
    <row r="23" customFormat="false" ht="15" hidden="false" customHeight="false" outlineLevel="0" collapsed="false">
      <c r="A23" s="8" t="s">
        <v>398</v>
      </c>
      <c r="B23" s="8" t="s">
        <v>399</v>
      </c>
      <c r="C23" s="8" t="s">
        <v>178</v>
      </c>
      <c r="D23" s="8" t="s">
        <v>206</v>
      </c>
      <c r="E23" s="8" t="s">
        <v>108</v>
      </c>
      <c r="F23" s="8" t="s">
        <v>78</v>
      </c>
      <c r="G23" s="8" t="n">
        <v>1</v>
      </c>
      <c r="H23" s="13" t="n">
        <v>4</v>
      </c>
      <c r="I23" s="8" t="n">
        <v>5</v>
      </c>
      <c r="J23" s="20" t="s">
        <v>259</v>
      </c>
      <c r="K23" s="8"/>
      <c r="L23" s="20" t="s">
        <v>259</v>
      </c>
      <c r="M23" s="16" t="n">
        <f aca="false">H23*Scoring!$C$5</f>
        <v>5.2</v>
      </c>
      <c r="N23" s="16" t="n">
        <f aca="false">IF(I23&gt;=5,1,IF(I23=4,0.75,IF(I23=3,0.5,IF(I23=2,0.25,0))))*Scoring!$C$8</f>
        <v>1</v>
      </c>
      <c r="O23" s="16" t="n">
        <f aca="false">IF(J23="Yes",0,Scoring!$C$6)</f>
        <v>2</v>
      </c>
      <c r="P23" s="16" t="n">
        <f aca="false">IF(L23="Yes",0,Scoring!$C$7)</f>
        <v>0.5</v>
      </c>
      <c r="Q23" s="8" t="n">
        <f aca="false">ROUND(SUM(M23:P23),2)</f>
        <v>8.7</v>
      </c>
      <c r="R23" s="8" t="str">
        <f aca="false">IF(Q23&gt;=Scoring!$C$10-0.000001,"Keep","Remove")</f>
        <v>Keep</v>
      </c>
      <c r="S23" s="8" t="s">
        <v>166</v>
      </c>
    </row>
    <row r="24" customFormat="false" ht="15" hidden="false" customHeight="false" outlineLevel="0" collapsed="false">
      <c r="A24" s="8" t="s">
        <v>7241</v>
      </c>
      <c r="B24" s="8" t="s">
        <v>7242</v>
      </c>
      <c r="C24" s="8" t="s">
        <v>178</v>
      </c>
      <c r="D24" s="8" t="s">
        <v>206</v>
      </c>
      <c r="E24" s="8" t="s">
        <v>108</v>
      </c>
      <c r="F24" s="8" t="s">
        <v>78</v>
      </c>
      <c r="G24" s="8" t="n">
        <v>3</v>
      </c>
      <c r="H24" s="13" t="n">
        <v>2</v>
      </c>
      <c r="I24" s="8" t="n">
        <v>5</v>
      </c>
      <c r="J24" s="20" t="s">
        <v>259</v>
      </c>
      <c r="K24" s="8"/>
      <c r="L24" s="20" t="s">
        <v>259</v>
      </c>
      <c r="M24" s="16" t="n">
        <f aca="false">H24*Scoring!$C$5</f>
        <v>2.6</v>
      </c>
      <c r="N24" s="16" t="n">
        <f aca="false">IF(I24&gt;=5,1,IF(I24=4,0.75,IF(I24=3,0.5,IF(I24=2,0.25,0))))*Scoring!$C$8</f>
        <v>1</v>
      </c>
      <c r="O24" s="16" t="n">
        <f aca="false">IF(J24="Yes",0,Scoring!$C$6)</f>
        <v>2</v>
      </c>
      <c r="P24" s="16" t="n">
        <f aca="false">IF(L24="Yes",0,Scoring!$C$7)</f>
        <v>0.5</v>
      </c>
      <c r="Q24" s="8" t="n">
        <f aca="false">ROUND(SUM(M24:P24),2)</f>
        <v>6.1</v>
      </c>
      <c r="R24" s="8" t="str">
        <f aca="false">IF(Q24&gt;=Scoring!$C$10-0.000001,"Keep","Remove")</f>
        <v>Remove</v>
      </c>
      <c r="S24" s="8" t="s">
        <v>7243</v>
      </c>
    </row>
    <row r="25" customFormat="false" ht="15" hidden="false" customHeight="false" outlineLevel="0" collapsed="false">
      <c r="A25" s="8" t="s">
        <v>409</v>
      </c>
      <c r="B25" s="8" t="s">
        <v>410</v>
      </c>
      <c r="C25" s="8" t="s">
        <v>178</v>
      </c>
      <c r="D25" s="8" t="s">
        <v>206</v>
      </c>
      <c r="E25" s="8" t="s">
        <v>108</v>
      </c>
      <c r="F25" s="8" t="s">
        <v>81</v>
      </c>
      <c r="G25" s="8" t="n">
        <v>1</v>
      </c>
      <c r="H25" s="13" t="n">
        <v>5</v>
      </c>
      <c r="I25" s="8" t="n">
        <v>5</v>
      </c>
      <c r="J25" s="20" t="s">
        <v>259</v>
      </c>
      <c r="K25" s="8"/>
      <c r="L25" s="20" t="s">
        <v>259</v>
      </c>
      <c r="M25" s="16" t="n">
        <f aca="false">H25*Scoring!$C$5</f>
        <v>6.5</v>
      </c>
      <c r="N25" s="16" t="n">
        <f aca="false">IF(I25&gt;=5,1,IF(I25=4,0.75,IF(I25=3,0.5,IF(I25=2,0.25,0))))*Scoring!$C$8</f>
        <v>1</v>
      </c>
      <c r="O25" s="16" t="n">
        <f aca="false">IF(J25="Yes",0,Scoring!$C$6)</f>
        <v>2</v>
      </c>
      <c r="P25" s="16" t="n">
        <f aca="false">IF(L25="Yes",0,Scoring!$C$7)</f>
        <v>0.5</v>
      </c>
      <c r="Q25" s="8" t="n">
        <f aca="false">ROUND(SUM(M25:P25),2)</f>
        <v>10</v>
      </c>
      <c r="R25" s="8" t="str">
        <f aca="false">IF(Q25&gt;=Scoring!$C$10-0.000001,"Keep","Remove")</f>
        <v>Keep</v>
      </c>
      <c r="S25" s="8" t="s">
        <v>166</v>
      </c>
    </row>
    <row r="26" customFormat="false" ht="15" hidden="false" customHeight="false" outlineLevel="0" collapsed="false">
      <c r="A26" s="8" t="s">
        <v>420</v>
      </c>
      <c r="B26" s="8" t="s">
        <v>421</v>
      </c>
      <c r="C26" s="8" t="s">
        <v>178</v>
      </c>
      <c r="D26" s="8" t="s">
        <v>206</v>
      </c>
      <c r="E26" s="8" t="s">
        <v>108</v>
      </c>
      <c r="F26" s="8" t="s">
        <v>81</v>
      </c>
      <c r="G26" s="8" t="n">
        <v>1</v>
      </c>
      <c r="H26" s="13" t="n">
        <v>4</v>
      </c>
      <c r="I26" s="8" t="n">
        <v>6</v>
      </c>
      <c r="J26" s="20" t="s">
        <v>259</v>
      </c>
      <c r="K26" s="8"/>
      <c r="L26" s="20" t="s">
        <v>259</v>
      </c>
      <c r="M26" s="16" t="n">
        <f aca="false">H26*Scoring!$C$5</f>
        <v>5.2</v>
      </c>
      <c r="N26" s="16" t="n">
        <f aca="false">IF(I26&gt;=5,1,IF(I26=4,0.75,IF(I26=3,0.5,IF(I26=2,0.25,0))))*Scoring!$C$8</f>
        <v>1</v>
      </c>
      <c r="O26" s="16" t="n">
        <f aca="false">IF(J26="Yes",0,Scoring!$C$6)</f>
        <v>2</v>
      </c>
      <c r="P26" s="16" t="n">
        <f aca="false">IF(L26="Yes",0,Scoring!$C$7)</f>
        <v>0.5</v>
      </c>
      <c r="Q26" s="8" t="n">
        <f aca="false">ROUND(SUM(M26:P26),2)</f>
        <v>8.7</v>
      </c>
      <c r="R26" s="8" t="str">
        <f aca="false">IF(Q26&gt;=Scoring!$C$10-0.000001,"Keep","Remove")</f>
        <v>Keep</v>
      </c>
      <c r="S26" s="8" t="s">
        <v>166</v>
      </c>
    </row>
    <row r="27" customFormat="false" ht="15" hidden="false" customHeight="false" outlineLevel="0" collapsed="false">
      <c r="A27" s="8" t="s">
        <v>430</v>
      </c>
      <c r="B27" s="8" t="s">
        <v>431</v>
      </c>
      <c r="C27" s="8" t="s">
        <v>178</v>
      </c>
      <c r="D27" s="8" t="s">
        <v>206</v>
      </c>
      <c r="E27" s="8" t="s">
        <v>108</v>
      </c>
      <c r="F27" s="8" t="s">
        <v>81</v>
      </c>
      <c r="G27" s="8" t="n">
        <v>1</v>
      </c>
      <c r="H27" s="13" t="n">
        <v>4</v>
      </c>
      <c r="I27" s="8" t="n">
        <v>5</v>
      </c>
      <c r="J27" s="20" t="s">
        <v>259</v>
      </c>
      <c r="K27" s="8"/>
      <c r="L27" s="20" t="s">
        <v>259</v>
      </c>
      <c r="M27" s="16" t="n">
        <f aca="false">H27*Scoring!$C$5</f>
        <v>5.2</v>
      </c>
      <c r="N27" s="16" t="n">
        <f aca="false">IF(I27&gt;=5,1,IF(I27=4,0.75,IF(I27=3,0.5,IF(I27=2,0.25,0))))*Scoring!$C$8</f>
        <v>1</v>
      </c>
      <c r="O27" s="16" t="n">
        <f aca="false">IF(J27="Yes",0,Scoring!$C$6)</f>
        <v>2</v>
      </c>
      <c r="P27" s="16" t="n">
        <f aca="false">IF(L27="Yes",0,Scoring!$C$7)</f>
        <v>0.5</v>
      </c>
      <c r="Q27" s="8" t="n">
        <f aca="false">ROUND(SUM(M27:P27),2)</f>
        <v>8.7</v>
      </c>
      <c r="R27" s="8" t="str">
        <f aca="false">IF(Q27&gt;=Scoring!$C$10-0.000001,"Keep","Remove")</f>
        <v>Keep</v>
      </c>
      <c r="S27" s="8" t="s">
        <v>166</v>
      </c>
    </row>
    <row r="28" customFormat="false" ht="15" hidden="false" customHeight="false" outlineLevel="0" collapsed="false">
      <c r="A28" s="8" t="s">
        <v>7244</v>
      </c>
      <c r="B28" s="8" t="s">
        <v>7245</v>
      </c>
      <c r="C28" s="8" t="s">
        <v>178</v>
      </c>
      <c r="D28" s="8" t="s">
        <v>206</v>
      </c>
      <c r="E28" s="8" t="s">
        <v>108</v>
      </c>
      <c r="F28" s="8" t="s">
        <v>81</v>
      </c>
      <c r="G28" s="8" t="n">
        <v>3</v>
      </c>
      <c r="H28" s="13" t="n">
        <v>2</v>
      </c>
      <c r="I28" s="8" t="n">
        <v>5</v>
      </c>
      <c r="J28" s="20" t="s">
        <v>259</v>
      </c>
      <c r="K28" s="8"/>
      <c r="L28" s="20" t="s">
        <v>259</v>
      </c>
      <c r="M28" s="16" t="n">
        <f aca="false">H28*Scoring!$C$5</f>
        <v>2.6</v>
      </c>
      <c r="N28" s="16" t="n">
        <f aca="false">IF(I28&gt;=5,1,IF(I28=4,0.75,IF(I28=3,0.5,IF(I28=2,0.25,0))))*Scoring!$C$8</f>
        <v>1</v>
      </c>
      <c r="O28" s="16" t="n">
        <f aca="false">IF(J28="Yes",0,Scoring!$C$6)</f>
        <v>2</v>
      </c>
      <c r="P28" s="16" t="n">
        <f aca="false">IF(L28="Yes",0,Scoring!$C$7)</f>
        <v>0.5</v>
      </c>
      <c r="Q28" s="8" t="n">
        <f aca="false">ROUND(SUM(M28:P28),2)</f>
        <v>6.1</v>
      </c>
      <c r="R28" s="8" t="str">
        <f aca="false">IF(Q28&gt;=Scoring!$C$10-0.000001,"Keep","Remove")</f>
        <v>Remove</v>
      </c>
      <c r="S28" s="8" t="s">
        <v>7243</v>
      </c>
    </row>
    <row r="29" customFormat="false" ht="15" hidden="false" customHeight="false" outlineLevel="0" collapsed="false">
      <c r="A29" s="8" t="s">
        <v>7430</v>
      </c>
      <c r="B29" s="8" t="s">
        <v>7431</v>
      </c>
      <c r="C29" s="8" t="s">
        <v>178</v>
      </c>
      <c r="D29" s="8" t="s">
        <v>206</v>
      </c>
      <c r="E29" s="8" t="s">
        <v>108</v>
      </c>
      <c r="F29" s="8" t="s">
        <v>84</v>
      </c>
      <c r="G29" s="8" t="n">
        <v>3</v>
      </c>
      <c r="H29" s="13" t="n">
        <v>2</v>
      </c>
      <c r="I29" s="8" t="n">
        <v>4</v>
      </c>
      <c r="J29" s="20" t="s">
        <v>259</v>
      </c>
      <c r="K29" s="8"/>
      <c r="L29" s="20" t="s">
        <v>259</v>
      </c>
      <c r="M29" s="16" t="n">
        <f aca="false">H29*Scoring!$C$5</f>
        <v>2.6</v>
      </c>
      <c r="N29" s="16" t="n">
        <f aca="false">IF(I29&gt;=5,1,IF(I29=4,0.75,IF(I29=3,0.5,IF(I29=2,0.25,0))))*Scoring!$C$8</f>
        <v>0.75</v>
      </c>
      <c r="O29" s="16" t="n">
        <f aca="false">IF(J29="Yes",0,Scoring!$C$6)</f>
        <v>2</v>
      </c>
      <c r="P29" s="16" t="n">
        <f aca="false">IF(L29="Yes",0,Scoring!$C$7)</f>
        <v>0.5</v>
      </c>
      <c r="Q29" s="8" t="n">
        <f aca="false">ROUND(SUM(M29:P29),2)</f>
        <v>5.85</v>
      </c>
      <c r="R29" s="8" t="str">
        <f aca="false">IF(Q29&gt;=Scoring!$C$10-0.000001,"Keep","Remove")</f>
        <v>Remove</v>
      </c>
      <c r="S29" s="8" t="s">
        <v>7243</v>
      </c>
    </row>
    <row r="30" customFormat="false" ht="15" hidden="false" customHeight="false" outlineLevel="0" collapsed="false">
      <c r="A30" s="8" t="s">
        <v>440</v>
      </c>
      <c r="B30" s="8" t="s">
        <v>441</v>
      </c>
      <c r="C30" s="8" t="s">
        <v>178</v>
      </c>
      <c r="D30" s="8" t="s">
        <v>206</v>
      </c>
      <c r="E30" s="8" t="s">
        <v>108</v>
      </c>
      <c r="F30" s="8" t="s">
        <v>81</v>
      </c>
      <c r="G30" s="8" t="n">
        <v>2</v>
      </c>
      <c r="H30" s="13" t="n">
        <v>3</v>
      </c>
      <c r="I30" s="8" t="n">
        <v>4</v>
      </c>
      <c r="J30" s="20" t="s">
        <v>259</v>
      </c>
      <c r="K30" s="8"/>
      <c r="L30" s="20" t="s">
        <v>259</v>
      </c>
      <c r="M30" s="16" t="n">
        <f aca="false">H30*Scoring!$C$5</f>
        <v>3.9</v>
      </c>
      <c r="N30" s="16" t="n">
        <f aca="false">IF(I30&gt;=5,1,IF(I30=4,0.75,IF(I30=3,0.5,IF(I30=2,0.25,0))))*Scoring!$C$8</f>
        <v>0.75</v>
      </c>
      <c r="O30" s="16" t="n">
        <f aca="false">IF(J30="Yes",0,Scoring!$C$6)</f>
        <v>2</v>
      </c>
      <c r="P30" s="16" t="n">
        <f aca="false">IF(L30="Yes",0,Scoring!$C$7)</f>
        <v>0.5</v>
      </c>
      <c r="Q30" s="8" t="n">
        <f aca="false">ROUND(SUM(M30:P30),2)</f>
        <v>7.15</v>
      </c>
      <c r="R30" s="8" t="str">
        <f aca="false">IF(Q30&gt;=Scoring!$C$10-0.000001,"Keep","Remove")</f>
        <v>Keep</v>
      </c>
      <c r="S30" s="8" t="s">
        <v>166</v>
      </c>
    </row>
    <row r="31" customFormat="false" ht="15" hidden="false" customHeight="false" outlineLevel="0" collapsed="false">
      <c r="A31" s="8" t="s">
        <v>7638</v>
      </c>
      <c r="B31" s="8" t="s">
        <v>7639</v>
      </c>
      <c r="C31" s="8" t="s">
        <v>178</v>
      </c>
      <c r="D31" s="8" t="s">
        <v>206</v>
      </c>
      <c r="E31" s="8" t="s">
        <v>108</v>
      </c>
      <c r="F31" s="8" t="s">
        <v>82</v>
      </c>
      <c r="G31" s="8" t="n">
        <v>3</v>
      </c>
      <c r="H31" s="13" t="n">
        <v>2</v>
      </c>
      <c r="I31" s="8" t="n">
        <v>3</v>
      </c>
      <c r="J31" s="20" t="s">
        <v>259</v>
      </c>
      <c r="K31" s="8"/>
      <c r="L31" s="20" t="s">
        <v>259</v>
      </c>
      <c r="M31" s="16" t="n">
        <f aca="false">H31*Scoring!$C$5</f>
        <v>2.6</v>
      </c>
      <c r="N31" s="16" t="n">
        <f aca="false">IF(I31&gt;=5,1,IF(I31=4,0.75,IF(I31=3,0.5,IF(I31=2,0.25,0))))*Scoring!$C$8</f>
        <v>0.5</v>
      </c>
      <c r="O31" s="16" t="n">
        <f aca="false">IF(J31="Yes",0,Scoring!$C$6)</f>
        <v>2</v>
      </c>
      <c r="P31" s="16" t="n">
        <f aca="false">IF(L31="Yes",0,Scoring!$C$7)</f>
        <v>0.5</v>
      </c>
      <c r="Q31" s="8" t="n">
        <f aca="false">ROUND(SUM(M31:P31),2)</f>
        <v>5.6</v>
      </c>
      <c r="R31" s="8" t="str">
        <f aca="false">IF(Q31&gt;=Scoring!$C$10-0.000001,"Keep","Remove")</f>
        <v>Remove</v>
      </c>
      <c r="S31" s="8" t="s">
        <v>7243</v>
      </c>
    </row>
    <row r="32" customFormat="false" ht="15" hidden="false" customHeight="false" outlineLevel="0" collapsed="false">
      <c r="A32" s="8" t="s">
        <v>450</v>
      </c>
      <c r="B32" s="8" t="s">
        <v>451</v>
      </c>
      <c r="C32" s="8" t="s">
        <v>178</v>
      </c>
      <c r="D32" s="8" t="s">
        <v>206</v>
      </c>
      <c r="E32" s="8" t="s">
        <v>108</v>
      </c>
      <c r="F32" s="8" t="s">
        <v>84</v>
      </c>
      <c r="G32" s="8" t="n">
        <v>1</v>
      </c>
      <c r="H32" s="13" t="n">
        <v>5</v>
      </c>
      <c r="I32" s="8" t="n">
        <v>2</v>
      </c>
      <c r="J32" s="20" t="s">
        <v>259</v>
      </c>
      <c r="K32" s="8"/>
      <c r="L32" s="20" t="s">
        <v>259</v>
      </c>
      <c r="M32" s="16" t="n">
        <f aca="false">H32*Scoring!$C$5</f>
        <v>6.5</v>
      </c>
      <c r="N32" s="16" t="n">
        <f aca="false">IF(I32&gt;=5,1,IF(I32=4,0.75,IF(I32=3,0.5,IF(I32=2,0.25,0))))*Scoring!$C$8</f>
        <v>0.25</v>
      </c>
      <c r="O32" s="16" t="n">
        <f aca="false">IF(J32="Yes",0,Scoring!$C$6)</f>
        <v>2</v>
      </c>
      <c r="P32" s="16" t="n">
        <f aca="false">IF(L32="Yes",0,Scoring!$C$7)</f>
        <v>0.5</v>
      </c>
      <c r="Q32" s="8" t="n">
        <f aca="false">ROUND(SUM(M32:P32),2)</f>
        <v>9.25</v>
      </c>
      <c r="R32" s="8" t="str">
        <f aca="false">IF(Q32&gt;=Scoring!$C$10-0.000001,"Keep","Remove")</f>
        <v>Keep</v>
      </c>
      <c r="S32" s="8" t="s">
        <v>166</v>
      </c>
    </row>
    <row r="33" customFormat="false" ht="15" hidden="false" customHeight="false" outlineLevel="0" collapsed="false">
      <c r="A33" s="8" t="s">
        <v>461</v>
      </c>
      <c r="B33" s="8" t="s">
        <v>462</v>
      </c>
      <c r="C33" s="8" t="s">
        <v>178</v>
      </c>
      <c r="D33" s="8" t="s">
        <v>206</v>
      </c>
      <c r="E33" s="8" t="s">
        <v>112</v>
      </c>
      <c r="F33" s="8" t="s">
        <v>84</v>
      </c>
      <c r="G33" s="8" t="n">
        <v>2</v>
      </c>
      <c r="H33" s="13" t="n">
        <v>3</v>
      </c>
      <c r="I33" s="8" t="n">
        <v>4</v>
      </c>
      <c r="J33" s="20" t="s">
        <v>259</v>
      </c>
      <c r="K33" s="8"/>
      <c r="L33" s="20" t="s">
        <v>259</v>
      </c>
      <c r="M33" s="16" t="n">
        <f aca="false">H33*Scoring!$C$5</f>
        <v>3.9</v>
      </c>
      <c r="N33" s="16" t="n">
        <f aca="false">IF(I33&gt;=5,1,IF(I33=4,0.75,IF(I33=3,0.5,IF(I33=2,0.25,0))))*Scoring!$C$8</f>
        <v>0.75</v>
      </c>
      <c r="O33" s="16" t="n">
        <f aca="false">IF(J33="Yes",0,Scoring!$C$6)</f>
        <v>2</v>
      </c>
      <c r="P33" s="16" t="n">
        <f aca="false">IF(L33="Yes",0,Scoring!$C$7)</f>
        <v>0.5</v>
      </c>
      <c r="Q33" s="8" t="n">
        <f aca="false">ROUND(SUM(M33:P33),2)</f>
        <v>7.15</v>
      </c>
      <c r="R33" s="8" t="str">
        <f aca="false">IF(Q33&gt;=Scoring!$C$10-0.000001,"Keep","Remove")</f>
        <v>Keep</v>
      </c>
      <c r="S33" s="8" t="s">
        <v>166</v>
      </c>
    </row>
    <row r="34" customFormat="false" ht="15" hidden="false" customHeight="false" outlineLevel="0" collapsed="false">
      <c r="A34" s="8" t="s">
        <v>473</v>
      </c>
      <c r="B34" s="8" t="s">
        <v>474</v>
      </c>
      <c r="C34" s="8" t="s">
        <v>178</v>
      </c>
      <c r="D34" s="8" t="s">
        <v>206</v>
      </c>
      <c r="E34" s="8" t="s">
        <v>115</v>
      </c>
      <c r="F34" s="8" t="s">
        <v>79</v>
      </c>
      <c r="G34" s="8" t="n">
        <v>1</v>
      </c>
      <c r="H34" s="13" t="n">
        <v>4</v>
      </c>
      <c r="I34" s="8" t="n">
        <v>4</v>
      </c>
      <c r="J34" s="20" t="s">
        <v>259</v>
      </c>
      <c r="K34" s="8"/>
      <c r="L34" s="20" t="s">
        <v>259</v>
      </c>
      <c r="M34" s="16" t="n">
        <f aca="false">H34*Scoring!$C$5</f>
        <v>5.2</v>
      </c>
      <c r="N34" s="16" t="n">
        <f aca="false">IF(I34&gt;=5,1,IF(I34=4,0.75,IF(I34=3,0.5,IF(I34=2,0.25,0))))*Scoring!$C$8</f>
        <v>0.75</v>
      </c>
      <c r="O34" s="16" t="n">
        <f aca="false">IF(J34="Yes",0,Scoring!$C$6)</f>
        <v>2</v>
      </c>
      <c r="P34" s="16" t="n">
        <f aca="false">IF(L34="Yes",0,Scoring!$C$7)</f>
        <v>0.5</v>
      </c>
      <c r="Q34" s="8" t="n">
        <f aca="false">ROUND(SUM(M34:P34),2)</f>
        <v>8.45</v>
      </c>
      <c r="R34" s="8" t="str">
        <f aca="false">IF(Q34&gt;=Scoring!$C$10-0.000001,"Keep","Remove")</f>
        <v>Keep</v>
      </c>
      <c r="S34" s="8" t="s">
        <v>166</v>
      </c>
    </row>
    <row r="35" customFormat="false" ht="15" hidden="false" customHeight="false" outlineLevel="0" collapsed="false">
      <c r="A35" s="8" t="s">
        <v>484</v>
      </c>
      <c r="B35" s="8" t="s">
        <v>485</v>
      </c>
      <c r="C35" s="8" t="s">
        <v>178</v>
      </c>
      <c r="D35" s="8" t="s">
        <v>206</v>
      </c>
      <c r="E35" s="8" t="s">
        <v>112</v>
      </c>
      <c r="F35" s="8" t="s">
        <v>85</v>
      </c>
      <c r="G35" s="8" t="n">
        <v>1</v>
      </c>
      <c r="H35" s="13" t="n">
        <v>4</v>
      </c>
      <c r="I35" s="8" t="n">
        <v>5</v>
      </c>
      <c r="J35" s="20" t="s">
        <v>259</v>
      </c>
      <c r="K35" s="8"/>
      <c r="L35" s="20" t="s">
        <v>259</v>
      </c>
      <c r="M35" s="16" t="n">
        <f aca="false">H35*Scoring!$C$5</f>
        <v>5.2</v>
      </c>
      <c r="N35" s="16" t="n">
        <f aca="false">IF(I35&gt;=5,1,IF(I35=4,0.75,IF(I35=3,0.5,IF(I35=2,0.25,0))))*Scoring!$C$8</f>
        <v>1</v>
      </c>
      <c r="O35" s="16" t="n">
        <f aca="false">IF(J35="Yes",0,Scoring!$C$6)</f>
        <v>2</v>
      </c>
      <c r="P35" s="16" t="n">
        <f aca="false">IF(L35="Yes",0,Scoring!$C$7)</f>
        <v>0.5</v>
      </c>
      <c r="Q35" s="8" t="n">
        <f aca="false">ROUND(SUM(M35:P35),2)</f>
        <v>8.7</v>
      </c>
      <c r="R35" s="8" t="str">
        <f aca="false">IF(Q35&gt;=Scoring!$C$10-0.000001,"Keep","Remove")</f>
        <v>Keep</v>
      </c>
      <c r="S35" s="8" t="s">
        <v>166</v>
      </c>
    </row>
    <row r="36" customFormat="false" ht="15" hidden="false" customHeight="false" outlineLevel="0" collapsed="false">
      <c r="A36" s="8" t="s">
        <v>495</v>
      </c>
      <c r="B36" s="8" t="s">
        <v>496</v>
      </c>
      <c r="C36" s="8" t="s">
        <v>178</v>
      </c>
      <c r="D36" s="8" t="s">
        <v>206</v>
      </c>
      <c r="E36" s="8" t="s">
        <v>112</v>
      </c>
      <c r="F36" s="8" t="s">
        <v>79</v>
      </c>
      <c r="G36" s="8" t="n">
        <v>1</v>
      </c>
      <c r="H36" s="13" t="n">
        <v>4</v>
      </c>
      <c r="I36" s="8" t="n">
        <v>5</v>
      </c>
      <c r="J36" s="20" t="s">
        <v>259</v>
      </c>
      <c r="K36" s="8"/>
      <c r="L36" s="20" t="s">
        <v>259</v>
      </c>
      <c r="M36" s="16" t="n">
        <f aca="false">H36*Scoring!$C$5</f>
        <v>5.2</v>
      </c>
      <c r="N36" s="16" t="n">
        <f aca="false">IF(I36&gt;=5,1,IF(I36=4,0.75,IF(I36=3,0.5,IF(I36=2,0.25,0))))*Scoring!$C$8</f>
        <v>1</v>
      </c>
      <c r="O36" s="16" t="n">
        <f aca="false">IF(J36="Yes",0,Scoring!$C$6)</f>
        <v>2</v>
      </c>
      <c r="P36" s="16" t="n">
        <f aca="false">IF(L36="Yes",0,Scoring!$C$7)</f>
        <v>0.5</v>
      </c>
      <c r="Q36" s="8" t="n">
        <f aca="false">ROUND(SUM(M36:P36),2)</f>
        <v>8.7</v>
      </c>
      <c r="R36" s="8" t="str">
        <f aca="false">IF(Q36&gt;=Scoring!$C$10-0.000001,"Keep","Remove")</f>
        <v>Keep</v>
      </c>
      <c r="S36" s="8" t="s">
        <v>166</v>
      </c>
    </row>
    <row r="37" customFormat="false" ht="15" hidden="false" customHeight="false" outlineLevel="0" collapsed="false">
      <c r="A37" s="8" t="s">
        <v>507</v>
      </c>
      <c r="B37" s="8" t="s">
        <v>508</v>
      </c>
      <c r="C37" s="8" t="s">
        <v>178</v>
      </c>
      <c r="D37" s="8" t="s">
        <v>206</v>
      </c>
      <c r="E37" s="8" t="s">
        <v>112</v>
      </c>
      <c r="F37" s="8" t="s">
        <v>79</v>
      </c>
      <c r="G37" s="8" t="n">
        <v>2</v>
      </c>
      <c r="H37" s="13" t="n">
        <v>3</v>
      </c>
      <c r="I37" s="8" t="n">
        <v>5</v>
      </c>
      <c r="J37" s="20" t="s">
        <v>259</v>
      </c>
      <c r="K37" s="8"/>
      <c r="L37" s="20" t="s">
        <v>259</v>
      </c>
      <c r="M37" s="16" t="n">
        <f aca="false">H37*Scoring!$C$5</f>
        <v>3.9</v>
      </c>
      <c r="N37" s="16" t="n">
        <f aca="false">IF(I37&gt;=5,1,IF(I37=4,0.75,IF(I37=3,0.5,IF(I37=2,0.25,0))))*Scoring!$C$8</f>
        <v>1</v>
      </c>
      <c r="O37" s="16" t="n">
        <f aca="false">IF(J37="Yes",0,Scoring!$C$6)</f>
        <v>2</v>
      </c>
      <c r="P37" s="16" t="n">
        <f aca="false">IF(L37="Yes",0,Scoring!$C$7)</f>
        <v>0.5</v>
      </c>
      <c r="Q37" s="8" t="n">
        <f aca="false">ROUND(SUM(M37:P37),2)</f>
        <v>7.4</v>
      </c>
      <c r="R37" s="8" t="str">
        <f aca="false">IF(Q37&gt;=Scoring!$C$10-0.000001,"Keep","Remove")</f>
        <v>Keep</v>
      </c>
      <c r="S37" s="8" t="s">
        <v>166</v>
      </c>
    </row>
    <row r="38" customFormat="false" ht="15" hidden="false" customHeight="false" outlineLevel="0" collapsed="false">
      <c r="A38" s="8" t="s">
        <v>7829</v>
      </c>
      <c r="B38" s="8" t="s">
        <v>7830</v>
      </c>
      <c r="C38" s="8" t="s">
        <v>178</v>
      </c>
      <c r="D38" s="8" t="s">
        <v>206</v>
      </c>
      <c r="E38" s="8" t="s">
        <v>112</v>
      </c>
      <c r="F38" s="8" t="s">
        <v>79</v>
      </c>
      <c r="G38" s="8" t="n">
        <v>2</v>
      </c>
      <c r="H38" s="13" t="n">
        <v>3</v>
      </c>
      <c r="I38" s="8" t="n">
        <v>3</v>
      </c>
      <c r="J38" s="20" t="s">
        <v>218</v>
      </c>
      <c r="K38" s="8" t="s">
        <v>8148</v>
      </c>
      <c r="L38" s="20" t="s">
        <v>259</v>
      </c>
      <c r="M38" s="16" t="n">
        <f aca="false">H38*Scoring!$C$5</f>
        <v>3.9</v>
      </c>
      <c r="N38" s="16" t="n">
        <f aca="false">IF(I38&gt;=5,1,IF(I38=4,0.75,IF(I38=3,0.5,IF(I38=2,0.25,0))))*Scoring!$C$8</f>
        <v>0.5</v>
      </c>
      <c r="O38" s="16" t="n">
        <f aca="false">IF(J38="Yes",0,Scoring!$C$6)</f>
        <v>0</v>
      </c>
      <c r="P38" s="16" t="n">
        <f aca="false">IF(L38="Yes",0,Scoring!$C$7)</f>
        <v>0.5</v>
      </c>
      <c r="Q38" s="8" t="n">
        <f aca="false">ROUND(SUM(M38:P38),2)</f>
        <v>4.9</v>
      </c>
      <c r="R38" s="8" t="str">
        <f aca="false">IF(Q38&gt;=Scoring!$C$10-0.000001,"Keep","Remove")</f>
        <v>Remove</v>
      </c>
      <c r="S38" s="8" t="s">
        <v>7831</v>
      </c>
    </row>
    <row r="39" customFormat="false" ht="15" hidden="false" customHeight="false" outlineLevel="0" collapsed="false">
      <c r="A39" s="8" t="s">
        <v>518</v>
      </c>
      <c r="B39" s="8" t="s">
        <v>519</v>
      </c>
      <c r="C39" s="8" t="s">
        <v>178</v>
      </c>
      <c r="D39" s="8" t="s">
        <v>206</v>
      </c>
      <c r="E39" s="8" t="s">
        <v>112</v>
      </c>
      <c r="F39" s="8" t="s">
        <v>78</v>
      </c>
      <c r="G39" s="8" t="n">
        <v>1</v>
      </c>
      <c r="H39" s="13" t="n">
        <v>4</v>
      </c>
      <c r="I39" s="8" t="n">
        <v>5</v>
      </c>
      <c r="J39" s="20" t="s">
        <v>259</v>
      </c>
      <c r="K39" s="8"/>
      <c r="L39" s="20" t="s">
        <v>259</v>
      </c>
      <c r="M39" s="16" t="n">
        <f aca="false">H39*Scoring!$C$5</f>
        <v>5.2</v>
      </c>
      <c r="N39" s="16" t="n">
        <f aca="false">IF(I39&gt;=5,1,IF(I39=4,0.75,IF(I39=3,0.5,IF(I39=2,0.25,0))))*Scoring!$C$8</f>
        <v>1</v>
      </c>
      <c r="O39" s="16" t="n">
        <f aca="false">IF(J39="Yes",0,Scoring!$C$6)</f>
        <v>2</v>
      </c>
      <c r="P39" s="16" t="n">
        <f aca="false">IF(L39="Yes",0,Scoring!$C$7)</f>
        <v>0.5</v>
      </c>
      <c r="Q39" s="8" t="n">
        <f aca="false">ROUND(SUM(M39:P39),2)</f>
        <v>8.7</v>
      </c>
      <c r="R39" s="8" t="str">
        <f aca="false">IF(Q39&gt;=Scoring!$C$10-0.000001,"Keep","Remove")</f>
        <v>Keep</v>
      </c>
      <c r="S39" s="8" t="s">
        <v>166</v>
      </c>
    </row>
    <row r="40" customFormat="false" ht="15" hidden="false" customHeight="false" outlineLevel="0" collapsed="false">
      <c r="A40" s="8" t="s">
        <v>7777</v>
      </c>
      <c r="B40" s="8" t="s">
        <v>7778</v>
      </c>
      <c r="C40" s="8" t="s">
        <v>178</v>
      </c>
      <c r="D40" s="8" t="s">
        <v>206</v>
      </c>
      <c r="E40" s="8" t="s">
        <v>112</v>
      </c>
      <c r="F40" s="8" t="s">
        <v>87</v>
      </c>
      <c r="G40" s="8" t="n">
        <v>2</v>
      </c>
      <c r="H40" s="13" t="n">
        <v>2</v>
      </c>
      <c r="I40" s="8" t="n">
        <v>2</v>
      </c>
      <c r="J40" s="20" t="s">
        <v>259</v>
      </c>
      <c r="K40" s="8"/>
      <c r="L40" s="20" t="s">
        <v>259</v>
      </c>
      <c r="M40" s="16" t="n">
        <f aca="false">H40*Scoring!$C$5</f>
        <v>2.6</v>
      </c>
      <c r="N40" s="16" t="n">
        <f aca="false">IF(I40&gt;=5,1,IF(I40=4,0.75,IF(I40=3,0.5,IF(I40=2,0.25,0))))*Scoring!$C$8</f>
        <v>0.25</v>
      </c>
      <c r="O40" s="16" t="n">
        <f aca="false">IF(J40="Yes",0,Scoring!$C$6)</f>
        <v>2</v>
      </c>
      <c r="P40" s="16" t="n">
        <f aca="false">IF(L40="Yes",0,Scoring!$C$7)</f>
        <v>0.5</v>
      </c>
      <c r="Q40" s="8" t="n">
        <f aca="false">ROUND(SUM(M40:P40),2)</f>
        <v>5.35</v>
      </c>
      <c r="R40" s="8" t="str">
        <f aca="false">IF(Q40&gt;=Scoring!$C$10-0.000001,"Keep","Remove")</f>
        <v>Remove</v>
      </c>
      <c r="S40" s="8" t="s">
        <v>7243</v>
      </c>
    </row>
    <row r="41" customFormat="false" ht="15" hidden="false" customHeight="false" outlineLevel="0" collapsed="false">
      <c r="A41" s="8" t="s">
        <v>529</v>
      </c>
      <c r="B41" s="8" t="s">
        <v>530</v>
      </c>
      <c r="C41" s="8" t="s">
        <v>178</v>
      </c>
      <c r="D41" s="8" t="s">
        <v>206</v>
      </c>
      <c r="E41" s="8" t="s">
        <v>112</v>
      </c>
      <c r="F41" s="8" t="s">
        <v>80</v>
      </c>
      <c r="G41" s="8" t="n">
        <v>1</v>
      </c>
      <c r="H41" s="13" t="n">
        <v>5</v>
      </c>
      <c r="I41" s="8" t="n">
        <v>5</v>
      </c>
      <c r="J41" s="20" t="s">
        <v>259</v>
      </c>
      <c r="K41" s="8"/>
      <c r="L41" s="20" t="s">
        <v>259</v>
      </c>
      <c r="M41" s="16" t="n">
        <f aca="false">H41*Scoring!$C$5</f>
        <v>6.5</v>
      </c>
      <c r="N41" s="16" t="n">
        <f aca="false">IF(I41&gt;=5,1,IF(I41=4,0.75,IF(I41=3,0.5,IF(I41=2,0.25,0))))*Scoring!$C$8</f>
        <v>1</v>
      </c>
      <c r="O41" s="16" t="n">
        <f aca="false">IF(J41="Yes",0,Scoring!$C$6)</f>
        <v>2</v>
      </c>
      <c r="P41" s="16" t="n">
        <f aca="false">IF(L41="Yes",0,Scoring!$C$7)</f>
        <v>0.5</v>
      </c>
      <c r="Q41" s="8" t="n">
        <f aca="false">ROUND(SUM(M41:P41),2)</f>
        <v>10</v>
      </c>
      <c r="R41" s="8" t="str">
        <f aca="false">IF(Q41&gt;=Scoring!$C$10-0.000001,"Keep","Remove")</f>
        <v>Keep</v>
      </c>
      <c r="S41" s="8" t="s">
        <v>166</v>
      </c>
    </row>
    <row r="42" customFormat="false" ht="15" hidden="false" customHeight="false" outlineLevel="0" collapsed="false">
      <c r="A42" s="8" t="s">
        <v>539</v>
      </c>
      <c r="B42" s="8" t="s">
        <v>540</v>
      </c>
      <c r="C42" s="8" t="s">
        <v>178</v>
      </c>
      <c r="D42" s="8" t="s">
        <v>206</v>
      </c>
      <c r="E42" s="8" t="s">
        <v>112</v>
      </c>
      <c r="F42" s="8" t="s">
        <v>82</v>
      </c>
      <c r="G42" s="8" t="n">
        <v>2</v>
      </c>
      <c r="H42" s="13" t="n">
        <v>3</v>
      </c>
      <c r="I42" s="8" t="n">
        <v>4</v>
      </c>
      <c r="J42" s="20" t="s">
        <v>259</v>
      </c>
      <c r="K42" s="8"/>
      <c r="L42" s="20" t="s">
        <v>259</v>
      </c>
      <c r="M42" s="16" t="n">
        <f aca="false">H42*Scoring!$C$5</f>
        <v>3.9</v>
      </c>
      <c r="N42" s="16" t="n">
        <f aca="false">IF(I42&gt;=5,1,IF(I42=4,0.75,IF(I42=3,0.5,IF(I42=2,0.25,0))))*Scoring!$C$8</f>
        <v>0.75</v>
      </c>
      <c r="O42" s="16" t="n">
        <f aca="false">IF(J42="Yes",0,Scoring!$C$6)</f>
        <v>2</v>
      </c>
      <c r="P42" s="16" t="n">
        <f aca="false">IF(L42="Yes",0,Scoring!$C$7)</f>
        <v>0.5</v>
      </c>
      <c r="Q42" s="8" t="n">
        <f aca="false">ROUND(SUM(M42:P42),2)</f>
        <v>7.15</v>
      </c>
      <c r="R42" s="8" t="str">
        <f aca="false">IF(Q42&gt;=Scoring!$C$10-0.000001,"Keep","Remove")</f>
        <v>Keep</v>
      </c>
      <c r="S42" s="8" t="s">
        <v>166</v>
      </c>
    </row>
    <row r="43" customFormat="false" ht="15" hidden="false" customHeight="false" outlineLevel="0" collapsed="false">
      <c r="A43" s="8" t="s">
        <v>550</v>
      </c>
      <c r="B43" s="8" t="s">
        <v>551</v>
      </c>
      <c r="C43" s="8" t="s">
        <v>178</v>
      </c>
      <c r="D43" s="8" t="s">
        <v>206</v>
      </c>
      <c r="E43" s="8" t="s">
        <v>112</v>
      </c>
      <c r="F43" s="8" t="s">
        <v>84</v>
      </c>
      <c r="G43" s="8" t="n">
        <v>2</v>
      </c>
      <c r="H43" s="13" t="n">
        <v>3</v>
      </c>
      <c r="I43" s="8" t="n">
        <v>4</v>
      </c>
      <c r="J43" s="20" t="s">
        <v>259</v>
      </c>
      <c r="K43" s="8"/>
      <c r="L43" s="20" t="s">
        <v>259</v>
      </c>
      <c r="M43" s="16" t="n">
        <f aca="false">H43*Scoring!$C$5</f>
        <v>3.9</v>
      </c>
      <c r="N43" s="16" t="n">
        <f aca="false">IF(I43&gt;=5,1,IF(I43=4,0.75,IF(I43=3,0.5,IF(I43=2,0.25,0))))*Scoring!$C$8</f>
        <v>0.75</v>
      </c>
      <c r="O43" s="16" t="n">
        <f aca="false">IF(J43="Yes",0,Scoring!$C$6)</f>
        <v>2</v>
      </c>
      <c r="P43" s="16" t="n">
        <f aca="false">IF(L43="Yes",0,Scoring!$C$7)</f>
        <v>0.5</v>
      </c>
      <c r="Q43" s="8" t="n">
        <f aca="false">ROUND(SUM(M43:P43),2)</f>
        <v>7.15</v>
      </c>
      <c r="R43" s="8" t="str">
        <f aca="false">IF(Q43&gt;=Scoring!$C$10-0.000001,"Keep","Remove")</f>
        <v>Keep</v>
      </c>
      <c r="S43" s="8" t="s">
        <v>166</v>
      </c>
    </row>
    <row r="44" customFormat="false" ht="15" hidden="false" customHeight="false" outlineLevel="0" collapsed="false">
      <c r="A44" s="8" t="s">
        <v>7432</v>
      </c>
      <c r="B44" s="8" t="s">
        <v>7433</v>
      </c>
      <c r="C44" s="8" t="s">
        <v>178</v>
      </c>
      <c r="D44" s="8" t="s">
        <v>206</v>
      </c>
      <c r="E44" s="8" t="s">
        <v>112</v>
      </c>
      <c r="F44" s="8" t="s">
        <v>84</v>
      </c>
      <c r="G44" s="8" t="n">
        <v>3</v>
      </c>
      <c r="H44" s="13" t="n">
        <v>2</v>
      </c>
      <c r="I44" s="8" t="n">
        <v>4</v>
      </c>
      <c r="J44" s="20" t="s">
        <v>259</v>
      </c>
      <c r="K44" s="8"/>
      <c r="L44" s="20" t="s">
        <v>259</v>
      </c>
      <c r="M44" s="16" t="n">
        <f aca="false">H44*Scoring!$C$5</f>
        <v>2.6</v>
      </c>
      <c r="N44" s="16" t="n">
        <f aca="false">IF(I44&gt;=5,1,IF(I44=4,0.75,IF(I44=3,0.5,IF(I44=2,0.25,0))))*Scoring!$C$8</f>
        <v>0.75</v>
      </c>
      <c r="O44" s="16" t="n">
        <f aca="false">IF(J44="Yes",0,Scoring!$C$6)</f>
        <v>2</v>
      </c>
      <c r="P44" s="16" t="n">
        <f aca="false">IF(L44="Yes",0,Scoring!$C$7)</f>
        <v>0.5</v>
      </c>
      <c r="Q44" s="8" t="n">
        <f aca="false">ROUND(SUM(M44:P44),2)</f>
        <v>5.85</v>
      </c>
      <c r="R44" s="8" t="str">
        <f aca="false">IF(Q44&gt;=Scoring!$C$10-0.000001,"Keep","Remove")</f>
        <v>Remove</v>
      </c>
      <c r="S44" s="8" t="s">
        <v>7243</v>
      </c>
    </row>
    <row r="45" customFormat="false" ht="15" hidden="false" customHeight="false" outlineLevel="0" collapsed="false">
      <c r="A45" s="8" t="s">
        <v>562</v>
      </c>
      <c r="B45" s="8" t="s">
        <v>563</v>
      </c>
      <c r="C45" s="8" t="s">
        <v>178</v>
      </c>
      <c r="D45" s="8" t="s">
        <v>206</v>
      </c>
      <c r="E45" s="8" t="s">
        <v>112</v>
      </c>
      <c r="F45" s="8" t="s">
        <v>79</v>
      </c>
      <c r="G45" s="8" t="n">
        <v>2</v>
      </c>
      <c r="H45" s="13" t="n">
        <v>4</v>
      </c>
      <c r="I45" s="8" t="n">
        <v>5</v>
      </c>
      <c r="J45" s="20" t="s">
        <v>259</v>
      </c>
      <c r="K45" s="8"/>
      <c r="L45" s="20" t="s">
        <v>259</v>
      </c>
      <c r="M45" s="16" t="n">
        <f aca="false">H45*Scoring!$C$5</f>
        <v>5.2</v>
      </c>
      <c r="N45" s="16" t="n">
        <f aca="false">IF(I45&gt;=5,1,IF(I45=4,0.75,IF(I45=3,0.5,IF(I45=2,0.25,0))))*Scoring!$C$8</f>
        <v>1</v>
      </c>
      <c r="O45" s="16" t="n">
        <f aca="false">IF(J45="Yes",0,Scoring!$C$6)</f>
        <v>2</v>
      </c>
      <c r="P45" s="16" t="n">
        <f aca="false">IF(L45="Yes",0,Scoring!$C$7)</f>
        <v>0.5</v>
      </c>
      <c r="Q45" s="8" t="n">
        <f aca="false">ROUND(SUM(M45:P45),2)</f>
        <v>8.7</v>
      </c>
      <c r="R45" s="8" t="str">
        <f aca="false">IF(Q45&gt;=Scoring!$C$10-0.000001,"Keep","Remove")</f>
        <v>Keep</v>
      </c>
      <c r="S45" s="8" t="s">
        <v>166</v>
      </c>
    </row>
    <row r="46" customFormat="false" ht="15" hidden="false" customHeight="false" outlineLevel="0" collapsed="false">
      <c r="A46" s="8" t="s">
        <v>7640</v>
      </c>
      <c r="B46" s="8" t="s">
        <v>7641</v>
      </c>
      <c r="C46" s="8" t="s">
        <v>178</v>
      </c>
      <c r="D46" s="8" t="s">
        <v>206</v>
      </c>
      <c r="E46" s="8" t="s">
        <v>112</v>
      </c>
      <c r="F46" s="8" t="s">
        <v>81</v>
      </c>
      <c r="G46" s="8" t="n">
        <v>3</v>
      </c>
      <c r="H46" s="13" t="n">
        <v>2</v>
      </c>
      <c r="I46" s="8" t="n">
        <v>3</v>
      </c>
      <c r="J46" s="20" t="s">
        <v>259</v>
      </c>
      <c r="K46" s="8"/>
      <c r="L46" s="20" t="s">
        <v>259</v>
      </c>
      <c r="M46" s="16" t="n">
        <f aca="false">H46*Scoring!$C$5</f>
        <v>2.6</v>
      </c>
      <c r="N46" s="16" t="n">
        <f aca="false">IF(I46&gt;=5,1,IF(I46=4,0.75,IF(I46=3,0.5,IF(I46=2,0.25,0))))*Scoring!$C$8</f>
        <v>0.5</v>
      </c>
      <c r="O46" s="16" t="n">
        <f aca="false">IF(J46="Yes",0,Scoring!$C$6)</f>
        <v>2</v>
      </c>
      <c r="P46" s="16" t="n">
        <f aca="false">IF(L46="Yes",0,Scoring!$C$7)</f>
        <v>0.5</v>
      </c>
      <c r="Q46" s="8" t="n">
        <f aca="false">ROUND(SUM(M46:P46),2)</f>
        <v>5.6</v>
      </c>
      <c r="R46" s="8" t="str">
        <f aca="false">IF(Q46&gt;=Scoring!$C$10-0.000001,"Keep","Remove")</f>
        <v>Remove</v>
      </c>
      <c r="S46" s="8" t="s">
        <v>7243</v>
      </c>
    </row>
    <row r="47" customFormat="false" ht="15" hidden="false" customHeight="false" outlineLevel="0" collapsed="false">
      <c r="A47" s="8" t="s">
        <v>572</v>
      </c>
      <c r="B47" s="8" t="s">
        <v>573</v>
      </c>
      <c r="C47" s="8" t="s">
        <v>178</v>
      </c>
      <c r="D47" s="8" t="s">
        <v>206</v>
      </c>
      <c r="E47" s="8" t="s">
        <v>118</v>
      </c>
      <c r="F47" s="8" t="s">
        <v>78</v>
      </c>
      <c r="G47" s="8" t="n">
        <v>1</v>
      </c>
      <c r="H47" s="13" t="n">
        <v>4</v>
      </c>
      <c r="I47" s="8" t="n">
        <v>5</v>
      </c>
      <c r="J47" s="20" t="s">
        <v>259</v>
      </c>
      <c r="K47" s="8"/>
      <c r="L47" s="20" t="s">
        <v>259</v>
      </c>
      <c r="M47" s="16" t="n">
        <f aca="false">H47*Scoring!$C$5</f>
        <v>5.2</v>
      </c>
      <c r="N47" s="16" t="n">
        <f aca="false">IF(I47&gt;=5,1,IF(I47=4,0.75,IF(I47=3,0.5,IF(I47=2,0.25,0))))*Scoring!$C$8</f>
        <v>1</v>
      </c>
      <c r="O47" s="16" t="n">
        <f aca="false">IF(J47="Yes",0,Scoring!$C$6)</f>
        <v>2</v>
      </c>
      <c r="P47" s="16" t="n">
        <f aca="false">IF(L47="Yes",0,Scoring!$C$7)</f>
        <v>0.5</v>
      </c>
      <c r="Q47" s="8" t="n">
        <f aca="false">ROUND(SUM(M47:P47),2)</f>
        <v>8.7</v>
      </c>
      <c r="R47" s="8" t="str">
        <f aca="false">IF(Q47&gt;=Scoring!$C$10-0.000001,"Keep","Remove")</f>
        <v>Keep</v>
      </c>
      <c r="S47" s="8" t="s">
        <v>166</v>
      </c>
    </row>
    <row r="48" customFormat="false" ht="15" hidden="false" customHeight="false" outlineLevel="0" collapsed="false">
      <c r="A48" s="8" t="s">
        <v>584</v>
      </c>
      <c r="B48" s="8" t="s">
        <v>585</v>
      </c>
      <c r="C48" s="8" t="s">
        <v>178</v>
      </c>
      <c r="D48" s="8" t="s">
        <v>206</v>
      </c>
      <c r="E48" s="8" t="s">
        <v>118</v>
      </c>
      <c r="F48" s="8" t="s">
        <v>84</v>
      </c>
      <c r="G48" s="8" t="n">
        <v>2</v>
      </c>
      <c r="H48" s="13" t="n">
        <v>3</v>
      </c>
      <c r="I48" s="8" t="n">
        <v>5</v>
      </c>
      <c r="J48" s="20" t="s">
        <v>259</v>
      </c>
      <c r="K48" s="8"/>
      <c r="L48" s="20" t="s">
        <v>259</v>
      </c>
      <c r="M48" s="16" t="n">
        <f aca="false">H48*Scoring!$C$5</f>
        <v>3.9</v>
      </c>
      <c r="N48" s="16" t="n">
        <f aca="false">IF(I48&gt;=5,1,IF(I48=4,0.75,IF(I48=3,0.5,IF(I48=2,0.25,0))))*Scoring!$C$8</f>
        <v>1</v>
      </c>
      <c r="O48" s="16" t="n">
        <f aca="false">IF(J48="Yes",0,Scoring!$C$6)</f>
        <v>2</v>
      </c>
      <c r="P48" s="16" t="n">
        <f aca="false">IF(L48="Yes",0,Scoring!$C$7)</f>
        <v>0.5</v>
      </c>
      <c r="Q48" s="8" t="n">
        <f aca="false">ROUND(SUM(M48:P48),2)</f>
        <v>7.4</v>
      </c>
      <c r="R48" s="8" t="str">
        <f aca="false">IF(Q48&gt;=Scoring!$C$10-0.000001,"Keep","Remove")</f>
        <v>Keep</v>
      </c>
      <c r="S48" s="8" t="s">
        <v>166</v>
      </c>
    </row>
    <row r="49" customFormat="false" ht="15" hidden="false" customHeight="false" outlineLevel="0" collapsed="false">
      <c r="A49" s="8" t="s">
        <v>7779</v>
      </c>
      <c r="B49" s="8" t="s">
        <v>7780</v>
      </c>
      <c r="C49" s="8" t="s">
        <v>178</v>
      </c>
      <c r="D49" s="8" t="s">
        <v>206</v>
      </c>
      <c r="E49" s="8" t="s">
        <v>118</v>
      </c>
      <c r="F49" s="8" t="s">
        <v>84</v>
      </c>
      <c r="G49" s="8" t="n">
        <v>3</v>
      </c>
      <c r="H49" s="13" t="n">
        <v>2</v>
      </c>
      <c r="I49" s="8" t="n">
        <v>2</v>
      </c>
      <c r="J49" s="20" t="s">
        <v>259</v>
      </c>
      <c r="K49" s="8"/>
      <c r="L49" s="20" t="s">
        <v>259</v>
      </c>
      <c r="M49" s="16" t="n">
        <f aca="false">H49*Scoring!$C$5</f>
        <v>2.6</v>
      </c>
      <c r="N49" s="16" t="n">
        <f aca="false">IF(I49&gt;=5,1,IF(I49=4,0.75,IF(I49=3,0.5,IF(I49=2,0.25,0))))*Scoring!$C$8</f>
        <v>0.25</v>
      </c>
      <c r="O49" s="16" t="n">
        <f aca="false">IF(J49="Yes",0,Scoring!$C$6)</f>
        <v>2</v>
      </c>
      <c r="P49" s="16" t="n">
        <f aca="false">IF(L49="Yes",0,Scoring!$C$7)</f>
        <v>0.5</v>
      </c>
      <c r="Q49" s="8" t="n">
        <f aca="false">ROUND(SUM(M49:P49),2)</f>
        <v>5.35</v>
      </c>
      <c r="R49" s="8" t="str">
        <f aca="false">IF(Q49&gt;=Scoring!$C$10-0.000001,"Keep","Remove")</f>
        <v>Remove</v>
      </c>
      <c r="S49" s="8" t="s">
        <v>7243</v>
      </c>
    </row>
    <row r="50" customFormat="false" ht="15" hidden="false" customHeight="false" outlineLevel="0" collapsed="false">
      <c r="A50" s="8" t="s">
        <v>7246</v>
      </c>
      <c r="B50" s="8" t="s">
        <v>7247</v>
      </c>
      <c r="C50" s="8" t="s">
        <v>178</v>
      </c>
      <c r="D50" s="8" t="s">
        <v>206</v>
      </c>
      <c r="E50" s="8" t="s">
        <v>118</v>
      </c>
      <c r="F50" s="8" t="s">
        <v>78</v>
      </c>
      <c r="G50" s="8" t="n">
        <v>3</v>
      </c>
      <c r="H50" s="13" t="n">
        <v>2</v>
      </c>
      <c r="I50" s="8" t="n">
        <v>5</v>
      </c>
      <c r="J50" s="20" t="s">
        <v>259</v>
      </c>
      <c r="K50" s="8"/>
      <c r="L50" s="20" t="s">
        <v>259</v>
      </c>
      <c r="M50" s="16" t="n">
        <f aca="false">H50*Scoring!$C$5</f>
        <v>2.6</v>
      </c>
      <c r="N50" s="16" t="n">
        <f aca="false">IF(I50&gt;=5,1,IF(I50=4,0.75,IF(I50=3,0.5,IF(I50=2,0.25,0))))*Scoring!$C$8</f>
        <v>1</v>
      </c>
      <c r="O50" s="16" t="n">
        <f aca="false">IF(J50="Yes",0,Scoring!$C$6)</f>
        <v>2</v>
      </c>
      <c r="P50" s="16" t="n">
        <f aca="false">IF(L50="Yes",0,Scoring!$C$7)</f>
        <v>0.5</v>
      </c>
      <c r="Q50" s="8" t="n">
        <f aca="false">ROUND(SUM(M50:P50),2)</f>
        <v>6.1</v>
      </c>
      <c r="R50" s="8" t="str">
        <f aca="false">IF(Q50&gt;=Scoring!$C$10-0.000001,"Keep","Remove")</f>
        <v>Remove</v>
      </c>
      <c r="S50" s="8" t="s">
        <v>7243</v>
      </c>
    </row>
    <row r="51" customFormat="false" ht="15" hidden="false" customHeight="false" outlineLevel="0" collapsed="false">
      <c r="A51" s="8" t="s">
        <v>597</v>
      </c>
      <c r="B51" s="8" t="s">
        <v>598</v>
      </c>
      <c r="C51" s="8" t="s">
        <v>178</v>
      </c>
      <c r="D51" s="8" t="s">
        <v>206</v>
      </c>
      <c r="E51" s="8" t="s">
        <v>115</v>
      </c>
      <c r="F51" s="8" t="s">
        <v>78</v>
      </c>
      <c r="G51" s="8" t="n">
        <v>1</v>
      </c>
      <c r="H51" s="13" t="n">
        <v>4</v>
      </c>
      <c r="I51" s="8" t="n">
        <v>2</v>
      </c>
      <c r="J51" s="20" t="s">
        <v>259</v>
      </c>
      <c r="K51" s="8"/>
      <c r="L51" s="20" t="s">
        <v>259</v>
      </c>
      <c r="M51" s="16" t="n">
        <f aca="false">H51*Scoring!$C$5</f>
        <v>5.2</v>
      </c>
      <c r="N51" s="16" t="n">
        <f aca="false">IF(I51&gt;=5,1,IF(I51=4,0.75,IF(I51=3,0.5,IF(I51=2,0.25,0))))*Scoring!$C$8</f>
        <v>0.25</v>
      </c>
      <c r="O51" s="16" t="n">
        <f aca="false">IF(J51="Yes",0,Scoring!$C$6)</f>
        <v>2</v>
      </c>
      <c r="P51" s="16" t="n">
        <f aca="false">IF(L51="Yes",0,Scoring!$C$7)</f>
        <v>0.5</v>
      </c>
      <c r="Q51" s="8" t="n">
        <f aca="false">ROUND(SUM(M51:P51),2)</f>
        <v>7.95</v>
      </c>
      <c r="R51" s="8" t="str">
        <f aca="false">IF(Q51&gt;=Scoring!$C$10-0.000001,"Keep","Remove")</f>
        <v>Keep</v>
      </c>
      <c r="S51" s="8" t="s">
        <v>166</v>
      </c>
    </row>
    <row r="52" customFormat="false" ht="15" hidden="false" customHeight="false" outlineLevel="0" collapsed="false">
      <c r="A52" s="8" t="s">
        <v>607</v>
      </c>
      <c r="B52" s="8" t="s">
        <v>608</v>
      </c>
      <c r="C52" s="8" t="s">
        <v>178</v>
      </c>
      <c r="D52" s="8" t="s">
        <v>206</v>
      </c>
      <c r="E52" s="8" t="s">
        <v>115</v>
      </c>
      <c r="F52" s="8" t="s">
        <v>78</v>
      </c>
      <c r="G52" s="8" t="n">
        <v>1</v>
      </c>
      <c r="H52" s="13" t="n">
        <v>4</v>
      </c>
      <c r="I52" s="8" t="n">
        <v>3</v>
      </c>
      <c r="J52" s="20" t="s">
        <v>259</v>
      </c>
      <c r="K52" s="8"/>
      <c r="L52" s="20" t="s">
        <v>259</v>
      </c>
      <c r="M52" s="16" t="n">
        <f aca="false">H52*Scoring!$C$5</f>
        <v>5.2</v>
      </c>
      <c r="N52" s="16" t="n">
        <f aca="false">IF(I52&gt;=5,1,IF(I52=4,0.75,IF(I52=3,0.5,IF(I52=2,0.25,0))))*Scoring!$C$8</f>
        <v>0.5</v>
      </c>
      <c r="O52" s="16" t="n">
        <f aca="false">IF(J52="Yes",0,Scoring!$C$6)</f>
        <v>2</v>
      </c>
      <c r="P52" s="16" t="n">
        <f aca="false">IF(L52="Yes",0,Scoring!$C$7)</f>
        <v>0.5</v>
      </c>
      <c r="Q52" s="8" t="n">
        <f aca="false">ROUND(SUM(M52:P52),2)</f>
        <v>8.2</v>
      </c>
      <c r="R52" s="8" t="str">
        <f aca="false">IF(Q52&gt;=Scoring!$C$10-0.000001,"Keep","Remove")</f>
        <v>Keep</v>
      </c>
      <c r="S52" s="8" t="s">
        <v>166</v>
      </c>
    </row>
    <row r="53" customFormat="false" ht="15" hidden="false" customHeight="false" outlineLevel="0" collapsed="false">
      <c r="A53" s="8" t="s">
        <v>616</v>
      </c>
      <c r="B53" s="8" t="s">
        <v>617</v>
      </c>
      <c r="C53" s="8" t="s">
        <v>178</v>
      </c>
      <c r="D53" s="8" t="s">
        <v>206</v>
      </c>
      <c r="E53" s="8" t="s">
        <v>115</v>
      </c>
      <c r="F53" s="8" t="s">
        <v>78</v>
      </c>
      <c r="G53" s="8" t="n">
        <v>1</v>
      </c>
      <c r="H53" s="13" t="n">
        <v>4</v>
      </c>
      <c r="I53" s="8" t="n">
        <v>4</v>
      </c>
      <c r="J53" s="20" t="s">
        <v>259</v>
      </c>
      <c r="K53" s="8"/>
      <c r="L53" s="20" t="s">
        <v>259</v>
      </c>
      <c r="M53" s="16" t="n">
        <f aca="false">H53*Scoring!$C$5</f>
        <v>5.2</v>
      </c>
      <c r="N53" s="16" t="n">
        <f aca="false">IF(I53&gt;=5,1,IF(I53=4,0.75,IF(I53=3,0.5,IF(I53=2,0.25,0))))*Scoring!$C$8</f>
        <v>0.75</v>
      </c>
      <c r="O53" s="16" t="n">
        <f aca="false">IF(J53="Yes",0,Scoring!$C$6)</f>
        <v>2</v>
      </c>
      <c r="P53" s="16" t="n">
        <f aca="false">IF(L53="Yes",0,Scoring!$C$7)</f>
        <v>0.5</v>
      </c>
      <c r="Q53" s="8" t="n">
        <f aca="false">ROUND(SUM(M53:P53),2)</f>
        <v>8.45</v>
      </c>
      <c r="R53" s="8" t="str">
        <f aca="false">IF(Q53&gt;=Scoring!$C$10-0.000001,"Keep","Remove")</f>
        <v>Keep</v>
      </c>
      <c r="S53" s="8" t="s">
        <v>166</v>
      </c>
    </row>
    <row r="54" customFormat="false" ht="15" hidden="false" customHeight="false" outlineLevel="0" collapsed="false">
      <c r="A54" s="8" t="s">
        <v>626</v>
      </c>
      <c r="B54" s="8" t="s">
        <v>627</v>
      </c>
      <c r="C54" s="8" t="s">
        <v>178</v>
      </c>
      <c r="D54" s="8" t="s">
        <v>206</v>
      </c>
      <c r="E54" s="8" t="s">
        <v>115</v>
      </c>
      <c r="F54" s="8" t="s">
        <v>86</v>
      </c>
      <c r="G54" s="8" t="n">
        <v>2</v>
      </c>
      <c r="H54" s="13" t="n">
        <v>3</v>
      </c>
      <c r="I54" s="8" t="n">
        <v>3</v>
      </c>
      <c r="J54" s="20" t="s">
        <v>259</v>
      </c>
      <c r="K54" s="8"/>
      <c r="L54" s="20" t="s">
        <v>259</v>
      </c>
      <c r="M54" s="16" t="n">
        <f aca="false">H54*Scoring!$C$5</f>
        <v>3.9</v>
      </c>
      <c r="N54" s="16" t="n">
        <f aca="false">IF(I54&gt;=5,1,IF(I54=4,0.75,IF(I54=3,0.5,IF(I54=2,0.25,0))))*Scoring!$C$8</f>
        <v>0.5</v>
      </c>
      <c r="O54" s="16" t="n">
        <f aca="false">IF(J54="Yes",0,Scoring!$C$6)</f>
        <v>2</v>
      </c>
      <c r="P54" s="16" t="n">
        <f aca="false">IF(L54="Yes",0,Scoring!$C$7)</f>
        <v>0.5</v>
      </c>
      <c r="Q54" s="8" t="n">
        <f aca="false">ROUND(SUM(M54:P54),2)</f>
        <v>6.9</v>
      </c>
      <c r="R54" s="8" t="str">
        <f aca="false">IF(Q54&gt;=Scoring!$C$10-0.000001,"Keep","Remove")</f>
        <v>Keep</v>
      </c>
      <c r="S54" s="8" t="s">
        <v>166</v>
      </c>
    </row>
    <row r="55" customFormat="false" ht="15" hidden="false" customHeight="false" outlineLevel="0" collapsed="false">
      <c r="A55" s="8" t="s">
        <v>637</v>
      </c>
      <c r="B55" s="8" t="s">
        <v>638</v>
      </c>
      <c r="C55" s="8" t="s">
        <v>178</v>
      </c>
      <c r="D55" s="8" t="s">
        <v>206</v>
      </c>
      <c r="E55" s="8" t="s">
        <v>115</v>
      </c>
      <c r="F55" s="8" t="s">
        <v>79</v>
      </c>
      <c r="G55" s="8" t="n">
        <v>1</v>
      </c>
      <c r="H55" s="13" t="n">
        <v>4</v>
      </c>
      <c r="I55" s="8" t="n">
        <v>4</v>
      </c>
      <c r="J55" s="20" t="s">
        <v>259</v>
      </c>
      <c r="K55" s="8"/>
      <c r="L55" s="20" t="s">
        <v>259</v>
      </c>
      <c r="M55" s="16" t="n">
        <f aca="false">H55*Scoring!$C$5</f>
        <v>5.2</v>
      </c>
      <c r="N55" s="16" t="n">
        <f aca="false">IF(I55&gt;=5,1,IF(I55=4,0.75,IF(I55=3,0.5,IF(I55=2,0.25,0))))*Scoring!$C$8</f>
        <v>0.75</v>
      </c>
      <c r="O55" s="16" t="n">
        <f aca="false">IF(J55="Yes",0,Scoring!$C$6)</f>
        <v>2</v>
      </c>
      <c r="P55" s="16" t="n">
        <f aca="false">IF(L55="Yes",0,Scoring!$C$7)</f>
        <v>0.5</v>
      </c>
      <c r="Q55" s="8" t="n">
        <f aca="false">ROUND(SUM(M55:P55),2)</f>
        <v>8.45</v>
      </c>
      <c r="R55" s="8" t="str">
        <f aca="false">IF(Q55&gt;=Scoring!$C$10-0.000001,"Keep","Remove")</f>
        <v>Keep</v>
      </c>
      <c r="S55" s="8" t="s">
        <v>166</v>
      </c>
    </row>
    <row r="56" customFormat="false" ht="15" hidden="false" customHeight="false" outlineLevel="0" collapsed="false">
      <c r="A56" s="8" t="s">
        <v>647</v>
      </c>
      <c r="B56" s="8" t="s">
        <v>648</v>
      </c>
      <c r="C56" s="8" t="s">
        <v>178</v>
      </c>
      <c r="D56" s="8" t="s">
        <v>206</v>
      </c>
      <c r="E56" s="8" t="s">
        <v>115</v>
      </c>
      <c r="F56" s="8" t="s">
        <v>79</v>
      </c>
      <c r="G56" s="8" t="n">
        <v>2</v>
      </c>
      <c r="H56" s="13" t="n">
        <v>3</v>
      </c>
      <c r="I56" s="8" t="n">
        <v>5</v>
      </c>
      <c r="J56" s="20" t="s">
        <v>259</v>
      </c>
      <c r="K56" s="8"/>
      <c r="L56" s="20" t="s">
        <v>259</v>
      </c>
      <c r="M56" s="16" t="n">
        <f aca="false">H56*Scoring!$C$5</f>
        <v>3.9</v>
      </c>
      <c r="N56" s="16" t="n">
        <f aca="false">IF(I56&gt;=5,1,IF(I56=4,0.75,IF(I56=3,0.5,IF(I56=2,0.25,0))))*Scoring!$C$8</f>
        <v>1</v>
      </c>
      <c r="O56" s="16" t="n">
        <f aca="false">IF(J56="Yes",0,Scoring!$C$6)</f>
        <v>2</v>
      </c>
      <c r="P56" s="16" t="n">
        <f aca="false">IF(L56="Yes",0,Scoring!$C$7)</f>
        <v>0.5</v>
      </c>
      <c r="Q56" s="8" t="n">
        <f aca="false">ROUND(SUM(M56:P56),2)</f>
        <v>7.4</v>
      </c>
      <c r="R56" s="8" t="str">
        <f aca="false">IF(Q56&gt;=Scoring!$C$10-0.000001,"Keep","Remove")</f>
        <v>Keep</v>
      </c>
      <c r="S56" s="8" t="s">
        <v>166</v>
      </c>
    </row>
    <row r="57" customFormat="false" ht="15" hidden="false" customHeight="false" outlineLevel="0" collapsed="false">
      <c r="A57" s="8" t="s">
        <v>656</v>
      </c>
      <c r="B57" s="8" t="s">
        <v>657</v>
      </c>
      <c r="C57" s="8" t="s">
        <v>178</v>
      </c>
      <c r="D57" s="8" t="s">
        <v>206</v>
      </c>
      <c r="E57" s="8" t="s">
        <v>115</v>
      </c>
      <c r="F57" s="8" t="s">
        <v>84</v>
      </c>
      <c r="G57" s="8" t="n">
        <v>2</v>
      </c>
      <c r="H57" s="13" t="n">
        <v>3</v>
      </c>
      <c r="I57" s="8" t="n">
        <v>3</v>
      </c>
      <c r="J57" s="20" t="s">
        <v>259</v>
      </c>
      <c r="K57" s="8"/>
      <c r="L57" s="20" t="s">
        <v>259</v>
      </c>
      <c r="M57" s="16" t="n">
        <f aca="false">H57*Scoring!$C$5</f>
        <v>3.9</v>
      </c>
      <c r="N57" s="16" t="n">
        <f aca="false">IF(I57&gt;=5,1,IF(I57=4,0.75,IF(I57=3,0.5,IF(I57=2,0.25,0))))*Scoring!$C$8</f>
        <v>0.5</v>
      </c>
      <c r="O57" s="16" t="n">
        <f aca="false">IF(J57="Yes",0,Scoring!$C$6)</f>
        <v>2</v>
      </c>
      <c r="P57" s="16" t="n">
        <f aca="false">IF(L57="Yes",0,Scoring!$C$7)</f>
        <v>0.5</v>
      </c>
      <c r="Q57" s="8" t="n">
        <f aca="false">ROUND(SUM(M57:P57),2)</f>
        <v>6.9</v>
      </c>
      <c r="R57" s="8" t="str">
        <f aca="false">IF(Q57&gt;=Scoring!$C$10-0.000001,"Keep","Remove")</f>
        <v>Keep</v>
      </c>
      <c r="S57" s="8" t="s">
        <v>166</v>
      </c>
    </row>
    <row r="58" customFormat="false" ht="15" hidden="false" customHeight="false" outlineLevel="0" collapsed="false">
      <c r="A58" s="8" t="s">
        <v>7642</v>
      </c>
      <c r="B58" s="8" t="s">
        <v>7643</v>
      </c>
      <c r="C58" s="8" t="s">
        <v>178</v>
      </c>
      <c r="D58" s="8" t="s">
        <v>206</v>
      </c>
      <c r="E58" s="8" t="s">
        <v>111</v>
      </c>
      <c r="F58" s="8" t="s">
        <v>84</v>
      </c>
      <c r="G58" s="8" t="n">
        <v>3</v>
      </c>
      <c r="H58" s="13" t="n">
        <v>2</v>
      </c>
      <c r="I58" s="8" t="n">
        <v>3</v>
      </c>
      <c r="J58" s="20" t="s">
        <v>259</v>
      </c>
      <c r="K58" s="8"/>
      <c r="L58" s="20" t="s">
        <v>259</v>
      </c>
      <c r="M58" s="16" t="n">
        <f aca="false">H58*Scoring!$C$5</f>
        <v>2.6</v>
      </c>
      <c r="N58" s="16" t="n">
        <f aca="false">IF(I58&gt;=5,1,IF(I58=4,0.75,IF(I58=3,0.5,IF(I58=2,0.25,0))))*Scoring!$C$8</f>
        <v>0.5</v>
      </c>
      <c r="O58" s="16" t="n">
        <f aca="false">IF(J58="Yes",0,Scoring!$C$6)</f>
        <v>2</v>
      </c>
      <c r="P58" s="16" t="n">
        <f aca="false">IF(L58="Yes",0,Scoring!$C$7)</f>
        <v>0.5</v>
      </c>
      <c r="Q58" s="8" t="n">
        <f aca="false">ROUND(SUM(M58:P58),2)</f>
        <v>5.6</v>
      </c>
      <c r="R58" s="8" t="str">
        <f aca="false">IF(Q58&gt;=Scoring!$C$10-0.000001,"Keep","Remove")</f>
        <v>Remove</v>
      </c>
      <c r="S58" s="8" t="s">
        <v>7243</v>
      </c>
    </row>
    <row r="59" customFormat="false" ht="15" hidden="false" customHeight="false" outlineLevel="0" collapsed="false">
      <c r="A59" s="8" t="s">
        <v>7239</v>
      </c>
      <c r="B59" s="8" t="s">
        <v>7240</v>
      </c>
      <c r="C59" s="8" t="s">
        <v>178</v>
      </c>
      <c r="D59" s="8" t="s">
        <v>206</v>
      </c>
      <c r="E59" s="8" t="s">
        <v>115</v>
      </c>
      <c r="F59" s="8" t="s">
        <v>87</v>
      </c>
      <c r="G59" s="8" t="n">
        <v>2</v>
      </c>
      <c r="H59" s="13" t="n">
        <v>3</v>
      </c>
      <c r="I59" s="8" t="n">
        <v>1</v>
      </c>
      <c r="J59" s="20" t="s">
        <v>259</v>
      </c>
      <c r="K59" s="8"/>
      <c r="L59" s="20" t="s">
        <v>259</v>
      </c>
      <c r="M59" s="16" t="n">
        <f aca="false">H59*Scoring!$C$5</f>
        <v>3.9</v>
      </c>
      <c r="N59" s="16" t="n">
        <f aca="false">IF(I59&gt;=5,1,IF(I59=4,0.75,IF(I59=3,0.5,IF(I59=2,0.25,0))))*Scoring!$C$8</f>
        <v>0</v>
      </c>
      <c r="O59" s="16" t="n">
        <f aca="false">IF(J59="Yes",0,Scoring!$C$6)</f>
        <v>2</v>
      </c>
      <c r="P59" s="16" t="n">
        <f aca="false">IF(L59="Yes",0,Scoring!$C$7)</f>
        <v>0.5</v>
      </c>
      <c r="Q59" s="8" t="n">
        <f aca="false">ROUND(SUM(M59:P59),2)</f>
        <v>6.4</v>
      </c>
      <c r="R59" s="8" t="str">
        <f aca="false">IF(Q59&gt;=Scoring!$C$10-0.000001,"Keep","Remove")</f>
        <v>Remove</v>
      </c>
      <c r="S59" s="8" t="s">
        <v>7236</v>
      </c>
    </row>
    <row r="60" customFormat="false" ht="15" hidden="false" customHeight="false" outlineLevel="0" collapsed="false">
      <c r="A60" s="8" t="s">
        <v>666</v>
      </c>
      <c r="B60" s="8" t="s">
        <v>667</v>
      </c>
      <c r="C60" s="8" t="s">
        <v>178</v>
      </c>
      <c r="D60" s="8" t="s">
        <v>206</v>
      </c>
      <c r="E60" s="8" t="s">
        <v>111</v>
      </c>
      <c r="F60" s="8" t="s">
        <v>79</v>
      </c>
      <c r="G60" s="8" t="n">
        <v>1</v>
      </c>
      <c r="H60" s="13" t="n">
        <v>5</v>
      </c>
      <c r="I60" s="8" t="n">
        <v>4</v>
      </c>
      <c r="J60" s="20" t="s">
        <v>259</v>
      </c>
      <c r="K60" s="8"/>
      <c r="L60" s="20" t="s">
        <v>259</v>
      </c>
      <c r="M60" s="16" t="n">
        <f aca="false">H60*Scoring!$C$5</f>
        <v>6.5</v>
      </c>
      <c r="N60" s="16" t="n">
        <f aca="false">IF(I60&gt;=5,1,IF(I60=4,0.75,IF(I60=3,0.5,IF(I60=2,0.25,0))))*Scoring!$C$8</f>
        <v>0.75</v>
      </c>
      <c r="O60" s="16" t="n">
        <f aca="false">IF(J60="Yes",0,Scoring!$C$6)</f>
        <v>2</v>
      </c>
      <c r="P60" s="16" t="n">
        <f aca="false">IF(L60="Yes",0,Scoring!$C$7)</f>
        <v>0.5</v>
      </c>
      <c r="Q60" s="8" t="n">
        <f aca="false">ROUND(SUM(M60:P60),2)</f>
        <v>9.75</v>
      </c>
      <c r="R60" s="8" t="str">
        <f aca="false">IF(Q60&gt;=Scoring!$C$10-0.000001,"Keep","Remove")</f>
        <v>Keep</v>
      </c>
      <c r="S60" s="8" t="s">
        <v>166</v>
      </c>
    </row>
    <row r="61" customFormat="false" ht="15" hidden="false" customHeight="false" outlineLevel="0" collapsed="false">
      <c r="A61" s="8" t="s">
        <v>676</v>
      </c>
      <c r="B61" s="8" t="s">
        <v>677</v>
      </c>
      <c r="C61" s="8" t="s">
        <v>178</v>
      </c>
      <c r="D61" s="8" t="s">
        <v>206</v>
      </c>
      <c r="E61" s="8" t="s">
        <v>111</v>
      </c>
      <c r="F61" s="8" t="s">
        <v>79</v>
      </c>
      <c r="G61" s="8" t="n">
        <v>1</v>
      </c>
      <c r="H61" s="13" t="n">
        <v>4</v>
      </c>
      <c r="I61" s="8" t="n">
        <v>5</v>
      </c>
      <c r="J61" s="20" t="s">
        <v>259</v>
      </c>
      <c r="K61" s="8"/>
      <c r="L61" s="20" t="s">
        <v>259</v>
      </c>
      <c r="M61" s="16" t="n">
        <f aca="false">H61*Scoring!$C$5</f>
        <v>5.2</v>
      </c>
      <c r="N61" s="16" t="n">
        <f aca="false">IF(I61&gt;=5,1,IF(I61=4,0.75,IF(I61=3,0.5,IF(I61=2,0.25,0))))*Scoring!$C$8</f>
        <v>1</v>
      </c>
      <c r="O61" s="16" t="n">
        <f aca="false">IF(J61="Yes",0,Scoring!$C$6)</f>
        <v>2</v>
      </c>
      <c r="P61" s="16" t="n">
        <f aca="false">IF(L61="Yes",0,Scoring!$C$7)</f>
        <v>0.5</v>
      </c>
      <c r="Q61" s="8" t="n">
        <f aca="false">ROUND(SUM(M61:P61),2)</f>
        <v>8.7</v>
      </c>
      <c r="R61" s="8" t="str">
        <f aca="false">IF(Q61&gt;=Scoring!$C$10-0.000001,"Keep","Remove")</f>
        <v>Keep</v>
      </c>
      <c r="S61" s="8" t="s">
        <v>166</v>
      </c>
    </row>
    <row r="62" customFormat="false" ht="15" hidden="false" customHeight="false" outlineLevel="0" collapsed="false">
      <c r="A62" s="8" t="s">
        <v>684</v>
      </c>
      <c r="B62" s="8" t="s">
        <v>685</v>
      </c>
      <c r="C62" s="8" t="s">
        <v>178</v>
      </c>
      <c r="D62" s="8" t="s">
        <v>206</v>
      </c>
      <c r="E62" s="8" t="s">
        <v>111</v>
      </c>
      <c r="F62" s="8" t="s">
        <v>87</v>
      </c>
      <c r="G62" s="8" t="n">
        <v>1</v>
      </c>
      <c r="H62" s="13" t="n">
        <v>4</v>
      </c>
      <c r="I62" s="8" t="n">
        <v>3</v>
      </c>
      <c r="J62" s="20" t="s">
        <v>259</v>
      </c>
      <c r="K62" s="8"/>
      <c r="L62" s="20" t="s">
        <v>259</v>
      </c>
      <c r="M62" s="16" t="n">
        <f aca="false">H62*Scoring!$C$5</f>
        <v>5.2</v>
      </c>
      <c r="N62" s="16" t="n">
        <f aca="false">IF(I62&gt;=5,1,IF(I62=4,0.75,IF(I62=3,0.5,IF(I62=2,0.25,0))))*Scoring!$C$8</f>
        <v>0.5</v>
      </c>
      <c r="O62" s="16" t="n">
        <f aca="false">IF(J62="Yes",0,Scoring!$C$6)</f>
        <v>2</v>
      </c>
      <c r="P62" s="16" t="n">
        <f aca="false">IF(L62="Yes",0,Scoring!$C$7)</f>
        <v>0.5</v>
      </c>
      <c r="Q62" s="8" t="n">
        <f aca="false">ROUND(SUM(M62:P62),2)</f>
        <v>8.2</v>
      </c>
      <c r="R62" s="8" t="str">
        <f aca="false">IF(Q62&gt;=Scoring!$C$10-0.000001,"Keep","Remove")</f>
        <v>Keep</v>
      </c>
      <c r="S62" s="8" t="s">
        <v>166</v>
      </c>
    </row>
    <row r="63" customFormat="false" ht="15" hidden="false" customHeight="false" outlineLevel="0" collapsed="false">
      <c r="A63" s="8" t="s">
        <v>696</v>
      </c>
      <c r="B63" s="8" t="s">
        <v>697</v>
      </c>
      <c r="C63" s="8" t="s">
        <v>178</v>
      </c>
      <c r="D63" s="8" t="s">
        <v>206</v>
      </c>
      <c r="E63" s="8" t="s">
        <v>111</v>
      </c>
      <c r="F63" s="8" t="s">
        <v>78</v>
      </c>
      <c r="G63" s="8" t="n">
        <v>1</v>
      </c>
      <c r="H63" s="13" t="n">
        <v>4</v>
      </c>
      <c r="I63" s="8" t="n">
        <v>6</v>
      </c>
      <c r="J63" s="20" t="s">
        <v>259</v>
      </c>
      <c r="K63" s="8"/>
      <c r="L63" s="20" t="s">
        <v>259</v>
      </c>
      <c r="M63" s="16" t="n">
        <f aca="false">H63*Scoring!$C$5</f>
        <v>5.2</v>
      </c>
      <c r="N63" s="16" t="n">
        <f aca="false">IF(I63&gt;=5,1,IF(I63=4,0.75,IF(I63=3,0.5,IF(I63=2,0.25,0))))*Scoring!$C$8</f>
        <v>1</v>
      </c>
      <c r="O63" s="16" t="n">
        <f aca="false">IF(J63="Yes",0,Scoring!$C$6)</f>
        <v>2</v>
      </c>
      <c r="P63" s="16" t="n">
        <f aca="false">IF(L63="Yes",0,Scoring!$C$7)</f>
        <v>0.5</v>
      </c>
      <c r="Q63" s="8" t="n">
        <f aca="false">ROUND(SUM(M63:P63),2)</f>
        <v>8.7</v>
      </c>
      <c r="R63" s="8" t="str">
        <f aca="false">IF(Q63&gt;=Scoring!$C$10-0.000001,"Keep","Remove")</f>
        <v>Keep</v>
      </c>
      <c r="S63" s="8" t="s">
        <v>166</v>
      </c>
    </row>
    <row r="64" customFormat="false" ht="15" hidden="false" customHeight="false" outlineLevel="0" collapsed="false">
      <c r="A64" s="8" t="s">
        <v>707</v>
      </c>
      <c r="B64" s="8" t="s">
        <v>708</v>
      </c>
      <c r="C64" s="8" t="s">
        <v>178</v>
      </c>
      <c r="D64" s="8" t="s">
        <v>206</v>
      </c>
      <c r="E64" s="8" t="s">
        <v>111</v>
      </c>
      <c r="F64" s="8" t="s">
        <v>82</v>
      </c>
      <c r="G64" s="8" t="n">
        <v>2</v>
      </c>
      <c r="H64" s="13" t="n">
        <v>3</v>
      </c>
      <c r="I64" s="8" t="n">
        <v>5</v>
      </c>
      <c r="J64" s="20" t="s">
        <v>259</v>
      </c>
      <c r="K64" s="8"/>
      <c r="L64" s="20" t="s">
        <v>259</v>
      </c>
      <c r="M64" s="16" t="n">
        <f aca="false">H64*Scoring!$C$5</f>
        <v>3.9</v>
      </c>
      <c r="N64" s="16" t="n">
        <f aca="false">IF(I64&gt;=5,1,IF(I64=4,0.75,IF(I64=3,0.5,IF(I64=2,0.25,0))))*Scoring!$C$8</f>
        <v>1</v>
      </c>
      <c r="O64" s="16" t="n">
        <f aca="false">IF(J64="Yes",0,Scoring!$C$6)</f>
        <v>2</v>
      </c>
      <c r="P64" s="16" t="n">
        <f aca="false">IF(L64="Yes",0,Scoring!$C$7)</f>
        <v>0.5</v>
      </c>
      <c r="Q64" s="8" t="n">
        <f aca="false">ROUND(SUM(M64:P64),2)</f>
        <v>7.4</v>
      </c>
      <c r="R64" s="8" t="str">
        <f aca="false">IF(Q64&gt;=Scoring!$C$10-0.000001,"Keep","Remove")</f>
        <v>Keep</v>
      </c>
      <c r="S64" s="8" t="s">
        <v>166</v>
      </c>
    </row>
    <row r="65" customFormat="false" ht="15" hidden="false" customHeight="false" outlineLevel="0" collapsed="false">
      <c r="A65" s="8" t="s">
        <v>718</v>
      </c>
      <c r="B65" s="8" t="s">
        <v>719</v>
      </c>
      <c r="C65" s="8" t="s">
        <v>178</v>
      </c>
      <c r="D65" s="8" t="s">
        <v>206</v>
      </c>
      <c r="E65" s="8" t="s">
        <v>111</v>
      </c>
      <c r="F65" s="8" t="s">
        <v>79</v>
      </c>
      <c r="G65" s="8" t="n">
        <v>2</v>
      </c>
      <c r="H65" s="13" t="n">
        <v>3</v>
      </c>
      <c r="I65" s="8" t="n">
        <v>5</v>
      </c>
      <c r="J65" s="20" t="s">
        <v>259</v>
      </c>
      <c r="K65" s="8"/>
      <c r="L65" s="20" t="s">
        <v>259</v>
      </c>
      <c r="M65" s="16" t="n">
        <f aca="false">H65*Scoring!$C$5</f>
        <v>3.9</v>
      </c>
      <c r="N65" s="16" t="n">
        <f aca="false">IF(I65&gt;=5,1,IF(I65=4,0.75,IF(I65=3,0.5,IF(I65=2,0.25,0))))*Scoring!$C$8</f>
        <v>1</v>
      </c>
      <c r="O65" s="16" t="n">
        <f aca="false">IF(J65="Yes",0,Scoring!$C$6)</f>
        <v>2</v>
      </c>
      <c r="P65" s="16" t="n">
        <f aca="false">IF(L65="Yes",0,Scoring!$C$7)</f>
        <v>0.5</v>
      </c>
      <c r="Q65" s="8" t="n">
        <f aca="false">ROUND(SUM(M65:P65),2)</f>
        <v>7.4</v>
      </c>
      <c r="R65" s="8" t="str">
        <f aca="false">IF(Q65&gt;=Scoring!$C$10-0.000001,"Keep","Remove")</f>
        <v>Keep</v>
      </c>
      <c r="S65" s="8" t="s">
        <v>166</v>
      </c>
    </row>
    <row r="66" customFormat="false" ht="15" hidden="false" customHeight="false" outlineLevel="0" collapsed="false">
      <c r="A66" s="8" t="s">
        <v>729</v>
      </c>
      <c r="B66" s="8" t="s">
        <v>730</v>
      </c>
      <c r="C66" s="8" t="s">
        <v>178</v>
      </c>
      <c r="D66" s="8" t="s">
        <v>206</v>
      </c>
      <c r="E66" s="8" t="s">
        <v>111</v>
      </c>
      <c r="F66" s="8" t="s">
        <v>78</v>
      </c>
      <c r="G66" s="8" t="n">
        <v>2</v>
      </c>
      <c r="H66" s="13" t="n">
        <v>3</v>
      </c>
      <c r="I66" s="8" t="n">
        <v>4</v>
      </c>
      <c r="J66" s="20" t="s">
        <v>259</v>
      </c>
      <c r="K66" s="8"/>
      <c r="L66" s="20" t="s">
        <v>259</v>
      </c>
      <c r="M66" s="16" t="n">
        <f aca="false">H66*Scoring!$C$5</f>
        <v>3.9</v>
      </c>
      <c r="N66" s="16" t="n">
        <f aca="false">IF(I66&gt;=5,1,IF(I66=4,0.75,IF(I66=3,0.5,IF(I66=2,0.25,0))))*Scoring!$C$8</f>
        <v>0.75</v>
      </c>
      <c r="O66" s="16" t="n">
        <f aca="false">IF(J66="Yes",0,Scoring!$C$6)</f>
        <v>2</v>
      </c>
      <c r="P66" s="16" t="n">
        <f aca="false">IF(L66="Yes",0,Scoring!$C$7)</f>
        <v>0.5</v>
      </c>
      <c r="Q66" s="8" t="n">
        <f aca="false">ROUND(SUM(M66:P66),2)</f>
        <v>7.15</v>
      </c>
      <c r="R66" s="8" t="str">
        <f aca="false">IF(Q66&gt;=Scoring!$C$10-0.000001,"Keep","Remove")</f>
        <v>Keep</v>
      </c>
      <c r="S66" s="8" t="s">
        <v>166</v>
      </c>
    </row>
    <row r="67" customFormat="false" ht="15" hidden="false" customHeight="false" outlineLevel="0" collapsed="false">
      <c r="A67" s="8" t="s">
        <v>739</v>
      </c>
      <c r="B67" s="8" t="s">
        <v>740</v>
      </c>
      <c r="C67" s="8" t="s">
        <v>178</v>
      </c>
      <c r="D67" s="8" t="s">
        <v>206</v>
      </c>
      <c r="E67" s="8" t="s">
        <v>111</v>
      </c>
      <c r="F67" s="8" t="s">
        <v>79</v>
      </c>
      <c r="G67" s="8" t="n">
        <v>2</v>
      </c>
      <c r="H67" s="13" t="n">
        <v>3</v>
      </c>
      <c r="I67" s="8" t="n">
        <v>3</v>
      </c>
      <c r="J67" s="20" t="s">
        <v>259</v>
      </c>
      <c r="K67" s="8"/>
      <c r="L67" s="20" t="s">
        <v>259</v>
      </c>
      <c r="M67" s="16" t="n">
        <f aca="false">H67*Scoring!$C$5</f>
        <v>3.9</v>
      </c>
      <c r="N67" s="16" t="n">
        <f aca="false">IF(I67&gt;=5,1,IF(I67=4,0.75,IF(I67=3,0.5,IF(I67=2,0.25,0))))*Scoring!$C$8</f>
        <v>0.5</v>
      </c>
      <c r="O67" s="16" t="n">
        <f aca="false">IF(J67="Yes",0,Scoring!$C$6)</f>
        <v>2</v>
      </c>
      <c r="P67" s="16" t="n">
        <f aca="false">IF(L67="Yes",0,Scoring!$C$7)</f>
        <v>0.5</v>
      </c>
      <c r="Q67" s="8" t="n">
        <f aca="false">ROUND(SUM(M67:P67),2)</f>
        <v>6.9</v>
      </c>
      <c r="R67" s="8" t="str">
        <f aca="false">IF(Q67&gt;=Scoring!$C$10-0.000001,"Keep","Remove")</f>
        <v>Keep</v>
      </c>
      <c r="S67" s="8" t="s">
        <v>166</v>
      </c>
    </row>
    <row r="68" customFormat="false" ht="15" hidden="false" customHeight="false" outlineLevel="0" collapsed="false">
      <c r="A68" s="8" t="s">
        <v>7644</v>
      </c>
      <c r="B68" s="8" t="s">
        <v>7645</v>
      </c>
      <c r="C68" s="8" t="s">
        <v>178</v>
      </c>
      <c r="D68" s="8" t="s">
        <v>206</v>
      </c>
      <c r="E68" s="8" t="s">
        <v>111</v>
      </c>
      <c r="F68" s="8" t="s">
        <v>78</v>
      </c>
      <c r="G68" s="8" t="n">
        <v>3</v>
      </c>
      <c r="H68" s="13" t="n">
        <v>2</v>
      </c>
      <c r="I68" s="8" t="n">
        <v>3</v>
      </c>
      <c r="J68" s="20" t="s">
        <v>259</v>
      </c>
      <c r="K68" s="8"/>
      <c r="L68" s="20" t="s">
        <v>259</v>
      </c>
      <c r="M68" s="16" t="n">
        <f aca="false">H68*Scoring!$C$5</f>
        <v>2.6</v>
      </c>
      <c r="N68" s="16" t="n">
        <f aca="false">IF(I68&gt;=5,1,IF(I68=4,0.75,IF(I68=3,0.5,IF(I68=2,0.25,0))))*Scoring!$C$8</f>
        <v>0.5</v>
      </c>
      <c r="O68" s="16" t="n">
        <f aca="false">IF(J68="Yes",0,Scoring!$C$6)</f>
        <v>2</v>
      </c>
      <c r="P68" s="16" t="n">
        <f aca="false">IF(L68="Yes",0,Scoring!$C$7)</f>
        <v>0.5</v>
      </c>
      <c r="Q68" s="8" t="n">
        <f aca="false">ROUND(SUM(M68:P68),2)</f>
        <v>5.6</v>
      </c>
      <c r="R68" s="8" t="str">
        <f aca="false">IF(Q68&gt;=Scoring!$C$10-0.000001,"Keep","Remove")</f>
        <v>Remove</v>
      </c>
      <c r="S68" s="8" t="s">
        <v>7243</v>
      </c>
    </row>
    <row r="69" customFormat="false" ht="15" hidden="false" customHeight="false" outlineLevel="0" collapsed="false">
      <c r="A69" s="8" t="s">
        <v>749</v>
      </c>
      <c r="B69" s="8" t="s">
        <v>750</v>
      </c>
      <c r="C69" s="8" t="s">
        <v>178</v>
      </c>
      <c r="D69" s="8" t="s">
        <v>206</v>
      </c>
      <c r="E69" s="8" t="s">
        <v>111</v>
      </c>
      <c r="F69" s="8" t="s">
        <v>81</v>
      </c>
      <c r="G69" s="8" t="n">
        <v>1</v>
      </c>
      <c r="H69" s="13" t="n">
        <v>4</v>
      </c>
      <c r="I69" s="8" t="n">
        <v>6</v>
      </c>
      <c r="J69" s="20" t="s">
        <v>259</v>
      </c>
      <c r="K69" s="8"/>
      <c r="L69" s="20" t="s">
        <v>259</v>
      </c>
      <c r="M69" s="16" t="n">
        <f aca="false">H69*Scoring!$C$5</f>
        <v>5.2</v>
      </c>
      <c r="N69" s="16" t="n">
        <f aca="false">IF(I69&gt;=5,1,IF(I69=4,0.75,IF(I69=3,0.5,IF(I69=2,0.25,0))))*Scoring!$C$8</f>
        <v>1</v>
      </c>
      <c r="O69" s="16" t="n">
        <f aca="false">IF(J69="Yes",0,Scoring!$C$6)</f>
        <v>2</v>
      </c>
      <c r="P69" s="16" t="n">
        <f aca="false">IF(L69="Yes",0,Scoring!$C$7)</f>
        <v>0.5</v>
      </c>
      <c r="Q69" s="8" t="n">
        <f aca="false">ROUND(SUM(M69:P69),2)</f>
        <v>8.7</v>
      </c>
      <c r="R69" s="8" t="str">
        <f aca="false">IF(Q69&gt;=Scoring!$C$10-0.000001,"Keep","Remove")</f>
        <v>Keep</v>
      </c>
      <c r="S69" s="8" t="s">
        <v>166</v>
      </c>
    </row>
    <row r="70" customFormat="false" ht="15" hidden="false" customHeight="false" outlineLevel="0" collapsed="false">
      <c r="A70" s="8" t="s">
        <v>762</v>
      </c>
      <c r="B70" s="8" t="s">
        <v>763</v>
      </c>
      <c r="C70" s="8" t="s">
        <v>178</v>
      </c>
      <c r="D70" s="8" t="s">
        <v>206</v>
      </c>
      <c r="E70" s="8" t="s">
        <v>111</v>
      </c>
      <c r="F70" s="8" t="s">
        <v>84</v>
      </c>
      <c r="G70" s="8" t="n">
        <v>2</v>
      </c>
      <c r="H70" s="13" t="n">
        <v>3</v>
      </c>
      <c r="I70" s="8" t="n">
        <v>4</v>
      </c>
      <c r="J70" s="20" t="s">
        <v>259</v>
      </c>
      <c r="K70" s="8"/>
      <c r="L70" s="20" t="s">
        <v>259</v>
      </c>
      <c r="M70" s="16" t="n">
        <f aca="false">H70*Scoring!$C$5</f>
        <v>3.9</v>
      </c>
      <c r="N70" s="16" t="n">
        <f aca="false">IF(I70&gt;=5,1,IF(I70=4,0.75,IF(I70=3,0.5,IF(I70=2,0.25,0))))*Scoring!$C$8</f>
        <v>0.75</v>
      </c>
      <c r="O70" s="16" t="n">
        <f aca="false">IF(J70="Yes",0,Scoring!$C$6)</f>
        <v>2</v>
      </c>
      <c r="P70" s="16" t="n">
        <f aca="false">IF(L70="Yes",0,Scoring!$C$7)</f>
        <v>0.5</v>
      </c>
      <c r="Q70" s="8" t="n">
        <f aca="false">ROUND(SUM(M70:P70),2)</f>
        <v>7.15</v>
      </c>
      <c r="R70" s="8" t="str">
        <f aca="false">IF(Q70&gt;=Scoring!$C$10-0.000001,"Keep","Remove")</f>
        <v>Keep</v>
      </c>
      <c r="S70" s="8" t="s">
        <v>166</v>
      </c>
    </row>
    <row r="71" customFormat="false" ht="15" hidden="false" customHeight="false" outlineLevel="0" collapsed="false">
      <c r="A71" s="8" t="s">
        <v>771</v>
      </c>
      <c r="B71" s="8" t="s">
        <v>772</v>
      </c>
      <c r="C71" s="8" t="s">
        <v>178</v>
      </c>
      <c r="D71" s="8" t="s">
        <v>206</v>
      </c>
      <c r="E71" s="8" t="s">
        <v>111</v>
      </c>
      <c r="F71" s="8" t="s">
        <v>84</v>
      </c>
      <c r="G71" s="8" t="n">
        <v>1</v>
      </c>
      <c r="H71" s="13" t="n">
        <v>4</v>
      </c>
      <c r="I71" s="8" t="n">
        <v>4</v>
      </c>
      <c r="J71" s="20" t="s">
        <v>259</v>
      </c>
      <c r="K71" s="8"/>
      <c r="L71" s="20" t="s">
        <v>259</v>
      </c>
      <c r="M71" s="16" t="n">
        <f aca="false">H71*Scoring!$C$5</f>
        <v>5.2</v>
      </c>
      <c r="N71" s="16" t="n">
        <f aca="false">IF(I71&gt;=5,1,IF(I71=4,0.75,IF(I71=3,0.5,IF(I71=2,0.25,0))))*Scoring!$C$8</f>
        <v>0.75</v>
      </c>
      <c r="O71" s="16" t="n">
        <f aca="false">IF(J71="Yes",0,Scoring!$C$6)</f>
        <v>2</v>
      </c>
      <c r="P71" s="16" t="n">
        <f aca="false">IF(L71="Yes",0,Scoring!$C$7)</f>
        <v>0.5</v>
      </c>
      <c r="Q71" s="8" t="n">
        <f aca="false">ROUND(SUM(M71:P71),2)</f>
        <v>8.45</v>
      </c>
      <c r="R71" s="8" t="str">
        <f aca="false">IF(Q71&gt;=Scoring!$C$10-0.000001,"Keep","Remove")</f>
        <v>Keep</v>
      </c>
      <c r="S71" s="8" t="s">
        <v>166</v>
      </c>
    </row>
    <row r="72" customFormat="false" ht="15" hidden="false" customHeight="false" outlineLevel="0" collapsed="false">
      <c r="A72" s="8" t="s">
        <v>7841</v>
      </c>
      <c r="B72" s="8" t="s">
        <v>7842</v>
      </c>
      <c r="C72" s="8" t="s">
        <v>178</v>
      </c>
      <c r="D72" s="8" t="s">
        <v>206</v>
      </c>
      <c r="E72" s="8" t="s">
        <v>111</v>
      </c>
      <c r="F72" s="8" t="s">
        <v>79</v>
      </c>
      <c r="G72" s="8" t="n">
        <v>2</v>
      </c>
      <c r="H72" s="13" t="n">
        <v>3</v>
      </c>
      <c r="I72" s="8" t="n">
        <v>2</v>
      </c>
      <c r="J72" s="20" t="s">
        <v>218</v>
      </c>
      <c r="K72" s="8" t="s">
        <v>8149</v>
      </c>
      <c r="L72" s="20" t="s">
        <v>259</v>
      </c>
      <c r="M72" s="16" t="n">
        <f aca="false">H72*Scoring!$C$5</f>
        <v>3.9</v>
      </c>
      <c r="N72" s="16" t="n">
        <f aca="false">IF(I72&gt;=5,1,IF(I72=4,0.75,IF(I72=3,0.5,IF(I72=2,0.25,0))))*Scoring!$C$8</f>
        <v>0.25</v>
      </c>
      <c r="O72" s="16" t="n">
        <f aca="false">IF(J72="Yes",0,Scoring!$C$6)</f>
        <v>0</v>
      </c>
      <c r="P72" s="16" t="n">
        <f aca="false">IF(L72="Yes",0,Scoring!$C$7)</f>
        <v>0.5</v>
      </c>
      <c r="Q72" s="8" t="n">
        <f aca="false">ROUND(SUM(M72:P72),2)</f>
        <v>4.65</v>
      </c>
      <c r="R72" s="8" t="str">
        <f aca="false">IF(Q72&gt;=Scoring!$C$10-0.000001,"Keep","Remove")</f>
        <v>Remove</v>
      </c>
      <c r="S72" s="8" t="s">
        <v>7843</v>
      </c>
    </row>
    <row r="73" customFormat="false" ht="15" hidden="false" customHeight="false" outlineLevel="0" collapsed="false">
      <c r="A73" s="8" t="s">
        <v>779</v>
      </c>
      <c r="B73" s="8" t="s">
        <v>780</v>
      </c>
      <c r="C73" s="8" t="s">
        <v>178</v>
      </c>
      <c r="D73" s="8" t="s">
        <v>206</v>
      </c>
      <c r="E73" s="8" t="s">
        <v>111</v>
      </c>
      <c r="F73" s="8" t="s">
        <v>79</v>
      </c>
      <c r="G73" s="8" t="n">
        <v>2</v>
      </c>
      <c r="H73" s="13" t="n">
        <v>3</v>
      </c>
      <c r="I73" s="8" t="n">
        <v>5</v>
      </c>
      <c r="J73" s="20" t="s">
        <v>259</v>
      </c>
      <c r="K73" s="8"/>
      <c r="L73" s="20" t="s">
        <v>259</v>
      </c>
      <c r="M73" s="16" t="n">
        <f aca="false">H73*Scoring!$C$5</f>
        <v>3.9</v>
      </c>
      <c r="N73" s="16" t="n">
        <f aca="false">IF(I73&gt;=5,1,IF(I73=4,0.75,IF(I73=3,0.5,IF(I73=2,0.25,0))))*Scoring!$C$8</f>
        <v>1</v>
      </c>
      <c r="O73" s="16" t="n">
        <f aca="false">IF(J73="Yes",0,Scoring!$C$6)</f>
        <v>2</v>
      </c>
      <c r="P73" s="16" t="n">
        <f aca="false">IF(L73="Yes",0,Scoring!$C$7)</f>
        <v>0.5</v>
      </c>
      <c r="Q73" s="8" t="n">
        <f aca="false">ROUND(SUM(M73:P73),2)</f>
        <v>7.4</v>
      </c>
      <c r="R73" s="8" t="str">
        <f aca="false">IF(Q73&gt;=Scoring!$C$10-0.000001,"Keep","Remove")</f>
        <v>Keep</v>
      </c>
      <c r="S73" s="8" t="s">
        <v>166</v>
      </c>
    </row>
    <row r="74" customFormat="false" ht="15" hidden="false" customHeight="false" outlineLevel="0" collapsed="false">
      <c r="A74" s="8" t="s">
        <v>7434</v>
      </c>
      <c r="B74" s="8" t="s">
        <v>7435</v>
      </c>
      <c r="C74" s="8" t="s">
        <v>178</v>
      </c>
      <c r="D74" s="8" t="s">
        <v>206</v>
      </c>
      <c r="E74" s="8" t="s">
        <v>111</v>
      </c>
      <c r="F74" s="8" t="s">
        <v>81</v>
      </c>
      <c r="G74" s="8" t="n">
        <v>3</v>
      </c>
      <c r="H74" s="13" t="n">
        <v>2</v>
      </c>
      <c r="I74" s="8" t="n">
        <v>4</v>
      </c>
      <c r="J74" s="20" t="s">
        <v>259</v>
      </c>
      <c r="K74" s="8"/>
      <c r="L74" s="20" t="s">
        <v>259</v>
      </c>
      <c r="M74" s="16" t="n">
        <f aca="false">H74*Scoring!$C$5</f>
        <v>2.6</v>
      </c>
      <c r="N74" s="16" t="n">
        <f aca="false">IF(I74&gt;=5,1,IF(I74=4,0.75,IF(I74=3,0.5,IF(I74=2,0.25,0))))*Scoring!$C$8</f>
        <v>0.75</v>
      </c>
      <c r="O74" s="16" t="n">
        <f aca="false">IF(J74="Yes",0,Scoring!$C$6)</f>
        <v>2</v>
      </c>
      <c r="P74" s="16" t="n">
        <f aca="false">IF(L74="Yes",0,Scoring!$C$7)</f>
        <v>0.5</v>
      </c>
      <c r="Q74" s="8" t="n">
        <f aca="false">ROUND(SUM(M74:P74),2)</f>
        <v>5.85</v>
      </c>
      <c r="R74" s="8" t="str">
        <f aca="false">IF(Q74&gt;=Scoring!$C$10-0.000001,"Keep","Remove")</f>
        <v>Remove</v>
      </c>
      <c r="S74" s="8" t="s">
        <v>7243</v>
      </c>
    </row>
    <row r="75" customFormat="false" ht="15" hidden="false" customHeight="false" outlineLevel="0" collapsed="false">
      <c r="A75" s="8" t="s">
        <v>788</v>
      </c>
      <c r="B75" s="8" t="s">
        <v>789</v>
      </c>
      <c r="C75" s="8" t="s">
        <v>178</v>
      </c>
      <c r="D75" s="8" t="s">
        <v>206</v>
      </c>
      <c r="E75" s="8" t="s">
        <v>111</v>
      </c>
      <c r="F75" s="8" t="s">
        <v>78</v>
      </c>
      <c r="G75" s="8" t="n">
        <v>2</v>
      </c>
      <c r="H75" s="13" t="n">
        <v>3</v>
      </c>
      <c r="I75" s="8" t="n">
        <v>5</v>
      </c>
      <c r="J75" s="20" t="s">
        <v>259</v>
      </c>
      <c r="K75" s="8"/>
      <c r="L75" s="20" t="s">
        <v>259</v>
      </c>
      <c r="M75" s="16" t="n">
        <f aca="false">H75*Scoring!$C$5</f>
        <v>3.9</v>
      </c>
      <c r="N75" s="16" t="n">
        <f aca="false">IF(I75&gt;=5,1,IF(I75=4,0.75,IF(I75=3,0.5,IF(I75=2,0.25,0))))*Scoring!$C$8</f>
        <v>1</v>
      </c>
      <c r="O75" s="16" t="n">
        <f aca="false">IF(J75="Yes",0,Scoring!$C$6)</f>
        <v>2</v>
      </c>
      <c r="P75" s="16" t="n">
        <f aca="false">IF(L75="Yes",0,Scoring!$C$7)</f>
        <v>0.5</v>
      </c>
      <c r="Q75" s="8" t="n">
        <f aca="false">ROUND(SUM(M75:P75),2)</f>
        <v>7.4</v>
      </c>
      <c r="R75" s="8" t="str">
        <f aca="false">IF(Q75&gt;=Scoring!$C$10-0.000001,"Keep","Remove")</f>
        <v>Keep</v>
      </c>
      <c r="S75" s="8" t="s">
        <v>166</v>
      </c>
    </row>
    <row r="76" customFormat="false" ht="15" hidden="false" customHeight="false" outlineLevel="0" collapsed="false">
      <c r="A76" s="8" t="s">
        <v>799</v>
      </c>
      <c r="B76" s="8" t="s">
        <v>800</v>
      </c>
      <c r="C76" s="8" t="s">
        <v>178</v>
      </c>
      <c r="D76" s="8" t="s">
        <v>206</v>
      </c>
      <c r="E76" s="8" t="s">
        <v>104</v>
      </c>
      <c r="F76" s="8" t="s">
        <v>81</v>
      </c>
      <c r="G76" s="8" t="n">
        <v>1</v>
      </c>
      <c r="H76" s="13" t="n">
        <v>5</v>
      </c>
      <c r="I76" s="8" t="n">
        <v>4</v>
      </c>
      <c r="J76" s="20" t="s">
        <v>259</v>
      </c>
      <c r="K76" s="8"/>
      <c r="L76" s="20" t="s">
        <v>259</v>
      </c>
      <c r="M76" s="16" t="n">
        <f aca="false">H76*Scoring!$C$5</f>
        <v>6.5</v>
      </c>
      <c r="N76" s="16" t="n">
        <f aca="false">IF(I76&gt;=5,1,IF(I76=4,0.75,IF(I76=3,0.5,IF(I76=2,0.25,0))))*Scoring!$C$8</f>
        <v>0.75</v>
      </c>
      <c r="O76" s="16" t="n">
        <f aca="false">IF(J76="Yes",0,Scoring!$C$6)</f>
        <v>2</v>
      </c>
      <c r="P76" s="16" t="n">
        <f aca="false">IF(L76="Yes",0,Scoring!$C$7)</f>
        <v>0.5</v>
      </c>
      <c r="Q76" s="8" t="n">
        <f aca="false">ROUND(SUM(M76:P76),2)</f>
        <v>9.75</v>
      </c>
      <c r="R76" s="8" t="str">
        <f aca="false">IF(Q76&gt;=Scoring!$C$10-0.000001,"Keep","Remove")</f>
        <v>Keep</v>
      </c>
      <c r="S76" s="8" t="s">
        <v>166</v>
      </c>
    </row>
    <row r="77" customFormat="false" ht="15" hidden="false" customHeight="false" outlineLevel="0" collapsed="false">
      <c r="A77" s="8" t="s">
        <v>810</v>
      </c>
      <c r="B77" s="8" t="s">
        <v>811</v>
      </c>
      <c r="C77" s="8" t="s">
        <v>178</v>
      </c>
      <c r="D77" s="8" t="s">
        <v>206</v>
      </c>
      <c r="E77" s="8" t="s">
        <v>104</v>
      </c>
      <c r="F77" s="8" t="s">
        <v>81</v>
      </c>
      <c r="G77" s="8" t="n">
        <v>1</v>
      </c>
      <c r="H77" s="13" t="n">
        <v>5</v>
      </c>
      <c r="I77" s="8" t="n">
        <v>5</v>
      </c>
      <c r="J77" s="20" t="s">
        <v>259</v>
      </c>
      <c r="K77" s="8"/>
      <c r="L77" s="20" t="s">
        <v>259</v>
      </c>
      <c r="M77" s="16" t="n">
        <f aca="false">H77*Scoring!$C$5</f>
        <v>6.5</v>
      </c>
      <c r="N77" s="16" t="n">
        <f aca="false">IF(I77&gt;=5,1,IF(I77=4,0.75,IF(I77=3,0.5,IF(I77=2,0.25,0))))*Scoring!$C$8</f>
        <v>1</v>
      </c>
      <c r="O77" s="16" t="n">
        <f aca="false">IF(J77="Yes",0,Scoring!$C$6)</f>
        <v>2</v>
      </c>
      <c r="P77" s="16" t="n">
        <f aca="false">IF(L77="Yes",0,Scoring!$C$7)</f>
        <v>0.5</v>
      </c>
      <c r="Q77" s="8" t="n">
        <f aca="false">ROUND(SUM(M77:P77),2)</f>
        <v>10</v>
      </c>
      <c r="R77" s="8" t="str">
        <f aca="false">IF(Q77&gt;=Scoring!$C$10-0.000001,"Keep","Remove")</f>
        <v>Keep</v>
      </c>
      <c r="S77" s="8" t="s">
        <v>166</v>
      </c>
    </row>
    <row r="78" customFormat="false" ht="15" hidden="false" customHeight="false" outlineLevel="0" collapsed="false">
      <c r="A78" s="8" t="s">
        <v>821</v>
      </c>
      <c r="B78" s="8" t="s">
        <v>822</v>
      </c>
      <c r="C78" s="8" t="s">
        <v>178</v>
      </c>
      <c r="D78" s="8" t="s">
        <v>206</v>
      </c>
      <c r="E78" s="8" t="s">
        <v>104</v>
      </c>
      <c r="F78" s="8" t="s">
        <v>82</v>
      </c>
      <c r="G78" s="8" t="n">
        <v>1</v>
      </c>
      <c r="H78" s="13" t="n">
        <v>4</v>
      </c>
      <c r="I78" s="8" t="n">
        <v>5</v>
      </c>
      <c r="J78" s="20" t="s">
        <v>259</v>
      </c>
      <c r="K78" s="8"/>
      <c r="L78" s="20" t="s">
        <v>259</v>
      </c>
      <c r="M78" s="16" t="n">
        <f aca="false">H78*Scoring!$C$5</f>
        <v>5.2</v>
      </c>
      <c r="N78" s="16" t="n">
        <f aca="false">IF(I78&gt;=5,1,IF(I78=4,0.75,IF(I78=3,0.5,IF(I78=2,0.25,0))))*Scoring!$C$8</f>
        <v>1</v>
      </c>
      <c r="O78" s="16" t="n">
        <f aca="false">IF(J78="Yes",0,Scoring!$C$6)</f>
        <v>2</v>
      </c>
      <c r="P78" s="16" t="n">
        <f aca="false">IF(L78="Yes",0,Scoring!$C$7)</f>
        <v>0.5</v>
      </c>
      <c r="Q78" s="8" t="n">
        <f aca="false">ROUND(SUM(M78:P78),2)</f>
        <v>8.7</v>
      </c>
      <c r="R78" s="8" t="str">
        <f aca="false">IF(Q78&gt;=Scoring!$C$10-0.000001,"Keep","Remove")</f>
        <v>Keep</v>
      </c>
      <c r="S78" s="8" t="s">
        <v>166</v>
      </c>
    </row>
    <row r="79" customFormat="false" ht="15" hidden="false" customHeight="false" outlineLevel="0" collapsed="false">
      <c r="A79" s="8" t="s">
        <v>833</v>
      </c>
      <c r="B79" s="8" t="s">
        <v>834</v>
      </c>
      <c r="C79" s="8" t="s">
        <v>178</v>
      </c>
      <c r="D79" s="8" t="s">
        <v>206</v>
      </c>
      <c r="E79" s="8" t="s">
        <v>104</v>
      </c>
      <c r="F79" s="8" t="s">
        <v>82</v>
      </c>
      <c r="G79" s="8" t="n">
        <v>1</v>
      </c>
      <c r="H79" s="13" t="n">
        <v>5</v>
      </c>
      <c r="I79" s="8" t="n">
        <v>3</v>
      </c>
      <c r="J79" s="20" t="s">
        <v>259</v>
      </c>
      <c r="K79" s="8"/>
      <c r="L79" s="20" t="s">
        <v>259</v>
      </c>
      <c r="M79" s="16" t="n">
        <f aca="false">H79*Scoring!$C$5</f>
        <v>6.5</v>
      </c>
      <c r="N79" s="16" t="n">
        <f aca="false">IF(I79&gt;=5,1,IF(I79=4,0.75,IF(I79=3,0.5,IF(I79=2,0.25,0))))*Scoring!$C$8</f>
        <v>0.5</v>
      </c>
      <c r="O79" s="16" t="n">
        <f aca="false">IF(J79="Yes",0,Scoring!$C$6)</f>
        <v>2</v>
      </c>
      <c r="P79" s="16" t="n">
        <f aca="false">IF(L79="Yes",0,Scoring!$C$7)</f>
        <v>0.5</v>
      </c>
      <c r="Q79" s="8" t="n">
        <f aca="false">ROUND(SUM(M79:P79),2)</f>
        <v>9.5</v>
      </c>
      <c r="R79" s="8" t="str">
        <f aca="false">IF(Q79&gt;=Scoring!$C$10-0.000001,"Keep","Remove")</f>
        <v>Keep</v>
      </c>
      <c r="S79" s="8" t="s">
        <v>166</v>
      </c>
    </row>
    <row r="80" customFormat="false" ht="15" hidden="false" customHeight="false" outlineLevel="0" collapsed="false">
      <c r="A80" s="8" t="s">
        <v>842</v>
      </c>
      <c r="B80" s="8" t="s">
        <v>843</v>
      </c>
      <c r="C80" s="8" t="s">
        <v>178</v>
      </c>
      <c r="D80" s="8" t="s">
        <v>206</v>
      </c>
      <c r="E80" s="8" t="s">
        <v>104</v>
      </c>
      <c r="F80" s="8" t="s">
        <v>82</v>
      </c>
      <c r="G80" s="8" t="n">
        <v>1</v>
      </c>
      <c r="H80" s="13" t="n">
        <v>4</v>
      </c>
      <c r="I80" s="8" t="n">
        <v>3</v>
      </c>
      <c r="J80" s="20" t="s">
        <v>259</v>
      </c>
      <c r="K80" s="8"/>
      <c r="L80" s="20" t="s">
        <v>259</v>
      </c>
      <c r="M80" s="16" t="n">
        <f aca="false">H80*Scoring!$C$5</f>
        <v>5.2</v>
      </c>
      <c r="N80" s="16" t="n">
        <f aca="false">IF(I80&gt;=5,1,IF(I80=4,0.75,IF(I80=3,0.5,IF(I80=2,0.25,0))))*Scoring!$C$8</f>
        <v>0.5</v>
      </c>
      <c r="O80" s="16" t="n">
        <f aca="false">IF(J80="Yes",0,Scoring!$C$6)</f>
        <v>2</v>
      </c>
      <c r="P80" s="16" t="n">
        <f aca="false">IF(L80="Yes",0,Scoring!$C$7)</f>
        <v>0.5</v>
      </c>
      <c r="Q80" s="8" t="n">
        <f aca="false">ROUND(SUM(M80:P80),2)</f>
        <v>8.2</v>
      </c>
      <c r="R80" s="8" t="str">
        <f aca="false">IF(Q80&gt;=Scoring!$C$10-0.000001,"Keep","Remove")</f>
        <v>Keep</v>
      </c>
      <c r="S80" s="8" t="s">
        <v>166</v>
      </c>
    </row>
    <row r="81" customFormat="false" ht="15" hidden="false" customHeight="false" outlineLevel="0" collapsed="false">
      <c r="A81" s="8" t="s">
        <v>850</v>
      </c>
      <c r="B81" s="8" t="s">
        <v>851</v>
      </c>
      <c r="C81" s="8" t="s">
        <v>178</v>
      </c>
      <c r="D81" s="8" t="s">
        <v>206</v>
      </c>
      <c r="E81" s="8" t="s">
        <v>104</v>
      </c>
      <c r="F81" s="8" t="s">
        <v>84</v>
      </c>
      <c r="G81" s="8" t="n">
        <v>1</v>
      </c>
      <c r="H81" s="13" t="n">
        <v>4</v>
      </c>
      <c r="I81" s="8" t="n">
        <v>5</v>
      </c>
      <c r="J81" s="20" t="s">
        <v>259</v>
      </c>
      <c r="K81" s="8"/>
      <c r="L81" s="20" t="s">
        <v>259</v>
      </c>
      <c r="M81" s="16" t="n">
        <f aca="false">H81*Scoring!$C$5</f>
        <v>5.2</v>
      </c>
      <c r="N81" s="16" t="n">
        <f aca="false">IF(I81&gt;=5,1,IF(I81=4,0.75,IF(I81=3,0.5,IF(I81=2,0.25,0))))*Scoring!$C$8</f>
        <v>1</v>
      </c>
      <c r="O81" s="16" t="n">
        <f aca="false">IF(J81="Yes",0,Scoring!$C$6)</f>
        <v>2</v>
      </c>
      <c r="P81" s="16" t="n">
        <f aca="false">IF(L81="Yes",0,Scoring!$C$7)</f>
        <v>0.5</v>
      </c>
      <c r="Q81" s="8" t="n">
        <f aca="false">ROUND(SUM(M81:P81),2)</f>
        <v>8.7</v>
      </c>
      <c r="R81" s="8" t="str">
        <f aca="false">IF(Q81&gt;=Scoring!$C$10-0.000001,"Keep","Remove")</f>
        <v>Keep</v>
      </c>
      <c r="S81" s="8" t="s">
        <v>166</v>
      </c>
    </row>
    <row r="82" customFormat="false" ht="15" hidden="false" customHeight="false" outlineLevel="0" collapsed="false">
      <c r="A82" s="8" t="s">
        <v>859</v>
      </c>
      <c r="B82" s="8" t="s">
        <v>860</v>
      </c>
      <c r="C82" s="8" t="s">
        <v>178</v>
      </c>
      <c r="D82" s="8" t="s">
        <v>206</v>
      </c>
      <c r="E82" s="8" t="s">
        <v>104</v>
      </c>
      <c r="F82" s="8" t="s">
        <v>84</v>
      </c>
      <c r="G82" s="8" t="n">
        <v>1</v>
      </c>
      <c r="H82" s="13" t="n">
        <v>4</v>
      </c>
      <c r="I82" s="8" t="n">
        <v>5</v>
      </c>
      <c r="J82" s="20" t="s">
        <v>259</v>
      </c>
      <c r="K82" s="8"/>
      <c r="L82" s="20" t="s">
        <v>259</v>
      </c>
      <c r="M82" s="16" t="n">
        <f aca="false">H82*Scoring!$C$5</f>
        <v>5.2</v>
      </c>
      <c r="N82" s="16" t="n">
        <f aca="false">IF(I82&gt;=5,1,IF(I82=4,0.75,IF(I82=3,0.5,IF(I82=2,0.25,0))))*Scoring!$C$8</f>
        <v>1</v>
      </c>
      <c r="O82" s="16" t="n">
        <f aca="false">IF(J82="Yes",0,Scoring!$C$6)</f>
        <v>2</v>
      </c>
      <c r="P82" s="16" t="n">
        <f aca="false">IF(L82="Yes",0,Scoring!$C$7)</f>
        <v>0.5</v>
      </c>
      <c r="Q82" s="8" t="n">
        <f aca="false">ROUND(SUM(M82:P82),2)</f>
        <v>8.7</v>
      </c>
      <c r="R82" s="8" t="str">
        <f aca="false">IF(Q82&gt;=Scoring!$C$10-0.000001,"Keep","Remove")</f>
        <v>Keep</v>
      </c>
      <c r="S82" s="8" t="s">
        <v>166</v>
      </c>
    </row>
    <row r="83" customFormat="false" ht="15" hidden="false" customHeight="false" outlineLevel="0" collapsed="false">
      <c r="A83" s="8" t="s">
        <v>868</v>
      </c>
      <c r="B83" s="8" t="s">
        <v>869</v>
      </c>
      <c r="C83" s="8" t="s">
        <v>178</v>
      </c>
      <c r="D83" s="8" t="s">
        <v>206</v>
      </c>
      <c r="E83" s="8" t="s">
        <v>104</v>
      </c>
      <c r="F83" s="8" t="s">
        <v>82</v>
      </c>
      <c r="G83" s="8" t="n">
        <v>2</v>
      </c>
      <c r="H83" s="13" t="n">
        <v>3</v>
      </c>
      <c r="I83" s="8" t="n">
        <v>2</v>
      </c>
      <c r="J83" s="20" t="s">
        <v>259</v>
      </c>
      <c r="K83" s="8"/>
      <c r="L83" s="20" t="s">
        <v>259</v>
      </c>
      <c r="M83" s="16" t="n">
        <f aca="false">H83*Scoring!$C$5</f>
        <v>3.9</v>
      </c>
      <c r="N83" s="16" t="n">
        <f aca="false">IF(I83&gt;=5,1,IF(I83=4,0.75,IF(I83=3,0.5,IF(I83=2,0.25,0))))*Scoring!$C$8</f>
        <v>0.25</v>
      </c>
      <c r="O83" s="16" t="n">
        <f aca="false">IF(J83="Yes",0,Scoring!$C$6)</f>
        <v>2</v>
      </c>
      <c r="P83" s="16" t="n">
        <f aca="false">IF(L83="Yes",0,Scoring!$C$7)</f>
        <v>0.5</v>
      </c>
      <c r="Q83" s="8" t="n">
        <f aca="false">ROUND(SUM(M83:P83),2)</f>
        <v>6.65</v>
      </c>
      <c r="R83" s="8" t="str">
        <f aca="false">IF(Q83&gt;=Scoring!$C$10-0.000001,"Keep","Remove")</f>
        <v>Keep</v>
      </c>
      <c r="S83" s="8" t="s">
        <v>166</v>
      </c>
    </row>
    <row r="84" customFormat="false" ht="15" hidden="false" customHeight="false" outlineLevel="0" collapsed="false">
      <c r="A84" s="8" t="s">
        <v>7646</v>
      </c>
      <c r="B84" s="8" t="s">
        <v>7647</v>
      </c>
      <c r="C84" s="8" t="s">
        <v>178</v>
      </c>
      <c r="D84" s="8" t="s">
        <v>206</v>
      </c>
      <c r="E84" s="8" t="s">
        <v>104</v>
      </c>
      <c r="F84" s="8" t="s">
        <v>78</v>
      </c>
      <c r="G84" s="8" t="n">
        <v>3</v>
      </c>
      <c r="H84" s="13" t="n">
        <v>2</v>
      </c>
      <c r="I84" s="8" t="n">
        <v>3</v>
      </c>
      <c r="J84" s="20" t="s">
        <v>259</v>
      </c>
      <c r="K84" s="8"/>
      <c r="L84" s="20" t="s">
        <v>259</v>
      </c>
      <c r="M84" s="16" t="n">
        <f aca="false">H84*Scoring!$C$5</f>
        <v>2.6</v>
      </c>
      <c r="N84" s="16" t="n">
        <f aca="false">IF(I84&gt;=5,1,IF(I84=4,0.75,IF(I84=3,0.5,IF(I84=2,0.25,0))))*Scoring!$C$8</f>
        <v>0.5</v>
      </c>
      <c r="O84" s="16" t="n">
        <f aca="false">IF(J84="Yes",0,Scoring!$C$6)</f>
        <v>2</v>
      </c>
      <c r="P84" s="16" t="n">
        <f aca="false">IF(L84="Yes",0,Scoring!$C$7)</f>
        <v>0.5</v>
      </c>
      <c r="Q84" s="8" t="n">
        <f aca="false">ROUND(SUM(M84:P84),2)</f>
        <v>5.6</v>
      </c>
      <c r="R84" s="8" t="str">
        <f aca="false">IF(Q84&gt;=Scoring!$C$10-0.000001,"Keep","Remove")</f>
        <v>Remove</v>
      </c>
      <c r="S84" s="8" t="s">
        <v>7243</v>
      </c>
    </row>
    <row r="85" customFormat="false" ht="15" hidden="false" customHeight="false" outlineLevel="0" collapsed="false">
      <c r="A85" s="8" t="s">
        <v>881</v>
      </c>
      <c r="B85" s="8" t="s">
        <v>882</v>
      </c>
      <c r="C85" s="8" t="s">
        <v>178</v>
      </c>
      <c r="D85" s="8" t="s">
        <v>206</v>
      </c>
      <c r="E85" s="8" t="s">
        <v>104</v>
      </c>
      <c r="F85" s="8" t="s">
        <v>78</v>
      </c>
      <c r="G85" s="8" t="n">
        <v>2</v>
      </c>
      <c r="H85" s="13" t="n">
        <v>3</v>
      </c>
      <c r="I85" s="8" t="n">
        <v>4</v>
      </c>
      <c r="J85" s="20" t="s">
        <v>259</v>
      </c>
      <c r="K85" s="8"/>
      <c r="L85" s="20" t="s">
        <v>259</v>
      </c>
      <c r="M85" s="16" t="n">
        <f aca="false">H85*Scoring!$C$5</f>
        <v>3.9</v>
      </c>
      <c r="N85" s="16" t="n">
        <f aca="false">IF(I85&gt;=5,1,IF(I85=4,0.75,IF(I85=3,0.5,IF(I85=2,0.25,0))))*Scoring!$C$8</f>
        <v>0.75</v>
      </c>
      <c r="O85" s="16" t="n">
        <f aca="false">IF(J85="Yes",0,Scoring!$C$6)</f>
        <v>2</v>
      </c>
      <c r="P85" s="16" t="n">
        <f aca="false">IF(L85="Yes",0,Scoring!$C$7)</f>
        <v>0.5</v>
      </c>
      <c r="Q85" s="8" t="n">
        <f aca="false">ROUND(SUM(M85:P85),2)</f>
        <v>7.15</v>
      </c>
      <c r="R85" s="8" t="str">
        <f aca="false">IF(Q85&gt;=Scoring!$C$10-0.000001,"Keep","Remove")</f>
        <v>Keep</v>
      </c>
      <c r="S85" s="8" t="s">
        <v>166</v>
      </c>
    </row>
    <row r="86" customFormat="false" ht="15" hidden="false" customHeight="false" outlineLevel="0" collapsed="false">
      <c r="A86" s="8" t="s">
        <v>7436</v>
      </c>
      <c r="B86" s="8" t="s">
        <v>7437</v>
      </c>
      <c r="C86" s="8" t="s">
        <v>178</v>
      </c>
      <c r="D86" s="8" t="s">
        <v>206</v>
      </c>
      <c r="E86" s="8" t="s">
        <v>104</v>
      </c>
      <c r="F86" s="8" t="s">
        <v>78</v>
      </c>
      <c r="G86" s="8" t="n">
        <v>3</v>
      </c>
      <c r="H86" s="13" t="n">
        <v>2</v>
      </c>
      <c r="I86" s="8" t="n">
        <v>4</v>
      </c>
      <c r="J86" s="20" t="s">
        <v>259</v>
      </c>
      <c r="K86" s="8"/>
      <c r="L86" s="20" t="s">
        <v>259</v>
      </c>
      <c r="M86" s="16" t="n">
        <f aca="false">H86*Scoring!$C$5</f>
        <v>2.6</v>
      </c>
      <c r="N86" s="16" t="n">
        <f aca="false">IF(I86&gt;=5,1,IF(I86=4,0.75,IF(I86=3,0.5,IF(I86=2,0.25,0))))*Scoring!$C$8</f>
        <v>0.75</v>
      </c>
      <c r="O86" s="16" t="n">
        <f aca="false">IF(J86="Yes",0,Scoring!$C$6)</f>
        <v>2</v>
      </c>
      <c r="P86" s="16" t="n">
        <f aca="false">IF(L86="Yes",0,Scoring!$C$7)</f>
        <v>0.5</v>
      </c>
      <c r="Q86" s="8" t="n">
        <f aca="false">ROUND(SUM(M86:P86),2)</f>
        <v>5.85</v>
      </c>
      <c r="R86" s="8" t="str">
        <f aca="false">IF(Q86&gt;=Scoring!$C$10-0.000001,"Keep","Remove")</f>
        <v>Remove</v>
      </c>
      <c r="S86" s="8" t="s">
        <v>7243</v>
      </c>
    </row>
    <row r="87" customFormat="false" ht="15" hidden="false" customHeight="false" outlineLevel="0" collapsed="false">
      <c r="A87" s="8" t="s">
        <v>7248</v>
      </c>
      <c r="B87" s="8" t="s">
        <v>7249</v>
      </c>
      <c r="C87" s="8" t="s">
        <v>178</v>
      </c>
      <c r="D87" s="8" t="s">
        <v>206</v>
      </c>
      <c r="E87" s="8" t="s">
        <v>104</v>
      </c>
      <c r="F87" s="8" t="s">
        <v>78</v>
      </c>
      <c r="G87" s="8" t="n">
        <v>3</v>
      </c>
      <c r="H87" s="13" t="n">
        <v>2</v>
      </c>
      <c r="I87" s="8" t="n">
        <v>5</v>
      </c>
      <c r="J87" s="20" t="s">
        <v>259</v>
      </c>
      <c r="K87" s="8"/>
      <c r="L87" s="20" t="s">
        <v>259</v>
      </c>
      <c r="M87" s="16" t="n">
        <f aca="false">H87*Scoring!$C$5</f>
        <v>2.6</v>
      </c>
      <c r="N87" s="16" t="n">
        <f aca="false">IF(I87&gt;=5,1,IF(I87=4,0.75,IF(I87=3,0.5,IF(I87=2,0.25,0))))*Scoring!$C$8</f>
        <v>1</v>
      </c>
      <c r="O87" s="16" t="n">
        <f aca="false">IF(J87="Yes",0,Scoring!$C$6)</f>
        <v>2</v>
      </c>
      <c r="P87" s="16" t="n">
        <f aca="false">IF(L87="Yes",0,Scoring!$C$7)</f>
        <v>0.5</v>
      </c>
      <c r="Q87" s="8" t="n">
        <f aca="false">ROUND(SUM(M87:P87),2)</f>
        <v>6.1</v>
      </c>
      <c r="R87" s="8" t="str">
        <f aca="false">IF(Q87&gt;=Scoring!$C$10-0.000001,"Keep","Remove")</f>
        <v>Remove</v>
      </c>
      <c r="S87" s="8" t="s">
        <v>7243</v>
      </c>
    </row>
    <row r="88" customFormat="false" ht="15" hidden="false" customHeight="false" outlineLevel="0" collapsed="false">
      <c r="A88" s="8" t="s">
        <v>889</v>
      </c>
      <c r="B88" s="8" t="s">
        <v>890</v>
      </c>
      <c r="C88" s="8" t="s">
        <v>178</v>
      </c>
      <c r="D88" s="8" t="s">
        <v>206</v>
      </c>
      <c r="E88" s="8" t="s">
        <v>104</v>
      </c>
      <c r="F88" s="8" t="s">
        <v>78</v>
      </c>
      <c r="G88" s="8" t="n">
        <v>2</v>
      </c>
      <c r="H88" s="13" t="n">
        <v>3</v>
      </c>
      <c r="I88" s="8" t="n">
        <v>3</v>
      </c>
      <c r="J88" s="20" t="s">
        <v>259</v>
      </c>
      <c r="K88" s="8"/>
      <c r="L88" s="20" t="s">
        <v>259</v>
      </c>
      <c r="M88" s="16" t="n">
        <f aca="false">H88*Scoring!$C$5</f>
        <v>3.9</v>
      </c>
      <c r="N88" s="16" t="n">
        <f aca="false">IF(I88&gt;=5,1,IF(I88=4,0.75,IF(I88=3,0.5,IF(I88=2,0.25,0))))*Scoring!$C$8</f>
        <v>0.5</v>
      </c>
      <c r="O88" s="16" t="n">
        <f aca="false">IF(J88="Yes",0,Scoring!$C$6)</f>
        <v>2</v>
      </c>
      <c r="P88" s="16" t="n">
        <f aca="false">IF(L88="Yes",0,Scoring!$C$7)</f>
        <v>0.5</v>
      </c>
      <c r="Q88" s="8" t="n">
        <f aca="false">ROUND(SUM(M88:P88),2)</f>
        <v>6.9</v>
      </c>
      <c r="R88" s="8" t="str">
        <f aca="false">IF(Q88&gt;=Scoring!$C$10-0.000001,"Keep","Remove")</f>
        <v>Keep</v>
      </c>
      <c r="S88" s="8" t="s">
        <v>166</v>
      </c>
    </row>
    <row r="89" customFormat="false" ht="15" hidden="false" customHeight="false" outlineLevel="0" collapsed="false">
      <c r="A89" s="8" t="s">
        <v>900</v>
      </c>
      <c r="B89" s="8" t="s">
        <v>901</v>
      </c>
      <c r="C89" s="8" t="s">
        <v>178</v>
      </c>
      <c r="D89" s="8" t="s">
        <v>206</v>
      </c>
      <c r="E89" s="8" t="s">
        <v>104</v>
      </c>
      <c r="F89" s="8" t="s">
        <v>79</v>
      </c>
      <c r="G89" s="8" t="n">
        <v>2</v>
      </c>
      <c r="H89" s="13" t="n">
        <v>3</v>
      </c>
      <c r="I89" s="8" t="n">
        <v>3</v>
      </c>
      <c r="J89" s="20" t="s">
        <v>259</v>
      </c>
      <c r="K89" s="8"/>
      <c r="L89" s="20" t="s">
        <v>259</v>
      </c>
      <c r="M89" s="16" t="n">
        <f aca="false">H89*Scoring!$C$5</f>
        <v>3.9</v>
      </c>
      <c r="N89" s="16" t="n">
        <f aca="false">IF(I89&gt;=5,1,IF(I89=4,0.75,IF(I89=3,0.5,IF(I89=2,0.25,0))))*Scoring!$C$8</f>
        <v>0.5</v>
      </c>
      <c r="O89" s="16" t="n">
        <f aca="false">IF(J89="Yes",0,Scoring!$C$6)</f>
        <v>2</v>
      </c>
      <c r="P89" s="16" t="n">
        <f aca="false">IF(L89="Yes",0,Scoring!$C$7)</f>
        <v>0.5</v>
      </c>
      <c r="Q89" s="8" t="n">
        <f aca="false">ROUND(SUM(M89:P89),2)</f>
        <v>6.9</v>
      </c>
      <c r="R89" s="8" t="str">
        <f aca="false">IF(Q89&gt;=Scoring!$C$10-0.000001,"Keep","Remove")</f>
        <v>Keep</v>
      </c>
      <c r="S89" s="8" t="s">
        <v>166</v>
      </c>
    </row>
    <row r="90" customFormat="false" ht="15" hidden="false" customHeight="false" outlineLevel="0" collapsed="false">
      <c r="A90" s="8" t="s">
        <v>908</v>
      </c>
      <c r="B90" s="8" t="s">
        <v>909</v>
      </c>
      <c r="C90" s="8" t="s">
        <v>178</v>
      </c>
      <c r="D90" s="8" t="s">
        <v>206</v>
      </c>
      <c r="E90" s="8" t="s">
        <v>104</v>
      </c>
      <c r="F90" s="8" t="s">
        <v>78</v>
      </c>
      <c r="G90" s="8" t="n">
        <v>2</v>
      </c>
      <c r="H90" s="13" t="n">
        <v>3</v>
      </c>
      <c r="I90" s="8" t="n">
        <v>5</v>
      </c>
      <c r="J90" s="20" t="s">
        <v>259</v>
      </c>
      <c r="K90" s="8"/>
      <c r="L90" s="20" t="s">
        <v>259</v>
      </c>
      <c r="M90" s="16" t="n">
        <f aca="false">H90*Scoring!$C$5</f>
        <v>3.9</v>
      </c>
      <c r="N90" s="16" t="n">
        <f aca="false">IF(I90&gt;=5,1,IF(I90=4,0.75,IF(I90=3,0.5,IF(I90=2,0.25,0))))*Scoring!$C$8</f>
        <v>1</v>
      </c>
      <c r="O90" s="16" t="n">
        <f aca="false">IF(J90="Yes",0,Scoring!$C$6)</f>
        <v>2</v>
      </c>
      <c r="P90" s="16" t="n">
        <f aca="false">IF(L90="Yes",0,Scoring!$C$7)</f>
        <v>0.5</v>
      </c>
      <c r="Q90" s="8" t="n">
        <f aca="false">ROUND(SUM(M90:P90),2)</f>
        <v>7.4</v>
      </c>
      <c r="R90" s="8" t="str">
        <f aca="false">IF(Q90&gt;=Scoring!$C$10-0.000001,"Keep","Remove")</f>
        <v>Keep</v>
      </c>
      <c r="S90" s="8" t="s">
        <v>166</v>
      </c>
    </row>
    <row r="91" customFormat="false" ht="15" hidden="false" customHeight="false" outlineLevel="0" collapsed="false">
      <c r="A91" s="8" t="s">
        <v>7847</v>
      </c>
      <c r="B91" s="8" t="s">
        <v>7848</v>
      </c>
      <c r="C91" s="8" t="s">
        <v>178</v>
      </c>
      <c r="D91" s="8" t="s">
        <v>206</v>
      </c>
      <c r="E91" s="8" t="s">
        <v>104</v>
      </c>
      <c r="F91" s="8" t="s">
        <v>84</v>
      </c>
      <c r="G91" s="8" t="n">
        <v>3</v>
      </c>
      <c r="H91" s="13" t="n">
        <v>2</v>
      </c>
      <c r="I91" s="8" t="n">
        <v>5</v>
      </c>
      <c r="J91" s="20" t="s">
        <v>218</v>
      </c>
      <c r="K91" s="8" t="s">
        <v>8150</v>
      </c>
      <c r="L91" s="20" t="s">
        <v>259</v>
      </c>
      <c r="M91" s="16" t="n">
        <f aca="false">H91*Scoring!$C$5</f>
        <v>2.6</v>
      </c>
      <c r="N91" s="16" t="n">
        <f aca="false">IF(I91&gt;=5,1,IF(I91=4,0.75,IF(I91=3,0.5,IF(I91=2,0.25,0))))*Scoring!$C$8</f>
        <v>1</v>
      </c>
      <c r="O91" s="16" t="n">
        <f aca="false">IF(J91="Yes",0,Scoring!$C$6)</f>
        <v>0</v>
      </c>
      <c r="P91" s="16" t="n">
        <f aca="false">IF(L91="Yes",0,Scoring!$C$7)</f>
        <v>0.5</v>
      </c>
      <c r="Q91" s="8" t="n">
        <f aca="false">ROUND(SUM(M91:P91),2)</f>
        <v>4.1</v>
      </c>
      <c r="R91" s="8" t="str">
        <f aca="false">IF(Q91&gt;=Scoring!$C$10-0.000001,"Keep","Remove")</f>
        <v>Remove</v>
      </c>
      <c r="S91" s="8" t="s">
        <v>7849</v>
      </c>
    </row>
    <row r="92" customFormat="false" ht="15" hidden="false" customHeight="false" outlineLevel="0" collapsed="false">
      <c r="A92" s="8" t="s">
        <v>7807</v>
      </c>
      <c r="B92" s="8" t="s">
        <v>7808</v>
      </c>
      <c r="C92" s="8" t="s">
        <v>178</v>
      </c>
      <c r="D92" s="8" t="s">
        <v>206</v>
      </c>
      <c r="E92" s="8" t="s">
        <v>104</v>
      </c>
      <c r="F92" s="8" t="s">
        <v>79</v>
      </c>
      <c r="G92" s="8" t="n">
        <v>2</v>
      </c>
      <c r="H92" s="13" t="n">
        <v>3</v>
      </c>
      <c r="I92" s="8" t="n">
        <v>4</v>
      </c>
      <c r="J92" s="20" t="s">
        <v>218</v>
      </c>
      <c r="K92" s="8" t="s">
        <v>8151</v>
      </c>
      <c r="L92" s="20" t="s">
        <v>259</v>
      </c>
      <c r="M92" s="16" t="n">
        <f aca="false">H92*Scoring!$C$5</f>
        <v>3.9</v>
      </c>
      <c r="N92" s="16" t="n">
        <f aca="false">IF(I92&gt;=5,1,IF(I92=4,0.75,IF(I92=3,0.5,IF(I92=2,0.25,0))))*Scoring!$C$8</f>
        <v>0.75</v>
      </c>
      <c r="O92" s="16" t="n">
        <f aca="false">IF(J92="Yes",0,Scoring!$C$6)</f>
        <v>0</v>
      </c>
      <c r="P92" s="16" t="n">
        <f aca="false">IF(L92="Yes",0,Scoring!$C$7)</f>
        <v>0.5</v>
      </c>
      <c r="Q92" s="8" t="n">
        <f aca="false">ROUND(SUM(M92:P92),2)</f>
        <v>5.15</v>
      </c>
      <c r="R92" s="8" t="str">
        <f aca="false">IF(Q92&gt;=Scoring!$C$10-0.000001,"Keep","Remove")</f>
        <v>Remove</v>
      </c>
      <c r="S92" s="8" t="s">
        <v>7809</v>
      </c>
    </row>
    <row r="93" customFormat="false" ht="15" hidden="false" customHeight="false" outlineLevel="0" collapsed="false">
      <c r="A93" s="8" t="s">
        <v>917</v>
      </c>
      <c r="B93" s="8" t="s">
        <v>918</v>
      </c>
      <c r="C93" s="8" t="s">
        <v>178</v>
      </c>
      <c r="D93" s="8" t="s">
        <v>206</v>
      </c>
      <c r="E93" s="8" t="s">
        <v>104</v>
      </c>
      <c r="F93" s="8" t="s">
        <v>81</v>
      </c>
      <c r="G93" s="8" t="n">
        <v>2</v>
      </c>
      <c r="H93" s="13" t="n">
        <v>3</v>
      </c>
      <c r="I93" s="8" t="n">
        <v>6</v>
      </c>
      <c r="J93" s="20" t="s">
        <v>259</v>
      </c>
      <c r="K93" s="8"/>
      <c r="L93" s="20" t="s">
        <v>259</v>
      </c>
      <c r="M93" s="16" t="n">
        <f aca="false">H93*Scoring!$C$5</f>
        <v>3.9</v>
      </c>
      <c r="N93" s="16" t="n">
        <f aca="false">IF(I93&gt;=5,1,IF(I93=4,0.75,IF(I93=3,0.5,IF(I93=2,0.25,0))))*Scoring!$C$8</f>
        <v>1</v>
      </c>
      <c r="O93" s="16" t="n">
        <f aca="false">IF(J93="Yes",0,Scoring!$C$6)</f>
        <v>2</v>
      </c>
      <c r="P93" s="16" t="n">
        <f aca="false">IF(L93="Yes",0,Scoring!$C$7)</f>
        <v>0.5</v>
      </c>
      <c r="Q93" s="8" t="n">
        <f aca="false">ROUND(SUM(M93:P93),2)</f>
        <v>7.4</v>
      </c>
      <c r="R93" s="8" t="str">
        <f aca="false">IF(Q93&gt;=Scoring!$C$10-0.000001,"Keep","Remove")</f>
        <v>Keep</v>
      </c>
      <c r="S93" s="8" t="s">
        <v>166</v>
      </c>
    </row>
    <row r="94" customFormat="false" ht="15" hidden="false" customHeight="false" outlineLevel="0" collapsed="false">
      <c r="A94" s="8" t="s">
        <v>928</v>
      </c>
      <c r="B94" s="8" t="s">
        <v>929</v>
      </c>
      <c r="C94" s="8" t="s">
        <v>178</v>
      </c>
      <c r="D94" s="8" t="s">
        <v>206</v>
      </c>
      <c r="E94" s="8" t="s">
        <v>104</v>
      </c>
      <c r="F94" s="8" t="s">
        <v>82</v>
      </c>
      <c r="G94" s="8" t="n">
        <v>2</v>
      </c>
      <c r="H94" s="13" t="n">
        <v>3</v>
      </c>
      <c r="I94" s="8" t="n">
        <v>3</v>
      </c>
      <c r="J94" s="20" t="s">
        <v>259</v>
      </c>
      <c r="K94" s="8"/>
      <c r="L94" s="20" t="s">
        <v>259</v>
      </c>
      <c r="M94" s="16" t="n">
        <f aca="false">H94*Scoring!$C$5</f>
        <v>3.9</v>
      </c>
      <c r="N94" s="16" t="n">
        <f aca="false">IF(I94&gt;=5,1,IF(I94=4,0.75,IF(I94=3,0.5,IF(I94=2,0.25,0))))*Scoring!$C$8</f>
        <v>0.5</v>
      </c>
      <c r="O94" s="16" t="n">
        <f aca="false">IF(J94="Yes",0,Scoring!$C$6)</f>
        <v>2</v>
      </c>
      <c r="P94" s="16" t="n">
        <f aca="false">IF(L94="Yes",0,Scoring!$C$7)</f>
        <v>0.5</v>
      </c>
      <c r="Q94" s="8" t="n">
        <f aca="false">ROUND(SUM(M94:P94),2)</f>
        <v>6.9</v>
      </c>
      <c r="R94" s="8" t="str">
        <f aca="false">IF(Q94&gt;=Scoring!$C$10-0.000001,"Keep","Remove")</f>
        <v>Keep</v>
      </c>
      <c r="S94" s="8" t="s">
        <v>166</v>
      </c>
    </row>
    <row r="95" customFormat="false" ht="15" hidden="false" customHeight="false" outlineLevel="0" collapsed="false">
      <c r="A95" s="8" t="s">
        <v>7648</v>
      </c>
      <c r="B95" s="8" t="s">
        <v>7649</v>
      </c>
      <c r="C95" s="8" t="s">
        <v>178</v>
      </c>
      <c r="D95" s="8" t="s">
        <v>206</v>
      </c>
      <c r="E95" s="8" t="s">
        <v>104</v>
      </c>
      <c r="F95" s="8" t="s">
        <v>82</v>
      </c>
      <c r="G95" s="8" t="n">
        <v>3</v>
      </c>
      <c r="H95" s="13" t="n">
        <v>2</v>
      </c>
      <c r="I95" s="8" t="n">
        <v>3</v>
      </c>
      <c r="J95" s="20" t="s">
        <v>259</v>
      </c>
      <c r="K95" s="8"/>
      <c r="L95" s="20" t="s">
        <v>259</v>
      </c>
      <c r="M95" s="16" t="n">
        <f aca="false">H95*Scoring!$C$5</f>
        <v>2.6</v>
      </c>
      <c r="N95" s="16" t="n">
        <f aca="false">IF(I95&gt;=5,1,IF(I95=4,0.75,IF(I95=3,0.5,IF(I95=2,0.25,0))))*Scoring!$C$8</f>
        <v>0.5</v>
      </c>
      <c r="O95" s="16" t="n">
        <f aca="false">IF(J95="Yes",0,Scoring!$C$6)</f>
        <v>2</v>
      </c>
      <c r="P95" s="16" t="n">
        <f aca="false">IF(L95="Yes",0,Scoring!$C$7)</f>
        <v>0.5</v>
      </c>
      <c r="Q95" s="8" t="n">
        <f aca="false">ROUND(SUM(M95:P95),2)</f>
        <v>5.6</v>
      </c>
      <c r="R95" s="8" t="str">
        <f aca="false">IF(Q95&gt;=Scoring!$C$10-0.000001,"Keep","Remove")</f>
        <v>Remove</v>
      </c>
      <c r="S95" s="8" t="s">
        <v>7243</v>
      </c>
    </row>
    <row r="96" customFormat="false" ht="15" hidden="false" customHeight="false" outlineLevel="0" collapsed="false">
      <c r="A96" s="8" t="s">
        <v>7250</v>
      </c>
      <c r="B96" s="8" t="s">
        <v>7251</v>
      </c>
      <c r="C96" s="8" t="s">
        <v>178</v>
      </c>
      <c r="D96" s="8" t="s">
        <v>206</v>
      </c>
      <c r="E96" s="8" t="s">
        <v>104</v>
      </c>
      <c r="F96" s="8" t="s">
        <v>78</v>
      </c>
      <c r="G96" s="8" t="n">
        <v>3</v>
      </c>
      <c r="H96" s="13" t="n">
        <v>2</v>
      </c>
      <c r="I96" s="8" t="n">
        <v>6</v>
      </c>
      <c r="J96" s="20" t="s">
        <v>259</v>
      </c>
      <c r="K96" s="8"/>
      <c r="L96" s="20" t="s">
        <v>259</v>
      </c>
      <c r="M96" s="16" t="n">
        <f aca="false">H96*Scoring!$C$5</f>
        <v>2.6</v>
      </c>
      <c r="N96" s="16" t="n">
        <f aca="false">IF(I96&gt;=5,1,IF(I96=4,0.75,IF(I96=3,0.5,IF(I96=2,0.25,0))))*Scoring!$C$8</f>
        <v>1</v>
      </c>
      <c r="O96" s="16" t="n">
        <f aca="false">IF(J96="Yes",0,Scoring!$C$6)</f>
        <v>2</v>
      </c>
      <c r="P96" s="16" t="n">
        <f aca="false">IF(L96="Yes",0,Scoring!$C$7)</f>
        <v>0.5</v>
      </c>
      <c r="Q96" s="8" t="n">
        <f aca="false">ROUND(SUM(M96:P96),2)</f>
        <v>6.1</v>
      </c>
      <c r="R96" s="8" t="str">
        <f aca="false">IF(Q96&gt;=Scoring!$C$10-0.000001,"Keep","Remove")</f>
        <v>Remove</v>
      </c>
      <c r="S96" s="8" t="s">
        <v>7243</v>
      </c>
    </row>
    <row r="97" customFormat="false" ht="15" hidden="false" customHeight="false" outlineLevel="0" collapsed="false">
      <c r="A97" s="8" t="s">
        <v>7252</v>
      </c>
      <c r="B97" s="8" t="s">
        <v>7253</v>
      </c>
      <c r="C97" s="8" t="s">
        <v>178</v>
      </c>
      <c r="D97" s="8" t="s">
        <v>206</v>
      </c>
      <c r="E97" s="8" t="s">
        <v>104</v>
      </c>
      <c r="F97" s="8" t="s">
        <v>78</v>
      </c>
      <c r="G97" s="8" t="n">
        <v>3</v>
      </c>
      <c r="H97" s="13" t="n">
        <v>2</v>
      </c>
      <c r="I97" s="8" t="n">
        <v>5</v>
      </c>
      <c r="J97" s="20" t="s">
        <v>259</v>
      </c>
      <c r="K97" s="8"/>
      <c r="L97" s="20" t="s">
        <v>259</v>
      </c>
      <c r="M97" s="16" t="n">
        <f aca="false">H97*Scoring!$C$5</f>
        <v>2.6</v>
      </c>
      <c r="N97" s="16" t="n">
        <f aca="false">IF(I97&gt;=5,1,IF(I97=4,0.75,IF(I97=3,0.5,IF(I97=2,0.25,0))))*Scoring!$C$8</f>
        <v>1</v>
      </c>
      <c r="O97" s="16" t="n">
        <f aca="false">IF(J97="Yes",0,Scoring!$C$6)</f>
        <v>2</v>
      </c>
      <c r="P97" s="16" t="n">
        <f aca="false">IF(L97="Yes",0,Scoring!$C$7)</f>
        <v>0.5</v>
      </c>
      <c r="Q97" s="8" t="n">
        <f aca="false">ROUND(SUM(M97:P97),2)</f>
        <v>6.1</v>
      </c>
      <c r="R97" s="8" t="str">
        <f aca="false">IF(Q97&gt;=Scoring!$C$10-0.000001,"Keep","Remove")</f>
        <v>Remove</v>
      </c>
      <c r="S97" s="8" t="s">
        <v>7243</v>
      </c>
    </row>
    <row r="98" customFormat="false" ht="15" hidden="false" customHeight="false" outlineLevel="0" collapsed="false">
      <c r="A98" s="8" t="s">
        <v>937</v>
      </c>
      <c r="B98" s="8" t="s">
        <v>938</v>
      </c>
      <c r="C98" s="8" t="s">
        <v>178</v>
      </c>
      <c r="D98" s="8" t="s">
        <v>206</v>
      </c>
      <c r="E98" s="8" t="s">
        <v>104</v>
      </c>
      <c r="F98" s="8" t="s">
        <v>78</v>
      </c>
      <c r="G98" s="8" t="n">
        <v>2</v>
      </c>
      <c r="H98" s="13" t="n">
        <v>3</v>
      </c>
      <c r="I98" s="8" t="n">
        <v>6</v>
      </c>
      <c r="J98" s="20" t="s">
        <v>259</v>
      </c>
      <c r="K98" s="8"/>
      <c r="L98" s="20" t="s">
        <v>259</v>
      </c>
      <c r="M98" s="16" t="n">
        <f aca="false">H98*Scoring!$C$5</f>
        <v>3.9</v>
      </c>
      <c r="N98" s="16" t="n">
        <f aca="false">IF(I98&gt;=5,1,IF(I98=4,0.75,IF(I98=3,0.5,IF(I98=2,0.25,0))))*Scoring!$C$8</f>
        <v>1</v>
      </c>
      <c r="O98" s="16" t="n">
        <f aca="false">IF(J98="Yes",0,Scoring!$C$6)</f>
        <v>2</v>
      </c>
      <c r="P98" s="16" t="n">
        <f aca="false">IF(L98="Yes",0,Scoring!$C$7)</f>
        <v>0.5</v>
      </c>
      <c r="Q98" s="8" t="n">
        <f aca="false">ROUND(SUM(M98:P98),2)</f>
        <v>7.4</v>
      </c>
      <c r="R98" s="8" t="str">
        <f aca="false">IF(Q98&gt;=Scoring!$C$10-0.000001,"Keep","Remove")</f>
        <v>Keep</v>
      </c>
      <c r="S98" s="8" t="s">
        <v>166</v>
      </c>
    </row>
    <row r="99" customFormat="false" ht="15" hidden="false" customHeight="false" outlineLevel="0" collapsed="false">
      <c r="A99" s="8" t="s">
        <v>948</v>
      </c>
      <c r="B99" s="8" t="s">
        <v>949</v>
      </c>
      <c r="C99" s="8" t="s">
        <v>178</v>
      </c>
      <c r="D99" s="8" t="s">
        <v>206</v>
      </c>
      <c r="E99" s="8" t="s">
        <v>104</v>
      </c>
      <c r="F99" s="8" t="s">
        <v>81</v>
      </c>
      <c r="G99" s="8" t="n">
        <v>2</v>
      </c>
      <c r="H99" s="13" t="n">
        <v>3</v>
      </c>
      <c r="I99" s="8" t="n">
        <v>4</v>
      </c>
      <c r="J99" s="20" t="s">
        <v>259</v>
      </c>
      <c r="K99" s="8"/>
      <c r="L99" s="20" t="s">
        <v>259</v>
      </c>
      <c r="M99" s="16" t="n">
        <f aca="false">H99*Scoring!$C$5</f>
        <v>3.9</v>
      </c>
      <c r="N99" s="16" t="n">
        <f aca="false">IF(I99&gt;=5,1,IF(I99=4,0.75,IF(I99=3,0.5,IF(I99=2,0.25,0))))*Scoring!$C$8</f>
        <v>0.75</v>
      </c>
      <c r="O99" s="16" t="n">
        <f aca="false">IF(J99="Yes",0,Scoring!$C$6)</f>
        <v>2</v>
      </c>
      <c r="P99" s="16" t="n">
        <f aca="false">IF(L99="Yes",0,Scoring!$C$7)</f>
        <v>0.5</v>
      </c>
      <c r="Q99" s="8" t="n">
        <f aca="false">ROUND(SUM(M99:P99),2)</f>
        <v>7.15</v>
      </c>
      <c r="R99" s="8" t="str">
        <f aca="false">IF(Q99&gt;=Scoring!$C$10-0.000001,"Keep","Remove")</f>
        <v>Keep</v>
      </c>
      <c r="S99" s="8" t="s">
        <v>166</v>
      </c>
    </row>
    <row r="100" customFormat="false" ht="15" hidden="false" customHeight="false" outlineLevel="0" collapsed="false">
      <c r="A100" s="8" t="s">
        <v>958</v>
      </c>
      <c r="B100" s="8" t="s">
        <v>959</v>
      </c>
      <c r="C100" s="8" t="s">
        <v>178</v>
      </c>
      <c r="D100" s="8" t="s">
        <v>206</v>
      </c>
      <c r="E100" s="8" t="s">
        <v>104</v>
      </c>
      <c r="F100" s="8" t="s">
        <v>81</v>
      </c>
      <c r="G100" s="8" t="n">
        <v>1</v>
      </c>
      <c r="H100" s="13" t="n">
        <v>5</v>
      </c>
      <c r="I100" s="8" t="n">
        <v>5</v>
      </c>
      <c r="J100" s="20" t="s">
        <v>259</v>
      </c>
      <c r="K100" s="8"/>
      <c r="L100" s="20" t="s">
        <v>259</v>
      </c>
      <c r="M100" s="16" t="n">
        <f aca="false">H100*Scoring!$C$5</f>
        <v>6.5</v>
      </c>
      <c r="N100" s="16" t="n">
        <f aca="false">IF(I100&gt;=5,1,IF(I100=4,0.75,IF(I100=3,0.5,IF(I100=2,0.25,0))))*Scoring!$C$8</f>
        <v>1</v>
      </c>
      <c r="O100" s="16" t="n">
        <f aca="false">IF(J100="Yes",0,Scoring!$C$6)</f>
        <v>2</v>
      </c>
      <c r="P100" s="16" t="n">
        <f aca="false">IF(L100="Yes",0,Scoring!$C$7)</f>
        <v>0.5</v>
      </c>
      <c r="Q100" s="8" t="n">
        <f aca="false">ROUND(SUM(M100:P100),2)</f>
        <v>10</v>
      </c>
      <c r="R100" s="8" t="str">
        <f aca="false">IF(Q100&gt;=Scoring!$C$10-0.000001,"Keep","Remove")</f>
        <v>Keep</v>
      </c>
      <c r="S100" s="8" t="s">
        <v>166</v>
      </c>
    </row>
    <row r="101" customFormat="false" ht="15" hidden="false" customHeight="false" outlineLevel="0" collapsed="false">
      <c r="A101" s="8" t="s">
        <v>969</v>
      </c>
      <c r="B101" s="8" t="s">
        <v>970</v>
      </c>
      <c r="C101" s="8" t="s">
        <v>178</v>
      </c>
      <c r="D101" s="8" t="s">
        <v>206</v>
      </c>
      <c r="E101" s="8" t="s">
        <v>104</v>
      </c>
      <c r="F101" s="8" t="s">
        <v>81</v>
      </c>
      <c r="G101" s="8" t="n">
        <v>1</v>
      </c>
      <c r="H101" s="13" t="n">
        <v>4</v>
      </c>
      <c r="I101" s="8" t="n">
        <v>5</v>
      </c>
      <c r="J101" s="20" t="s">
        <v>259</v>
      </c>
      <c r="K101" s="8"/>
      <c r="L101" s="20" t="s">
        <v>259</v>
      </c>
      <c r="M101" s="16" t="n">
        <f aca="false">H101*Scoring!$C$5</f>
        <v>5.2</v>
      </c>
      <c r="N101" s="16" t="n">
        <f aca="false">IF(I101&gt;=5,1,IF(I101=4,0.75,IF(I101=3,0.5,IF(I101=2,0.25,0))))*Scoring!$C$8</f>
        <v>1</v>
      </c>
      <c r="O101" s="16" t="n">
        <f aca="false">IF(J101="Yes",0,Scoring!$C$6)</f>
        <v>2</v>
      </c>
      <c r="P101" s="16" t="n">
        <f aca="false">IF(L101="Yes",0,Scoring!$C$7)</f>
        <v>0.5</v>
      </c>
      <c r="Q101" s="8" t="n">
        <f aca="false">ROUND(SUM(M101:P101),2)</f>
        <v>8.7</v>
      </c>
      <c r="R101" s="8" t="str">
        <f aca="false">IF(Q101&gt;=Scoring!$C$10-0.000001,"Keep","Remove")</f>
        <v>Keep</v>
      </c>
      <c r="S101" s="8" t="s">
        <v>166</v>
      </c>
    </row>
    <row r="102" customFormat="false" ht="15" hidden="false" customHeight="false" outlineLevel="0" collapsed="false">
      <c r="A102" s="8" t="s">
        <v>980</v>
      </c>
      <c r="B102" s="8" t="s">
        <v>981</v>
      </c>
      <c r="C102" s="8" t="s">
        <v>178</v>
      </c>
      <c r="D102" s="8" t="s">
        <v>206</v>
      </c>
      <c r="E102" s="8" t="s">
        <v>104</v>
      </c>
      <c r="F102" s="8" t="s">
        <v>81</v>
      </c>
      <c r="G102" s="8" t="n">
        <v>1</v>
      </c>
      <c r="H102" s="13" t="n">
        <v>5</v>
      </c>
      <c r="I102" s="8" t="n">
        <v>5</v>
      </c>
      <c r="J102" s="20" t="s">
        <v>259</v>
      </c>
      <c r="K102" s="8"/>
      <c r="L102" s="20" t="s">
        <v>259</v>
      </c>
      <c r="M102" s="16" t="n">
        <f aca="false">H102*Scoring!$C$5</f>
        <v>6.5</v>
      </c>
      <c r="N102" s="16" t="n">
        <f aca="false">IF(I102&gt;=5,1,IF(I102=4,0.75,IF(I102=3,0.5,IF(I102=2,0.25,0))))*Scoring!$C$8</f>
        <v>1</v>
      </c>
      <c r="O102" s="16" t="n">
        <f aca="false">IF(J102="Yes",0,Scoring!$C$6)</f>
        <v>2</v>
      </c>
      <c r="P102" s="16" t="n">
        <f aca="false">IF(L102="Yes",0,Scoring!$C$7)</f>
        <v>0.5</v>
      </c>
      <c r="Q102" s="8" t="n">
        <f aca="false">ROUND(SUM(M102:P102),2)</f>
        <v>10</v>
      </c>
      <c r="R102" s="8" t="str">
        <f aca="false">IF(Q102&gt;=Scoring!$C$10-0.000001,"Keep","Remove")</f>
        <v>Keep</v>
      </c>
      <c r="S102" s="8" t="s">
        <v>166</v>
      </c>
    </row>
    <row r="103" customFormat="false" ht="15" hidden="false" customHeight="false" outlineLevel="0" collapsed="false">
      <c r="A103" s="8" t="s">
        <v>993</v>
      </c>
      <c r="B103" s="8" t="s">
        <v>994</v>
      </c>
      <c r="C103" s="8" t="s">
        <v>178</v>
      </c>
      <c r="D103" s="8" t="s">
        <v>206</v>
      </c>
      <c r="E103" s="8" t="s">
        <v>116</v>
      </c>
      <c r="F103" s="8" t="s">
        <v>78</v>
      </c>
      <c r="G103" s="8" t="n">
        <v>1</v>
      </c>
      <c r="H103" s="13" t="n">
        <v>4</v>
      </c>
      <c r="I103" s="8" t="n">
        <v>4</v>
      </c>
      <c r="J103" s="20" t="s">
        <v>259</v>
      </c>
      <c r="K103" s="8"/>
      <c r="L103" s="20" t="s">
        <v>259</v>
      </c>
      <c r="M103" s="16" t="n">
        <f aca="false">H103*Scoring!$C$5</f>
        <v>5.2</v>
      </c>
      <c r="N103" s="16" t="n">
        <f aca="false">IF(I103&gt;=5,1,IF(I103=4,0.75,IF(I103=3,0.5,IF(I103=2,0.25,0))))*Scoring!$C$8</f>
        <v>0.75</v>
      </c>
      <c r="O103" s="16" t="n">
        <f aca="false">IF(J103="Yes",0,Scoring!$C$6)</f>
        <v>2</v>
      </c>
      <c r="P103" s="16" t="n">
        <f aca="false">IF(L103="Yes",0,Scoring!$C$7)</f>
        <v>0.5</v>
      </c>
      <c r="Q103" s="8" t="n">
        <f aca="false">ROUND(SUM(M103:P103),2)</f>
        <v>8.45</v>
      </c>
      <c r="R103" s="8" t="str">
        <f aca="false">IF(Q103&gt;=Scoring!$C$10-0.000001,"Keep","Remove")</f>
        <v>Keep</v>
      </c>
      <c r="S103" s="8" t="s">
        <v>166</v>
      </c>
    </row>
    <row r="104" customFormat="false" ht="15" hidden="false" customHeight="false" outlineLevel="0" collapsed="false">
      <c r="A104" s="8" t="s">
        <v>1002</v>
      </c>
      <c r="B104" s="8" t="s">
        <v>1003</v>
      </c>
      <c r="C104" s="8" t="s">
        <v>178</v>
      </c>
      <c r="D104" s="8" t="s">
        <v>206</v>
      </c>
      <c r="E104" s="8" t="s">
        <v>116</v>
      </c>
      <c r="F104" s="8" t="s">
        <v>78</v>
      </c>
      <c r="G104" s="8" t="n">
        <v>1</v>
      </c>
      <c r="H104" s="13" t="n">
        <v>4</v>
      </c>
      <c r="I104" s="8" t="n">
        <v>5</v>
      </c>
      <c r="J104" s="20" t="s">
        <v>259</v>
      </c>
      <c r="K104" s="8"/>
      <c r="L104" s="20" t="s">
        <v>259</v>
      </c>
      <c r="M104" s="16" t="n">
        <f aca="false">H104*Scoring!$C$5</f>
        <v>5.2</v>
      </c>
      <c r="N104" s="16" t="n">
        <f aca="false">IF(I104&gt;=5,1,IF(I104=4,0.75,IF(I104=3,0.5,IF(I104=2,0.25,0))))*Scoring!$C$8</f>
        <v>1</v>
      </c>
      <c r="O104" s="16" t="n">
        <f aca="false">IF(J104="Yes",0,Scoring!$C$6)</f>
        <v>2</v>
      </c>
      <c r="P104" s="16" t="n">
        <f aca="false">IF(L104="Yes",0,Scoring!$C$7)</f>
        <v>0.5</v>
      </c>
      <c r="Q104" s="8" t="n">
        <f aca="false">ROUND(SUM(M104:P104),2)</f>
        <v>8.7</v>
      </c>
      <c r="R104" s="8" t="str">
        <f aca="false">IF(Q104&gt;=Scoring!$C$10-0.000001,"Keep","Remove")</f>
        <v>Keep</v>
      </c>
      <c r="S104" s="8" t="s">
        <v>166</v>
      </c>
    </row>
    <row r="105" customFormat="false" ht="15" hidden="false" customHeight="false" outlineLevel="0" collapsed="false">
      <c r="A105" s="8" t="s">
        <v>1012</v>
      </c>
      <c r="B105" s="8" t="s">
        <v>1013</v>
      </c>
      <c r="C105" s="8" t="s">
        <v>178</v>
      </c>
      <c r="D105" s="8" t="s">
        <v>206</v>
      </c>
      <c r="E105" s="8" t="s">
        <v>116</v>
      </c>
      <c r="F105" s="8" t="s">
        <v>78</v>
      </c>
      <c r="G105" s="8" t="n">
        <v>2</v>
      </c>
      <c r="H105" s="13" t="n">
        <v>3</v>
      </c>
      <c r="I105" s="8" t="n">
        <v>5</v>
      </c>
      <c r="J105" s="20" t="s">
        <v>259</v>
      </c>
      <c r="K105" s="8"/>
      <c r="L105" s="20" t="s">
        <v>259</v>
      </c>
      <c r="M105" s="16" t="n">
        <f aca="false">H105*Scoring!$C$5</f>
        <v>3.9</v>
      </c>
      <c r="N105" s="16" t="n">
        <f aca="false">IF(I105&gt;=5,1,IF(I105=4,0.75,IF(I105=3,0.5,IF(I105=2,0.25,0))))*Scoring!$C$8</f>
        <v>1</v>
      </c>
      <c r="O105" s="16" t="n">
        <f aca="false">IF(J105="Yes",0,Scoring!$C$6)</f>
        <v>2</v>
      </c>
      <c r="P105" s="16" t="n">
        <f aca="false">IF(L105="Yes",0,Scoring!$C$7)</f>
        <v>0.5</v>
      </c>
      <c r="Q105" s="8" t="n">
        <f aca="false">ROUND(SUM(M105:P105),2)</f>
        <v>7.4</v>
      </c>
      <c r="R105" s="8" t="str">
        <f aca="false">IF(Q105&gt;=Scoring!$C$10-0.000001,"Keep","Remove")</f>
        <v>Keep</v>
      </c>
      <c r="S105" s="8" t="s">
        <v>166</v>
      </c>
    </row>
    <row r="106" customFormat="false" ht="15" hidden="false" customHeight="false" outlineLevel="0" collapsed="false">
      <c r="A106" s="8" t="s">
        <v>1021</v>
      </c>
      <c r="B106" s="8" t="s">
        <v>1022</v>
      </c>
      <c r="C106" s="8" t="s">
        <v>178</v>
      </c>
      <c r="D106" s="8" t="s">
        <v>206</v>
      </c>
      <c r="E106" s="8" t="s">
        <v>116</v>
      </c>
      <c r="F106" s="8" t="s">
        <v>78</v>
      </c>
      <c r="G106" s="8" t="n">
        <v>2</v>
      </c>
      <c r="H106" s="13" t="n">
        <v>3</v>
      </c>
      <c r="I106" s="8" t="n">
        <v>2</v>
      </c>
      <c r="J106" s="20" t="s">
        <v>259</v>
      </c>
      <c r="K106" s="8"/>
      <c r="L106" s="20" t="s">
        <v>259</v>
      </c>
      <c r="M106" s="16" t="n">
        <f aca="false">H106*Scoring!$C$5</f>
        <v>3.9</v>
      </c>
      <c r="N106" s="16" t="n">
        <f aca="false">IF(I106&gt;=5,1,IF(I106=4,0.75,IF(I106=3,0.5,IF(I106=2,0.25,0))))*Scoring!$C$8</f>
        <v>0.25</v>
      </c>
      <c r="O106" s="16" t="n">
        <f aca="false">IF(J106="Yes",0,Scoring!$C$6)</f>
        <v>2</v>
      </c>
      <c r="P106" s="16" t="n">
        <f aca="false">IF(L106="Yes",0,Scoring!$C$7)</f>
        <v>0.5</v>
      </c>
      <c r="Q106" s="8" t="n">
        <f aca="false">ROUND(SUM(M106:P106),2)</f>
        <v>6.65</v>
      </c>
      <c r="R106" s="8" t="str">
        <f aca="false">IF(Q106&gt;=Scoring!$C$10-0.000001,"Keep","Remove")</f>
        <v>Keep</v>
      </c>
      <c r="S106" s="8" t="s">
        <v>166</v>
      </c>
    </row>
    <row r="107" customFormat="false" ht="15" hidden="false" customHeight="false" outlineLevel="0" collapsed="false">
      <c r="A107" s="8" t="s">
        <v>1028</v>
      </c>
      <c r="B107" s="8" t="s">
        <v>1029</v>
      </c>
      <c r="C107" s="8" t="s">
        <v>178</v>
      </c>
      <c r="D107" s="8" t="s">
        <v>206</v>
      </c>
      <c r="E107" s="8" t="s">
        <v>116</v>
      </c>
      <c r="F107" s="8" t="s">
        <v>80</v>
      </c>
      <c r="G107" s="8" t="n">
        <v>2</v>
      </c>
      <c r="H107" s="13" t="n">
        <v>3</v>
      </c>
      <c r="I107" s="8" t="n">
        <v>4</v>
      </c>
      <c r="J107" s="20" t="s">
        <v>259</v>
      </c>
      <c r="K107" s="8"/>
      <c r="L107" s="20" t="s">
        <v>259</v>
      </c>
      <c r="M107" s="16" t="n">
        <f aca="false">H107*Scoring!$C$5</f>
        <v>3.9</v>
      </c>
      <c r="N107" s="16" t="n">
        <f aca="false">IF(I107&gt;=5,1,IF(I107=4,0.75,IF(I107=3,0.5,IF(I107=2,0.25,0))))*Scoring!$C$8</f>
        <v>0.75</v>
      </c>
      <c r="O107" s="16" t="n">
        <f aca="false">IF(J107="Yes",0,Scoring!$C$6)</f>
        <v>2</v>
      </c>
      <c r="P107" s="16" t="n">
        <f aca="false">IF(L107="Yes",0,Scoring!$C$7)</f>
        <v>0.5</v>
      </c>
      <c r="Q107" s="8" t="n">
        <f aca="false">ROUND(SUM(M107:P107),2)</f>
        <v>7.15</v>
      </c>
      <c r="R107" s="8" t="str">
        <f aca="false">IF(Q107&gt;=Scoring!$C$10-0.000001,"Keep","Remove")</f>
        <v>Keep</v>
      </c>
      <c r="S107" s="8" t="s">
        <v>166</v>
      </c>
    </row>
    <row r="108" customFormat="false" ht="15" hidden="false" customHeight="false" outlineLevel="0" collapsed="false">
      <c r="A108" s="8" t="s">
        <v>7254</v>
      </c>
      <c r="B108" s="8" t="s">
        <v>7255</v>
      </c>
      <c r="C108" s="8" t="s">
        <v>178</v>
      </c>
      <c r="D108" s="8" t="s">
        <v>206</v>
      </c>
      <c r="E108" s="8" t="s">
        <v>116</v>
      </c>
      <c r="F108" s="8" t="s">
        <v>78</v>
      </c>
      <c r="G108" s="8" t="n">
        <v>3</v>
      </c>
      <c r="H108" s="13" t="n">
        <v>2</v>
      </c>
      <c r="I108" s="8" t="n">
        <v>5</v>
      </c>
      <c r="J108" s="20" t="s">
        <v>259</v>
      </c>
      <c r="K108" s="8"/>
      <c r="L108" s="20" t="s">
        <v>259</v>
      </c>
      <c r="M108" s="16" t="n">
        <f aca="false">H108*Scoring!$C$5</f>
        <v>2.6</v>
      </c>
      <c r="N108" s="16" t="n">
        <f aca="false">IF(I108&gt;=5,1,IF(I108=4,0.75,IF(I108=3,0.5,IF(I108=2,0.25,0))))*Scoring!$C$8</f>
        <v>1</v>
      </c>
      <c r="O108" s="16" t="n">
        <f aca="false">IF(J108="Yes",0,Scoring!$C$6)</f>
        <v>2</v>
      </c>
      <c r="P108" s="16" t="n">
        <f aca="false">IF(L108="Yes",0,Scoring!$C$7)</f>
        <v>0.5</v>
      </c>
      <c r="Q108" s="8" t="n">
        <f aca="false">ROUND(SUM(M108:P108),2)</f>
        <v>6.1</v>
      </c>
      <c r="R108" s="8" t="str">
        <f aca="false">IF(Q108&gt;=Scoring!$C$10-0.000001,"Keep","Remove")</f>
        <v>Remove</v>
      </c>
      <c r="S108" s="8" t="s">
        <v>7243</v>
      </c>
    </row>
    <row r="109" customFormat="false" ht="15" hidden="false" customHeight="false" outlineLevel="0" collapsed="false">
      <c r="A109" s="8" t="s">
        <v>1040</v>
      </c>
      <c r="B109" s="8" t="s">
        <v>1041</v>
      </c>
      <c r="C109" s="8" t="s">
        <v>178</v>
      </c>
      <c r="D109" s="8" t="s">
        <v>206</v>
      </c>
      <c r="E109" s="8" t="s">
        <v>116</v>
      </c>
      <c r="F109" s="8" t="s">
        <v>88</v>
      </c>
      <c r="G109" s="8" t="n">
        <v>2</v>
      </c>
      <c r="H109" s="13" t="n">
        <v>3</v>
      </c>
      <c r="I109" s="8" t="n">
        <v>2</v>
      </c>
      <c r="J109" s="20" t="s">
        <v>259</v>
      </c>
      <c r="K109" s="8"/>
      <c r="L109" s="20" t="s">
        <v>259</v>
      </c>
      <c r="M109" s="16" t="n">
        <f aca="false">H109*Scoring!$C$5</f>
        <v>3.9</v>
      </c>
      <c r="N109" s="16" t="n">
        <f aca="false">IF(I109&gt;=5,1,IF(I109=4,0.75,IF(I109=3,0.5,IF(I109=2,0.25,0))))*Scoring!$C$8</f>
        <v>0.25</v>
      </c>
      <c r="O109" s="16" t="n">
        <f aca="false">IF(J109="Yes",0,Scoring!$C$6)</f>
        <v>2</v>
      </c>
      <c r="P109" s="16" t="n">
        <f aca="false">IF(L109="Yes",0,Scoring!$C$7)</f>
        <v>0.5</v>
      </c>
      <c r="Q109" s="8" t="n">
        <f aca="false">ROUND(SUM(M109:P109),2)</f>
        <v>6.65</v>
      </c>
      <c r="R109" s="8" t="str">
        <f aca="false">IF(Q109&gt;=Scoring!$C$10-0.000001,"Keep","Remove")</f>
        <v>Keep</v>
      </c>
      <c r="S109" s="8" t="s">
        <v>166</v>
      </c>
    </row>
    <row r="110" customFormat="false" ht="15" hidden="false" customHeight="false" outlineLevel="0" collapsed="false">
      <c r="A110" s="8" t="s">
        <v>7438</v>
      </c>
      <c r="B110" s="8" t="s">
        <v>7439</v>
      </c>
      <c r="C110" s="8" t="s">
        <v>178</v>
      </c>
      <c r="D110" s="8" t="s">
        <v>206</v>
      </c>
      <c r="E110" s="8" t="s">
        <v>116</v>
      </c>
      <c r="F110" s="8" t="s">
        <v>79</v>
      </c>
      <c r="G110" s="8" t="n">
        <v>3</v>
      </c>
      <c r="H110" s="13" t="n">
        <v>2</v>
      </c>
      <c r="I110" s="8" t="n">
        <v>4</v>
      </c>
      <c r="J110" s="20" t="s">
        <v>259</v>
      </c>
      <c r="K110" s="8"/>
      <c r="L110" s="20" t="s">
        <v>259</v>
      </c>
      <c r="M110" s="16" t="n">
        <f aca="false">H110*Scoring!$C$5</f>
        <v>2.6</v>
      </c>
      <c r="N110" s="16" t="n">
        <f aca="false">IF(I110&gt;=5,1,IF(I110=4,0.75,IF(I110=3,0.5,IF(I110=2,0.25,0))))*Scoring!$C$8</f>
        <v>0.75</v>
      </c>
      <c r="O110" s="16" t="n">
        <f aca="false">IF(J110="Yes",0,Scoring!$C$6)</f>
        <v>2</v>
      </c>
      <c r="P110" s="16" t="n">
        <f aca="false">IF(L110="Yes",0,Scoring!$C$7)</f>
        <v>0.5</v>
      </c>
      <c r="Q110" s="8" t="n">
        <f aca="false">ROUND(SUM(M110:P110),2)</f>
        <v>5.85</v>
      </c>
      <c r="R110" s="8" t="str">
        <f aca="false">IF(Q110&gt;=Scoring!$C$10-0.000001,"Keep","Remove")</f>
        <v>Remove</v>
      </c>
      <c r="S110" s="8" t="s">
        <v>7243</v>
      </c>
    </row>
    <row r="111" customFormat="false" ht="15" hidden="false" customHeight="false" outlineLevel="0" collapsed="false">
      <c r="A111" s="8" t="s">
        <v>7650</v>
      </c>
      <c r="B111" s="8" t="s">
        <v>7651</v>
      </c>
      <c r="C111" s="8" t="s">
        <v>178</v>
      </c>
      <c r="D111" s="8" t="s">
        <v>206</v>
      </c>
      <c r="E111" s="8" t="s">
        <v>116</v>
      </c>
      <c r="F111" s="8" t="s">
        <v>81</v>
      </c>
      <c r="G111" s="8" t="n">
        <v>3</v>
      </c>
      <c r="H111" s="13" t="n">
        <v>2</v>
      </c>
      <c r="I111" s="8" t="n">
        <v>3</v>
      </c>
      <c r="J111" s="20" t="s">
        <v>259</v>
      </c>
      <c r="K111" s="8"/>
      <c r="L111" s="20" t="s">
        <v>259</v>
      </c>
      <c r="M111" s="16" t="n">
        <f aca="false">H111*Scoring!$C$5</f>
        <v>2.6</v>
      </c>
      <c r="N111" s="16" t="n">
        <f aca="false">IF(I111&gt;=5,1,IF(I111=4,0.75,IF(I111=3,0.5,IF(I111=2,0.25,0))))*Scoring!$C$8</f>
        <v>0.5</v>
      </c>
      <c r="O111" s="16" t="n">
        <f aca="false">IF(J111="Yes",0,Scoring!$C$6)</f>
        <v>2</v>
      </c>
      <c r="P111" s="16" t="n">
        <f aca="false">IF(L111="Yes",0,Scoring!$C$7)</f>
        <v>0.5</v>
      </c>
      <c r="Q111" s="8" t="n">
        <f aca="false">ROUND(SUM(M111:P111),2)</f>
        <v>5.6</v>
      </c>
      <c r="R111" s="8" t="str">
        <f aca="false">IF(Q111&gt;=Scoring!$C$10-0.000001,"Keep","Remove")</f>
        <v>Remove</v>
      </c>
      <c r="S111" s="8" t="s">
        <v>7243</v>
      </c>
    </row>
    <row r="112" customFormat="false" ht="15" hidden="false" customHeight="false" outlineLevel="0" collapsed="false">
      <c r="A112" s="8" t="s">
        <v>1048</v>
      </c>
      <c r="B112" s="8" t="s">
        <v>1049</v>
      </c>
      <c r="C112" s="8" t="s">
        <v>178</v>
      </c>
      <c r="D112" s="8" t="s">
        <v>206</v>
      </c>
      <c r="E112" s="8" t="s">
        <v>105</v>
      </c>
      <c r="F112" s="8" t="s">
        <v>82</v>
      </c>
      <c r="G112" s="8" t="n">
        <v>1</v>
      </c>
      <c r="H112" s="13" t="n">
        <v>5</v>
      </c>
      <c r="I112" s="8" t="n">
        <v>5</v>
      </c>
      <c r="J112" s="20" t="s">
        <v>259</v>
      </c>
      <c r="K112" s="8"/>
      <c r="L112" s="20" t="s">
        <v>259</v>
      </c>
      <c r="M112" s="16" t="n">
        <f aca="false">H112*Scoring!$C$5</f>
        <v>6.5</v>
      </c>
      <c r="N112" s="16" t="n">
        <f aca="false">IF(I112&gt;=5,1,IF(I112=4,0.75,IF(I112=3,0.5,IF(I112=2,0.25,0))))*Scoring!$C$8</f>
        <v>1</v>
      </c>
      <c r="O112" s="16" t="n">
        <f aca="false">IF(J112="Yes",0,Scoring!$C$6)</f>
        <v>2</v>
      </c>
      <c r="P112" s="16" t="n">
        <f aca="false">IF(L112="Yes",0,Scoring!$C$7)</f>
        <v>0.5</v>
      </c>
      <c r="Q112" s="8" t="n">
        <f aca="false">ROUND(SUM(M112:P112),2)</f>
        <v>10</v>
      </c>
      <c r="R112" s="8" t="str">
        <f aca="false">IF(Q112&gt;=Scoring!$C$10-0.000001,"Keep","Remove")</f>
        <v>Keep</v>
      </c>
      <c r="S112" s="8" t="s">
        <v>166</v>
      </c>
    </row>
    <row r="113" customFormat="false" ht="15" hidden="false" customHeight="false" outlineLevel="0" collapsed="false">
      <c r="A113" s="8" t="s">
        <v>1057</v>
      </c>
      <c r="B113" s="8" t="s">
        <v>1058</v>
      </c>
      <c r="C113" s="8" t="s">
        <v>178</v>
      </c>
      <c r="D113" s="8" t="s">
        <v>206</v>
      </c>
      <c r="E113" s="8" t="s">
        <v>105</v>
      </c>
      <c r="F113" s="8" t="s">
        <v>82</v>
      </c>
      <c r="G113" s="8" t="n">
        <v>1</v>
      </c>
      <c r="H113" s="13" t="n">
        <v>5</v>
      </c>
      <c r="I113" s="8" t="n">
        <v>6</v>
      </c>
      <c r="J113" s="20" t="s">
        <v>259</v>
      </c>
      <c r="K113" s="8"/>
      <c r="L113" s="20" t="s">
        <v>259</v>
      </c>
      <c r="M113" s="16" t="n">
        <f aca="false">H113*Scoring!$C$5</f>
        <v>6.5</v>
      </c>
      <c r="N113" s="16" t="n">
        <f aca="false">IF(I113&gt;=5,1,IF(I113=4,0.75,IF(I113=3,0.5,IF(I113=2,0.25,0))))*Scoring!$C$8</f>
        <v>1</v>
      </c>
      <c r="O113" s="16" t="n">
        <f aca="false">IF(J113="Yes",0,Scoring!$C$6)</f>
        <v>2</v>
      </c>
      <c r="P113" s="16" t="n">
        <f aca="false">IF(L113="Yes",0,Scoring!$C$7)</f>
        <v>0.5</v>
      </c>
      <c r="Q113" s="8" t="n">
        <f aca="false">ROUND(SUM(M113:P113),2)</f>
        <v>10</v>
      </c>
      <c r="R113" s="8" t="str">
        <f aca="false">IF(Q113&gt;=Scoring!$C$10-0.000001,"Keep","Remove")</f>
        <v>Keep</v>
      </c>
      <c r="S113" s="8" t="s">
        <v>166</v>
      </c>
    </row>
    <row r="114" customFormat="false" ht="15" hidden="false" customHeight="false" outlineLevel="0" collapsed="false">
      <c r="A114" s="8" t="s">
        <v>1065</v>
      </c>
      <c r="B114" s="8" t="s">
        <v>1066</v>
      </c>
      <c r="C114" s="8" t="s">
        <v>178</v>
      </c>
      <c r="D114" s="8" t="s">
        <v>206</v>
      </c>
      <c r="E114" s="8" t="s">
        <v>109</v>
      </c>
      <c r="F114" s="8" t="s">
        <v>82</v>
      </c>
      <c r="G114" s="8" t="n">
        <v>1</v>
      </c>
      <c r="H114" s="13" t="n">
        <v>5</v>
      </c>
      <c r="I114" s="8" t="n">
        <v>5</v>
      </c>
      <c r="J114" s="20" t="s">
        <v>259</v>
      </c>
      <c r="K114" s="8"/>
      <c r="L114" s="20" t="s">
        <v>259</v>
      </c>
      <c r="M114" s="16" t="n">
        <f aca="false">H114*Scoring!$C$5</f>
        <v>6.5</v>
      </c>
      <c r="N114" s="16" t="n">
        <f aca="false">IF(I114&gt;=5,1,IF(I114=4,0.75,IF(I114=3,0.5,IF(I114=2,0.25,0))))*Scoring!$C$8</f>
        <v>1</v>
      </c>
      <c r="O114" s="16" t="n">
        <f aca="false">IF(J114="Yes",0,Scoring!$C$6)</f>
        <v>2</v>
      </c>
      <c r="P114" s="16" t="n">
        <f aca="false">IF(L114="Yes",0,Scoring!$C$7)</f>
        <v>0.5</v>
      </c>
      <c r="Q114" s="8" t="n">
        <f aca="false">ROUND(SUM(M114:P114),2)</f>
        <v>10</v>
      </c>
      <c r="R114" s="8" t="str">
        <f aca="false">IF(Q114&gt;=Scoring!$C$10-0.000001,"Keep","Remove")</f>
        <v>Keep</v>
      </c>
      <c r="S114" s="8" t="s">
        <v>166</v>
      </c>
    </row>
    <row r="115" customFormat="false" ht="15" hidden="false" customHeight="false" outlineLevel="0" collapsed="false">
      <c r="A115" s="8" t="s">
        <v>1075</v>
      </c>
      <c r="B115" s="8" t="s">
        <v>1076</v>
      </c>
      <c r="C115" s="8" t="s">
        <v>178</v>
      </c>
      <c r="D115" s="8" t="s">
        <v>206</v>
      </c>
      <c r="E115" s="8" t="s">
        <v>105</v>
      </c>
      <c r="F115" s="8" t="s">
        <v>82</v>
      </c>
      <c r="G115" s="8" t="n">
        <v>1</v>
      </c>
      <c r="H115" s="13" t="n">
        <v>5</v>
      </c>
      <c r="I115" s="8" t="n">
        <v>4</v>
      </c>
      <c r="J115" s="20" t="s">
        <v>259</v>
      </c>
      <c r="K115" s="8"/>
      <c r="L115" s="20" t="s">
        <v>259</v>
      </c>
      <c r="M115" s="16" t="n">
        <f aca="false">H115*Scoring!$C$5</f>
        <v>6.5</v>
      </c>
      <c r="N115" s="16" t="n">
        <f aca="false">IF(I115&gt;=5,1,IF(I115=4,0.75,IF(I115=3,0.5,IF(I115=2,0.25,0))))*Scoring!$C$8</f>
        <v>0.75</v>
      </c>
      <c r="O115" s="16" t="n">
        <f aca="false">IF(J115="Yes",0,Scoring!$C$6)</f>
        <v>2</v>
      </c>
      <c r="P115" s="16" t="n">
        <f aca="false">IF(L115="Yes",0,Scoring!$C$7)</f>
        <v>0.5</v>
      </c>
      <c r="Q115" s="8" t="n">
        <f aca="false">ROUND(SUM(M115:P115),2)</f>
        <v>9.75</v>
      </c>
      <c r="R115" s="8" t="str">
        <f aca="false">IF(Q115&gt;=Scoring!$C$10-0.000001,"Keep","Remove")</f>
        <v>Keep</v>
      </c>
      <c r="S115" s="8" t="s">
        <v>166</v>
      </c>
    </row>
    <row r="116" customFormat="false" ht="15" hidden="false" customHeight="false" outlineLevel="0" collapsed="false">
      <c r="A116" s="8" t="s">
        <v>1083</v>
      </c>
      <c r="B116" s="8" t="s">
        <v>1084</v>
      </c>
      <c r="C116" s="8" t="s">
        <v>178</v>
      </c>
      <c r="D116" s="8" t="s">
        <v>206</v>
      </c>
      <c r="E116" s="8" t="s">
        <v>105</v>
      </c>
      <c r="F116" s="8" t="s">
        <v>82</v>
      </c>
      <c r="G116" s="8" t="n">
        <v>1</v>
      </c>
      <c r="H116" s="13" t="n">
        <v>4</v>
      </c>
      <c r="I116" s="8" t="n">
        <v>3</v>
      </c>
      <c r="J116" s="20" t="s">
        <v>259</v>
      </c>
      <c r="K116" s="8"/>
      <c r="L116" s="20" t="s">
        <v>259</v>
      </c>
      <c r="M116" s="16" t="n">
        <f aca="false">H116*Scoring!$C$5</f>
        <v>5.2</v>
      </c>
      <c r="N116" s="16" t="n">
        <f aca="false">IF(I116&gt;=5,1,IF(I116=4,0.75,IF(I116=3,0.5,IF(I116=2,0.25,0))))*Scoring!$C$8</f>
        <v>0.5</v>
      </c>
      <c r="O116" s="16" t="n">
        <f aca="false">IF(J116="Yes",0,Scoring!$C$6)</f>
        <v>2</v>
      </c>
      <c r="P116" s="16" t="n">
        <f aca="false">IF(L116="Yes",0,Scoring!$C$7)</f>
        <v>0.5</v>
      </c>
      <c r="Q116" s="8" t="n">
        <f aca="false">ROUND(SUM(M116:P116),2)</f>
        <v>8.2</v>
      </c>
      <c r="R116" s="8" t="str">
        <f aca="false">IF(Q116&gt;=Scoring!$C$10-0.000001,"Keep","Remove")</f>
        <v>Keep</v>
      </c>
      <c r="S116" s="8" t="s">
        <v>166</v>
      </c>
    </row>
    <row r="117" customFormat="false" ht="15" hidden="false" customHeight="false" outlineLevel="0" collapsed="false">
      <c r="A117" s="8" t="s">
        <v>1094</v>
      </c>
      <c r="B117" s="8" t="s">
        <v>1095</v>
      </c>
      <c r="C117" s="8" t="s">
        <v>178</v>
      </c>
      <c r="D117" s="8" t="s">
        <v>206</v>
      </c>
      <c r="E117" s="8" t="s">
        <v>105</v>
      </c>
      <c r="F117" s="8" t="s">
        <v>84</v>
      </c>
      <c r="G117" s="8" t="n">
        <v>2</v>
      </c>
      <c r="H117" s="13" t="n">
        <v>3</v>
      </c>
      <c r="I117" s="8" t="n">
        <v>5</v>
      </c>
      <c r="J117" s="20" t="s">
        <v>259</v>
      </c>
      <c r="K117" s="8"/>
      <c r="L117" s="20" t="s">
        <v>259</v>
      </c>
      <c r="M117" s="16" t="n">
        <f aca="false">H117*Scoring!$C$5</f>
        <v>3.9</v>
      </c>
      <c r="N117" s="16" t="n">
        <f aca="false">IF(I117&gt;=5,1,IF(I117=4,0.75,IF(I117=3,0.5,IF(I117=2,0.25,0))))*Scoring!$C$8</f>
        <v>1</v>
      </c>
      <c r="O117" s="16" t="n">
        <f aca="false">IF(J117="Yes",0,Scoring!$C$6)</f>
        <v>2</v>
      </c>
      <c r="P117" s="16" t="n">
        <f aca="false">IF(L117="Yes",0,Scoring!$C$7)</f>
        <v>0.5</v>
      </c>
      <c r="Q117" s="8" t="n">
        <f aca="false">ROUND(SUM(M117:P117),2)</f>
        <v>7.4</v>
      </c>
      <c r="R117" s="8" t="str">
        <f aca="false">IF(Q117&gt;=Scoring!$C$10-0.000001,"Keep","Remove")</f>
        <v>Keep</v>
      </c>
      <c r="S117" s="8" t="s">
        <v>166</v>
      </c>
    </row>
    <row r="118" customFormat="false" ht="15" hidden="false" customHeight="false" outlineLevel="0" collapsed="false">
      <c r="A118" s="8" t="s">
        <v>1100</v>
      </c>
      <c r="B118" s="8" t="s">
        <v>1101</v>
      </c>
      <c r="C118" s="8" t="s">
        <v>178</v>
      </c>
      <c r="D118" s="8" t="s">
        <v>206</v>
      </c>
      <c r="E118" s="8" t="s">
        <v>105</v>
      </c>
      <c r="F118" s="8" t="s">
        <v>78</v>
      </c>
      <c r="G118" s="8" t="n">
        <v>1</v>
      </c>
      <c r="H118" s="13" t="n">
        <v>5</v>
      </c>
      <c r="I118" s="8" t="n">
        <v>5</v>
      </c>
      <c r="J118" s="20" t="s">
        <v>259</v>
      </c>
      <c r="K118" s="8"/>
      <c r="L118" s="20" t="s">
        <v>259</v>
      </c>
      <c r="M118" s="16" t="n">
        <f aca="false">H118*Scoring!$C$5</f>
        <v>6.5</v>
      </c>
      <c r="N118" s="16" t="n">
        <f aca="false">IF(I118&gt;=5,1,IF(I118=4,0.75,IF(I118=3,0.5,IF(I118=2,0.25,0))))*Scoring!$C$8</f>
        <v>1</v>
      </c>
      <c r="O118" s="16" t="n">
        <f aca="false">IF(J118="Yes",0,Scoring!$C$6)</f>
        <v>2</v>
      </c>
      <c r="P118" s="16" t="n">
        <f aca="false">IF(L118="Yes",0,Scoring!$C$7)</f>
        <v>0.5</v>
      </c>
      <c r="Q118" s="8" t="n">
        <f aca="false">ROUND(SUM(M118:P118),2)</f>
        <v>10</v>
      </c>
      <c r="R118" s="8" t="str">
        <f aca="false">IF(Q118&gt;=Scoring!$C$10-0.000001,"Keep","Remove")</f>
        <v>Keep</v>
      </c>
      <c r="S118" s="8" t="s">
        <v>166</v>
      </c>
    </row>
    <row r="119" customFormat="false" ht="15" hidden="false" customHeight="false" outlineLevel="0" collapsed="false">
      <c r="A119" s="8" t="s">
        <v>1110</v>
      </c>
      <c r="B119" s="8" t="s">
        <v>1111</v>
      </c>
      <c r="C119" s="8" t="s">
        <v>178</v>
      </c>
      <c r="D119" s="8" t="s">
        <v>206</v>
      </c>
      <c r="E119" s="8" t="s">
        <v>105</v>
      </c>
      <c r="F119" s="8" t="s">
        <v>83</v>
      </c>
      <c r="G119" s="8" t="n">
        <v>1</v>
      </c>
      <c r="H119" s="13" t="n">
        <v>4</v>
      </c>
      <c r="I119" s="8" t="n">
        <v>2</v>
      </c>
      <c r="J119" s="20" t="s">
        <v>259</v>
      </c>
      <c r="K119" s="8"/>
      <c r="L119" s="20" t="s">
        <v>259</v>
      </c>
      <c r="M119" s="16" t="n">
        <f aca="false">H119*Scoring!$C$5</f>
        <v>5.2</v>
      </c>
      <c r="N119" s="16" t="n">
        <f aca="false">IF(I119&gt;=5,1,IF(I119=4,0.75,IF(I119=3,0.5,IF(I119=2,0.25,0))))*Scoring!$C$8</f>
        <v>0.25</v>
      </c>
      <c r="O119" s="16" t="n">
        <f aca="false">IF(J119="Yes",0,Scoring!$C$6)</f>
        <v>2</v>
      </c>
      <c r="P119" s="16" t="n">
        <f aca="false">IF(L119="Yes",0,Scoring!$C$7)</f>
        <v>0.5</v>
      </c>
      <c r="Q119" s="8" t="n">
        <f aca="false">ROUND(SUM(M119:P119),2)</f>
        <v>7.95</v>
      </c>
      <c r="R119" s="8" t="str">
        <f aca="false">IF(Q119&gt;=Scoring!$C$10-0.000001,"Keep","Remove")</f>
        <v>Keep</v>
      </c>
      <c r="S119" s="8" t="s">
        <v>166</v>
      </c>
    </row>
    <row r="120" customFormat="false" ht="15" hidden="false" customHeight="false" outlineLevel="0" collapsed="false">
      <c r="A120" s="8" t="s">
        <v>1118</v>
      </c>
      <c r="B120" s="8" t="s">
        <v>1119</v>
      </c>
      <c r="C120" s="8" t="s">
        <v>178</v>
      </c>
      <c r="D120" s="8" t="s">
        <v>206</v>
      </c>
      <c r="E120" s="8" t="s">
        <v>105</v>
      </c>
      <c r="F120" s="8" t="s">
        <v>78</v>
      </c>
      <c r="G120" s="8" t="n">
        <v>1</v>
      </c>
      <c r="H120" s="13" t="n">
        <v>4</v>
      </c>
      <c r="I120" s="8" t="n">
        <v>4</v>
      </c>
      <c r="J120" s="20" t="s">
        <v>259</v>
      </c>
      <c r="K120" s="8"/>
      <c r="L120" s="20" t="s">
        <v>259</v>
      </c>
      <c r="M120" s="16" t="n">
        <f aca="false">H120*Scoring!$C$5</f>
        <v>5.2</v>
      </c>
      <c r="N120" s="16" t="n">
        <f aca="false">IF(I120&gt;=5,1,IF(I120=4,0.75,IF(I120=3,0.5,IF(I120=2,0.25,0))))*Scoring!$C$8</f>
        <v>0.75</v>
      </c>
      <c r="O120" s="16" t="n">
        <f aca="false">IF(J120="Yes",0,Scoring!$C$6)</f>
        <v>2</v>
      </c>
      <c r="P120" s="16" t="n">
        <f aca="false">IF(L120="Yes",0,Scoring!$C$7)</f>
        <v>0.5</v>
      </c>
      <c r="Q120" s="8" t="n">
        <f aca="false">ROUND(SUM(M120:P120),2)</f>
        <v>8.45</v>
      </c>
      <c r="R120" s="8" t="str">
        <f aca="false">IF(Q120&gt;=Scoring!$C$10-0.000001,"Keep","Remove")</f>
        <v>Keep</v>
      </c>
      <c r="S120" s="8" t="s">
        <v>166</v>
      </c>
    </row>
    <row r="121" customFormat="false" ht="15" hidden="false" customHeight="false" outlineLevel="0" collapsed="false">
      <c r="A121" s="8" t="s">
        <v>1126</v>
      </c>
      <c r="B121" s="8" t="s">
        <v>1127</v>
      </c>
      <c r="C121" s="8" t="s">
        <v>178</v>
      </c>
      <c r="D121" s="8" t="s">
        <v>206</v>
      </c>
      <c r="E121" s="8" t="s">
        <v>105</v>
      </c>
      <c r="F121" s="8" t="s">
        <v>81</v>
      </c>
      <c r="G121" s="8" t="n">
        <v>2</v>
      </c>
      <c r="H121" s="13" t="n">
        <v>3</v>
      </c>
      <c r="I121" s="8" t="n">
        <v>5</v>
      </c>
      <c r="J121" s="20" t="s">
        <v>259</v>
      </c>
      <c r="K121" s="8"/>
      <c r="L121" s="20" t="s">
        <v>259</v>
      </c>
      <c r="M121" s="16" t="n">
        <f aca="false">H121*Scoring!$C$5</f>
        <v>3.9</v>
      </c>
      <c r="N121" s="16" t="n">
        <f aca="false">IF(I121&gt;=5,1,IF(I121=4,0.75,IF(I121=3,0.5,IF(I121=2,0.25,0))))*Scoring!$C$8</f>
        <v>1</v>
      </c>
      <c r="O121" s="16" t="n">
        <f aca="false">IF(J121="Yes",0,Scoring!$C$6)</f>
        <v>2</v>
      </c>
      <c r="P121" s="16" t="n">
        <f aca="false">IF(L121="Yes",0,Scoring!$C$7)</f>
        <v>0.5</v>
      </c>
      <c r="Q121" s="8" t="n">
        <f aca="false">ROUND(SUM(M121:P121),2)</f>
        <v>7.4</v>
      </c>
      <c r="R121" s="8" t="str">
        <f aca="false">IF(Q121&gt;=Scoring!$C$10-0.000001,"Keep","Remove")</f>
        <v>Keep</v>
      </c>
      <c r="S121" s="8" t="s">
        <v>166</v>
      </c>
    </row>
    <row r="122" customFormat="false" ht="15" hidden="false" customHeight="false" outlineLevel="0" collapsed="false">
      <c r="A122" s="8" t="s">
        <v>1137</v>
      </c>
      <c r="B122" s="8" t="s">
        <v>1138</v>
      </c>
      <c r="C122" s="8" t="s">
        <v>178</v>
      </c>
      <c r="D122" s="8" t="s">
        <v>206</v>
      </c>
      <c r="E122" s="8" t="s">
        <v>105</v>
      </c>
      <c r="F122" s="8" t="s">
        <v>82</v>
      </c>
      <c r="G122" s="8" t="n">
        <v>2</v>
      </c>
      <c r="H122" s="13" t="n">
        <v>3</v>
      </c>
      <c r="I122" s="8" t="n">
        <v>3</v>
      </c>
      <c r="J122" s="20" t="s">
        <v>259</v>
      </c>
      <c r="K122" s="8"/>
      <c r="L122" s="20" t="s">
        <v>259</v>
      </c>
      <c r="M122" s="16" t="n">
        <f aca="false">H122*Scoring!$C$5</f>
        <v>3.9</v>
      </c>
      <c r="N122" s="16" t="n">
        <f aca="false">IF(I122&gt;=5,1,IF(I122=4,0.75,IF(I122=3,0.5,IF(I122=2,0.25,0))))*Scoring!$C$8</f>
        <v>0.5</v>
      </c>
      <c r="O122" s="16" t="n">
        <f aca="false">IF(J122="Yes",0,Scoring!$C$6)</f>
        <v>2</v>
      </c>
      <c r="P122" s="16" t="n">
        <f aca="false">IF(L122="Yes",0,Scoring!$C$7)</f>
        <v>0.5</v>
      </c>
      <c r="Q122" s="8" t="n">
        <f aca="false">ROUND(SUM(M122:P122),2)</f>
        <v>6.9</v>
      </c>
      <c r="R122" s="8" t="str">
        <f aca="false">IF(Q122&gt;=Scoring!$C$10-0.000001,"Keep","Remove")</f>
        <v>Keep</v>
      </c>
      <c r="S122" s="8" t="s">
        <v>166</v>
      </c>
    </row>
    <row r="123" customFormat="false" ht="15" hidden="false" customHeight="false" outlineLevel="0" collapsed="false">
      <c r="A123" s="8" t="s">
        <v>1147</v>
      </c>
      <c r="B123" s="8" t="s">
        <v>1148</v>
      </c>
      <c r="C123" s="8" t="s">
        <v>178</v>
      </c>
      <c r="D123" s="8" t="s">
        <v>206</v>
      </c>
      <c r="E123" s="8" t="s">
        <v>105</v>
      </c>
      <c r="F123" s="8" t="s">
        <v>85</v>
      </c>
      <c r="G123" s="8" t="n">
        <v>2</v>
      </c>
      <c r="H123" s="13" t="n">
        <v>3</v>
      </c>
      <c r="I123" s="8" t="n">
        <v>5</v>
      </c>
      <c r="J123" s="20" t="s">
        <v>259</v>
      </c>
      <c r="K123" s="8"/>
      <c r="L123" s="20" t="s">
        <v>259</v>
      </c>
      <c r="M123" s="16" t="n">
        <f aca="false">H123*Scoring!$C$5</f>
        <v>3.9</v>
      </c>
      <c r="N123" s="16" t="n">
        <f aca="false">IF(I123&gt;=5,1,IF(I123=4,0.75,IF(I123=3,0.5,IF(I123=2,0.25,0))))*Scoring!$C$8</f>
        <v>1</v>
      </c>
      <c r="O123" s="16" t="n">
        <f aca="false">IF(J123="Yes",0,Scoring!$C$6)</f>
        <v>2</v>
      </c>
      <c r="P123" s="16" t="n">
        <f aca="false">IF(L123="Yes",0,Scoring!$C$7)</f>
        <v>0.5</v>
      </c>
      <c r="Q123" s="8" t="n">
        <f aca="false">ROUND(SUM(M123:P123),2)</f>
        <v>7.4</v>
      </c>
      <c r="R123" s="8" t="str">
        <f aca="false">IF(Q123&gt;=Scoring!$C$10-0.000001,"Keep","Remove")</f>
        <v>Keep</v>
      </c>
      <c r="S123" s="8" t="s">
        <v>166</v>
      </c>
    </row>
    <row r="124" customFormat="false" ht="15" hidden="false" customHeight="false" outlineLevel="0" collapsed="false">
      <c r="A124" s="8" t="s">
        <v>1155</v>
      </c>
      <c r="B124" s="8" t="s">
        <v>1156</v>
      </c>
      <c r="C124" s="8" t="s">
        <v>178</v>
      </c>
      <c r="D124" s="8" t="s">
        <v>206</v>
      </c>
      <c r="E124" s="8" t="s">
        <v>105</v>
      </c>
      <c r="F124" s="8" t="s">
        <v>85</v>
      </c>
      <c r="G124" s="8" t="n">
        <v>2</v>
      </c>
      <c r="H124" s="13" t="n">
        <v>3</v>
      </c>
      <c r="I124" s="8" t="n">
        <v>5</v>
      </c>
      <c r="J124" s="20" t="s">
        <v>259</v>
      </c>
      <c r="K124" s="8"/>
      <c r="L124" s="20" t="s">
        <v>259</v>
      </c>
      <c r="M124" s="16" t="n">
        <f aca="false">H124*Scoring!$C$5</f>
        <v>3.9</v>
      </c>
      <c r="N124" s="16" t="n">
        <f aca="false">IF(I124&gt;=5,1,IF(I124=4,0.75,IF(I124=3,0.5,IF(I124=2,0.25,0))))*Scoring!$C$8</f>
        <v>1</v>
      </c>
      <c r="O124" s="16" t="n">
        <f aca="false">IF(J124="Yes",0,Scoring!$C$6)</f>
        <v>2</v>
      </c>
      <c r="P124" s="16" t="n">
        <f aca="false">IF(L124="Yes",0,Scoring!$C$7)</f>
        <v>0.5</v>
      </c>
      <c r="Q124" s="8" t="n">
        <f aca="false">ROUND(SUM(M124:P124),2)</f>
        <v>7.4</v>
      </c>
      <c r="R124" s="8" t="str">
        <f aca="false">IF(Q124&gt;=Scoring!$C$10-0.000001,"Keep","Remove")</f>
        <v>Keep</v>
      </c>
      <c r="S124" s="8" t="s">
        <v>166</v>
      </c>
    </row>
    <row r="125" customFormat="false" ht="15" hidden="false" customHeight="false" outlineLevel="0" collapsed="false">
      <c r="A125" s="8" t="s">
        <v>1164</v>
      </c>
      <c r="B125" s="8" t="s">
        <v>1165</v>
      </c>
      <c r="C125" s="8" t="s">
        <v>178</v>
      </c>
      <c r="D125" s="8" t="s">
        <v>206</v>
      </c>
      <c r="E125" s="8" t="s">
        <v>105</v>
      </c>
      <c r="F125" s="8" t="s">
        <v>85</v>
      </c>
      <c r="G125" s="8" t="n">
        <v>2</v>
      </c>
      <c r="H125" s="13" t="n">
        <v>3</v>
      </c>
      <c r="I125" s="8" t="n">
        <v>6</v>
      </c>
      <c r="J125" s="20" t="s">
        <v>259</v>
      </c>
      <c r="K125" s="8"/>
      <c r="L125" s="20" t="s">
        <v>259</v>
      </c>
      <c r="M125" s="16" t="n">
        <f aca="false">H125*Scoring!$C$5</f>
        <v>3.9</v>
      </c>
      <c r="N125" s="16" t="n">
        <f aca="false">IF(I125&gt;=5,1,IF(I125=4,0.75,IF(I125=3,0.5,IF(I125=2,0.25,0))))*Scoring!$C$8</f>
        <v>1</v>
      </c>
      <c r="O125" s="16" t="n">
        <f aca="false">IF(J125="Yes",0,Scoring!$C$6)</f>
        <v>2</v>
      </c>
      <c r="P125" s="16" t="n">
        <f aca="false">IF(L125="Yes",0,Scoring!$C$7)</f>
        <v>0.5</v>
      </c>
      <c r="Q125" s="8" t="n">
        <f aca="false">ROUND(SUM(M125:P125),2)</f>
        <v>7.4</v>
      </c>
      <c r="R125" s="8" t="str">
        <f aca="false">IF(Q125&gt;=Scoring!$C$10-0.000001,"Keep","Remove")</f>
        <v>Keep</v>
      </c>
      <c r="S125" s="8" t="s">
        <v>166</v>
      </c>
    </row>
    <row r="126" customFormat="false" ht="15" hidden="false" customHeight="false" outlineLevel="0" collapsed="false">
      <c r="A126" s="8" t="s">
        <v>1176</v>
      </c>
      <c r="B126" s="8" t="s">
        <v>1177</v>
      </c>
      <c r="C126" s="8" t="s">
        <v>178</v>
      </c>
      <c r="D126" s="8" t="s">
        <v>206</v>
      </c>
      <c r="E126" s="8" t="s">
        <v>105</v>
      </c>
      <c r="F126" s="8" t="s">
        <v>79</v>
      </c>
      <c r="G126" s="8" t="n">
        <v>2</v>
      </c>
      <c r="H126" s="13" t="n">
        <v>3</v>
      </c>
      <c r="I126" s="8" t="n">
        <v>4</v>
      </c>
      <c r="J126" s="20" t="s">
        <v>259</v>
      </c>
      <c r="K126" s="8"/>
      <c r="L126" s="20" t="s">
        <v>259</v>
      </c>
      <c r="M126" s="16" t="n">
        <f aca="false">H126*Scoring!$C$5</f>
        <v>3.9</v>
      </c>
      <c r="N126" s="16" t="n">
        <f aca="false">IF(I126&gt;=5,1,IF(I126=4,0.75,IF(I126=3,0.5,IF(I126=2,0.25,0))))*Scoring!$C$8</f>
        <v>0.75</v>
      </c>
      <c r="O126" s="16" t="n">
        <f aca="false">IF(J126="Yes",0,Scoring!$C$6)</f>
        <v>2</v>
      </c>
      <c r="P126" s="16" t="n">
        <f aca="false">IF(L126="Yes",0,Scoring!$C$7)</f>
        <v>0.5</v>
      </c>
      <c r="Q126" s="8" t="n">
        <f aca="false">ROUND(SUM(M126:P126),2)</f>
        <v>7.15</v>
      </c>
      <c r="R126" s="8" t="str">
        <f aca="false">IF(Q126&gt;=Scoring!$C$10-0.000001,"Keep","Remove")</f>
        <v>Keep</v>
      </c>
      <c r="S126" s="8" t="s">
        <v>166</v>
      </c>
    </row>
    <row r="127" customFormat="false" ht="15" hidden="false" customHeight="false" outlineLevel="0" collapsed="false">
      <c r="A127" s="8" t="s">
        <v>1186</v>
      </c>
      <c r="B127" s="8" t="s">
        <v>1187</v>
      </c>
      <c r="C127" s="8" t="s">
        <v>178</v>
      </c>
      <c r="D127" s="8" t="s">
        <v>206</v>
      </c>
      <c r="E127" s="8" t="s">
        <v>107</v>
      </c>
      <c r="F127" s="8" t="s">
        <v>82</v>
      </c>
      <c r="G127" s="8" t="n">
        <v>1</v>
      </c>
      <c r="H127" s="13" t="n">
        <v>4</v>
      </c>
      <c r="I127" s="8" t="n">
        <v>4</v>
      </c>
      <c r="J127" s="20" t="s">
        <v>259</v>
      </c>
      <c r="K127" s="8"/>
      <c r="L127" s="20" t="s">
        <v>259</v>
      </c>
      <c r="M127" s="16" t="n">
        <f aca="false">H127*Scoring!$C$5</f>
        <v>5.2</v>
      </c>
      <c r="N127" s="16" t="n">
        <f aca="false">IF(I127&gt;=5,1,IF(I127=4,0.75,IF(I127=3,0.5,IF(I127=2,0.25,0))))*Scoring!$C$8</f>
        <v>0.75</v>
      </c>
      <c r="O127" s="16" t="n">
        <f aca="false">IF(J127="Yes",0,Scoring!$C$6)</f>
        <v>2</v>
      </c>
      <c r="P127" s="16" t="n">
        <f aca="false">IF(L127="Yes",0,Scoring!$C$7)</f>
        <v>0.5</v>
      </c>
      <c r="Q127" s="8" t="n">
        <f aca="false">ROUND(SUM(M127:P127),2)</f>
        <v>8.45</v>
      </c>
      <c r="R127" s="8" t="str">
        <f aca="false">IF(Q127&gt;=Scoring!$C$10-0.000001,"Keep","Remove")</f>
        <v>Keep</v>
      </c>
      <c r="S127" s="8" t="s">
        <v>166</v>
      </c>
    </row>
    <row r="128" customFormat="false" ht="15" hidden="false" customHeight="false" outlineLevel="0" collapsed="false">
      <c r="A128" s="8" t="s">
        <v>1195</v>
      </c>
      <c r="B128" s="8" t="s">
        <v>1196</v>
      </c>
      <c r="C128" s="8" t="s">
        <v>178</v>
      </c>
      <c r="D128" s="8" t="s">
        <v>206</v>
      </c>
      <c r="E128" s="8" t="s">
        <v>105</v>
      </c>
      <c r="F128" s="8" t="s">
        <v>79</v>
      </c>
      <c r="G128" s="8" t="n">
        <v>1</v>
      </c>
      <c r="H128" s="13" t="n">
        <v>4</v>
      </c>
      <c r="I128" s="8" t="n">
        <v>4</v>
      </c>
      <c r="J128" s="20" t="s">
        <v>259</v>
      </c>
      <c r="K128" s="8"/>
      <c r="L128" s="20" t="s">
        <v>259</v>
      </c>
      <c r="M128" s="16" t="n">
        <f aca="false">H128*Scoring!$C$5</f>
        <v>5.2</v>
      </c>
      <c r="N128" s="16" t="n">
        <f aca="false">IF(I128&gt;=5,1,IF(I128=4,0.75,IF(I128=3,0.5,IF(I128=2,0.25,0))))*Scoring!$C$8</f>
        <v>0.75</v>
      </c>
      <c r="O128" s="16" t="n">
        <f aca="false">IF(J128="Yes",0,Scoring!$C$6)</f>
        <v>2</v>
      </c>
      <c r="P128" s="16" t="n">
        <f aca="false">IF(L128="Yes",0,Scoring!$C$7)</f>
        <v>0.5</v>
      </c>
      <c r="Q128" s="8" t="n">
        <f aca="false">ROUND(SUM(M128:P128),2)</f>
        <v>8.45</v>
      </c>
      <c r="R128" s="8" t="str">
        <f aca="false">IF(Q128&gt;=Scoring!$C$10-0.000001,"Keep","Remove")</f>
        <v>Keep</v>
      </c>
      <c r="S128" s="8" t="s">
        <v>166</v>
      </c>
    </row>
    <row r="129" customFormat="false" ht="15" hidden="false" customHeight="false" outlineLevel="0" collapsed="false">
      <c r="A129" s="8" t="s">
        <v>7747</v>
      </c>
      <c r="B129" s="8" t="s">
        <v>7748</v>
      </c>
      <c r="C129" s="8" t="s">
        <v>178</v>
      </c>
      <c r="D129" s="8" t="s">
        <v>206</v>
      </c>
      <c r="E129" s="8" t="s">
        <v>105</v>
      </c>
      <c r="F129" s="8" t="s">
        <v>85</v>
      </c>
      <c r="G129" s="8" t="n">
        <v>2</v>
      </c>
      <c r="H129" s="13" t="n">
        <v>3</v>
      </c>
      <c r="I129" s="8" t="n">
        <v>5</v>
      </c>
      <c r="J129" s="20" t="s">
        <v>218</v>
      </c>
      <c r="K129" s="8" t="s">
        <v>8152</v>
      </c>
      <c r="L129" s="20" t="s">
        <v>259</v>
      </c>
      <c r="M129" s="16" t="n">
        <f aca="false">H129*Scoring!$C$5</f>
        <v>3.9</v>
      </c>
      <c r="N129" s="16" t="n">
        <f aca="false">IF(I129&gt;=5,1,IF(I129=4,0.75,IF(I129=3,0.5,IF(I129=2,0.25,0))))*Scoring!$C$8</f>
        <v>1</v>
      </c>
      <c r="O129" s="16" t="n">
        <f aca="false">IF(J129="Yes",0,Scoring!$C$6)</f>
        <v>0</v>
      </c>
      <c r="P129" s="16" t="n">
        <f aca="false">IF(L129="Yes",0,Scoring!$C$7)</f>
        <v>0.5</v>
      </c>
      <c r="Q129" s="8" t="n">
        <f aca="false">ROUND(SUM(M129:P129),2)</f>
        <v>5.4</v>
      </c>
      <c r="R129" s="8" t="str">
        <f aca="false">IF(Q129&gt;=Scoring!$C$10-0.000001,"Keep","Remove")</f>
        <v>Remove</v>
      </c>
      <c r="S129" s="8" t="s">
        <v>7749</v>
      </c>
    </row>
    <row r="130" customFormat="false" ht="15" hidden="false" customHeight="false" outlineLevel="0" collapsed="false">
      <c r="A130" s="8" t="s">
        <v>7750</v>
      </c>
      <c r="B130" s="8" t="s">
        <v>7751</v>
      </c>
      <c r="C130" s="8" t="s">
        <v>178</v>
      </c>
      <c r="D130" s="8" t="s">
        <v>206</v>
      </c>
      <c r="E130" s="8" t="s">
        <v>105</v>
      </c>
      <c r="F130" s="8" t="s">
        <v>85</v>
      </c>
      <c r="G130" s="8" t="n">
        <v>2</v>
      </c>
      <c r="H130" s="13" t="n">
        <v>3</v>
      </c>
      <c r="I130" s="8" t="n">
        <v>5</v>
      </c>
      <c r="J130" s="20" t="s">
        <v>218</v>
      </c>
      <c r="K130" s="8" t="s">
        <v>8153</v>
      </c>
      <c r="L130" s="20" t="s">
        <v>259</v>
      </c>
      <c r="M130" s="16" t="n">
        <f aca="false">H130*Scoring!$C$5</f>
        <v>3.9</v>
      </c>
      <c r="N130" s="16" t="n">
        <f aca="false">IF(I130&gt;=5,1,IF(I130=4,0.75,IF(I130=3,0.5,IF(I130=2,0.25,0))))*Scoring!$C$8</f>
        <v>1</v>
      </c>
      <c r="O130" s="16" t="n">
        <f aca="false">IF(J130="Yes",0,Scoring!$C$6)</f>
        <v>0</v>
      </c>
      <c r="P130" s="16" t="n">
        <f aca="false">IF(L130="Yes",0,Scoring!$C$7)</f>
        <v>0.5</v>
      </c>
      <c r="Q130" s="8" t="n">
        <f aca="false">ROUND(SUM(M130:P130),2)</f>
        <v>5.4</v>
      </c>
      <c r="R130" s="8" t="str">
        <f aca="false">IF(Q130&gt;=Scoring!$C$10-0.000001,"Keep","Remove")</f>
        <v>Remove</v>
      </c>
      <c r="S130" s="8" t="s">
        <v>7752</v>
      </c>
    </row>
    <row r="131" customFormat="false" ht="15" hidden="false" customHeight="false" outlineLevel="0" collapsed="false">
      <c r="A131" s="8" t="s">
        <v>1204</v>
      </c>
      <c r="B131" s="8" t="s">
        <v>1205</v>
      </c>
      <c r="C131" s="8" t="s">
        <v>178</v>
      </c>
      <c r="D131" s="8" t="s">
        <v>206</v>
      </c>
      <c r="E131" s="8" t="s">
        <v>109</v>
      </c>
      <c r="F131" s="8" t="s">
        <v>84</v>
      </c>
      <c r="G131" s="8" t="n">
        <v>1</v>
      </c>
      <c r="H131" s="13" t="n">
        <v>4</v>
      </c>
      <c r="I131" s="8" t="n">
        <v>2</v>
      </c>
      <c r="J131" s="20" t="s">
        <v>259</v>
      </c>
      <c r="K131" s="8"/>
      <c r="L131" s="20" t="s">
        <v>259</v>
      </c>
      <c r="M131" s="16" t="n">
        <f aca="false">H131*Scoring!$C$5</f>
        <v>5.2</v>
      </c>
      <c r="N131" s="16" t="n">
        <f aca="false">IF(I131&gt;=5,1,IF(I131=4,0.75,IF(I131=3,0.5,IF(I131=2,0.25,0))))*Scoring!$C$8</f>
        <v>0.25</v>
      </c>
      <c r="O131" s="16" t="n">
        <f aca="false">IF(J131="Yes",0,Scoring!$C$6)</f>
        <v>2</v>
      </c>
      <c r="P131" s="16" t="n">
        <f aca="false">IF(L131="Yes",0,Scoring!$C$7)</f>
        <v>0.5</v>
      </c>
      <c r="Q131" s="8" t="n">
        <f aca="false">ROUND(SUM(M131:P131),2)</f>
        <v>7.95</v>
      </c>
      <c r="R131" s="8" t="str">
        <f aca="false">IF(Q131&gt;=Scoring!$C$10-0.000001,"Keep","Remove")</f>
        <v>Keep</v>
      </c>
      <c r="S131" s="8" t="s">
        <v>166</v>
      </c>
    </row>
    <row r="132" customFormat="false" ht="15" hidden="false" customHeight="false" outlineLevel="0" collapsed="false">
      <c r="A132" s="8" t="s">
        <v>7256</v>
      </c>
      <c r="B132" s="8" t="s">
        <v>7257</v>
      </c>
      <c r="C132" s="8" t="s">
        <v>178</v>
      </c>
      <c r="D132" s="8" t="s">
        <v>206</v>
      </c>
      <c r="E132" s="8" t="s">
        <v>105</v>
      </c>
      <c r="F132" s="8" t="s">
        <v>84</v>
      </c>
      <c r="G132" s="8" t="n">
        <v>3</v>
      </c>
      <c r="H132" s="13" t="n">
        <v>2</v>
      </c>
      <c r="I132" s="8" t="n">
        <v>5</v>
      </c>
      <c r="J132" s="20" t="s">
        <v>259</v>
      </c>
      <c r="K132" s="8"/>
      <c r="L132" s="20" t="s">
        <v>259</v>
      </c>
      <c r="M132" s="16" t="n">
        <f aca="false">H132*Scoring!$C$5</f>
        <v>2.6</v>
      </c>
      <c r="N132" s="16" t="n">
        <f aca="false">IF(I132&gt;=5,1,IF(I132=4,0.75,IF(I132=3,0.5,IF(I132=2,0.25,0))))*Scoring!$C$8</f>
        <v>1</v>
      </c>
      <c r="O132" s="16" t="n">
        <f aca="false">IF(J132="Yes",0,Scoring!$C$6)</f>
        <v>2</v>
      </c>
      <c r="P132" s="16" t="n">
        <f aca="false">IF(L132="Yes",0,Scoring!$C$7)</f>
        <v>0.5</v>
      </c>
      <c r="Q132" s="8" t="n">
        <f aca="false">ROUND(SUM(M132:P132),2)</f>
        <v>6.1</v>
      </c>
      <c r="R132" s="8" t="str">
        <f aca="false">IF(Q132&gt;=Scoring!$C$10-0.000001,"Keep","Remove")</f>
        <v>Remove</v>
      </c>
      <c r="S132" s="8" t="s">
        <v>7243</v>
      </c>
    </row>
    <row r="133" customFormat="false" ht="15" hidden="false" customHeight="false" outlineLevel="0" collapsed="false">
      <c r="A133" s="8" t="s">
        <v>7440</v>
      </c>
      <c r="B133" s="8" t="s">
        <v>7441</v>
      </c>
      <c r="C133" s="8" t="s">
        <v>178</v>
      </c>
      <c r="D133" s="8" t="s">
        <v>206</v>
      </c>
      <c r="E133" s="8" t="s">
        <v>105</v>
      </c>
      <c r="F133" s="8" t="s">
        <v>78</v>
      </c>
      <c r="G133" s="8" t="n">
        <v>3</v>
      </c>
      <c r="H133" s="13" t="n">
        <v>2</v>
      </c>
      <c r="I133" s="8" t="n">
        <v>4</v>
      </c>
      <c r="J133" s="20" t="s">
        <v>259</v>
      </c>
      <c r="K133" s="8"/>
      <c r="L133" s="20" t="s">
        <v>259</v>
      </c>
      <c r="M133" s="16" t="n">
        <f aca="false">H133*Scoring!$C$5</f>
        <v>2.6</v>
      </c>
      <c r="N133" s="16" t="n">
        <f aca="false">IF(I133&gt;=5,1,IF(I133=4,0.75,IF(I133=3,0.5,IF(I133=2,0.25,0))))*Scoring!$C$8</f>
        <v>0.75</v>
      </c>
      <c r="O133" s="16" t="n">
        <f aca="false">IF(J133="Yes",0,Scoring!$C$6)</f>
        <v>2</v>
      </c>
      <c r="P133" s="16" t="n">
        <f aca="false">IF(L133="Yes",0,Scoring!$C$7)</f>
        <v>0.5</v>
      </c>
      <c r="Q133" s="8" t="n">
        <f aca="false">ROUND(SUM(M133:P133),2)</f>
        <v>5.85</v>
      </c>
      <c r="R133" s="8" t="str">
        <f aca="false">IF(Q133&gt;=Scoring!$C$10-0.000001,"Keep","Remove")</f>
        <v>Remove</v>
      </c>
      <c r="S133" s="8" t="s">
        <v>7243</v>
      </c>
    </row>
    <row r="134" customFormat="false" ht="15" hidden="false" customHeight="false" outlineLevel="0" collapsed="false">
      <c r="A134" s="8" t="s">
        <v>1214</v>
      </c>
      <c r="B134" s="8" t="s">
        <v>1215</v>
      </c>
      <c r="C134" s="8" t="s">
        <v>178</v>
      </c>
      <c r="D134" s="8" t="s">
        <v>206</v>
      </c>
      <c r="E134" s="8" t="s">
        <v>105</v>
      </c>
      <c r="F134" s="8" t="s">
        <v>79</v>
      </c>
      <c r="G134" s="8" t="n">
        <v>1</v>
      </c>
      <c r="H134" s="13" t="n">
        <v>4</v>
      </c>
      <c r="I134" s="8" t="n">
        <v>5</v>
      </c>
      <c r="J134" s="20" t="s">
        <v>259</v>
      </c>
      <c r="K134" s="8"/>
      <c r="L134" s="20" t="s">
        <v>259</v>
      </c>
      <c r="M134" s="16" t="n">
        <f aca="false">H134*Scoring!$C$5</f>
        <v>5.2</v>
      </c>
      <c r="N134" s="16" t="n">
        <f aca="false">IF(I134&gt;=5,1,IF(I134=4,0.75,IF(I134=3,0.5,IF(I134=2,0.25,0))))*Scoring!$C$8</f>
        <v>1</v>
      </c>
      <c r="O134" s="16" t="n">
        <f aca="false">IF(J134="Yes",0,Scoring!$C$6)</f>
        <v>2</v>
      </c>
      <c r="P134" s="16" t="n">
        <f aca="false">IF(L134="Yes",0,Scoring!$C$7)</f>
        <v>0.5</v>
      </c>
      <c r="Q134" s="8" t="n">
        <f aca="false">ROUND(SUM(M134:P134),2)</f>
        <v>8.7</v>
      </c>
      <c r="R134" s="8" t="str">
        <f aca="false">IF(Q134&gt;=Scoring!$C$10-0.000001,"Keep","Remove")</f>
        <v>Keep</v>
      </c>
      <c r="S134" s="8" t="s">
        <v>166</v>
      </c>
    </row>
    <row r="135" customFormat="false" ht="15" hidden="false" customHeight="false" outlineLevel="0" collapsed="false">
      <c r="A135" s="8" t="s">
        <v>7258</v>
      </c>
      <c r="B135" s="8" t="s">
        <v>7259</v>
      </c>
      <c r="C135" s="8" t="s">
        <v>178</v>
      </c>
      <c r="D135" s="8" t="s">
        <v>206</v>
      </c>
      <c r="E135" s="8" t="s">
        <v>105</v>
      </c>
      <c r="F135" s="8" t="s">
        <v>86</v>
      </c>
      <c r="G135" s="8" t="n">
        <v>3</v>
      </c>
      <c r="H135" s="13" t="n">
        <v>2</v>
      </c>
      <c r="I135" s="8" t="n">
        <v>5</v>
      </c>
      <c r="J135" s="20" t="s">
        <v>259</v>
      </c>
      <c r="K135" s="8"/>
      <c r="L135" s="20" t="s">
        <v>259</v>
      </c>
      <c r="M135" s="16" t="n">
        <f aca="false">H135*Scoring!$C$5</f>
        <v>2.6</v>
      </c>
      <c r="N135" s="16" t="n">
        <f aca="false">IF(I135&gt;=5,1,IF(I135=4,0.75,IF(I135=3,0.5,IF(I135=2,0.25,0))))*Scoring!$C$8</f>
        <v>1</v>
      </c>
      <c r="O135" s="16" t="n">
        <f aca="false">IF(J135="Yes",0,Scoring!$C$6)</f>
        <v>2</v>
      </c>
      <c r="P135" s="16" t="n">
        <f aca="false">IF(L135="Yes",0,Scoring!$C$7)</f>
        <v>0.5</v>
      </c>
      <c r="Q135" s="8" t="n">
        <f aca="false">ROUND(SUM(M135:P135),2)</f>
        <v>6.1</v>
      </c>
      <c r="R135" s="8" t="str">
        <f aca="false">IF(Q135&gt;=Scoring!$C$10-0.000001,"Keep","Remove")</f>
        <v>Remove</v>
      </c>
      <c r="S135" s="8" t="s">
        <v>7243</v>
      </c>
    </row>
    <row r="136" customFormat="false" ht="15" hidden="false" customHeight="false" outlineLevel="0" collapsed="false">
      <c r="A136" s="8" t="s">
        <v>1221</v>
      </c>
      <c r="B136" s="8" t="s">
        <v>1222</v>
      </c>
      <c r="C136" s="8" t="s">
        <v>178</v>
      </c>
      <c r="D136" s="8" t="s">
        <v>206</v>
      </c>
      <c r="E136" s="8" t="s">
        <v>105</v>
      </c>
      <c r="F136" s="8" t="s">
        <v>86</v>
      </c>
      <c r="G136" s="8" t="n">
        <v>2</v>
      </c>
      <c r="H136" s="13" t="n">
        <v>3</v>
      </c>
      <c r="I136" s="8" t="n">
        <v>3</v>
      </c>
      <c r="J136" s="20" t="s">
        <v>259</v>
      </c>
      <c r="K136" s="8"/>
      <c r="L136" s="20" t="s">
        <v>259</v>
      </c>
      <c r="M136" s="16" t="n">
        <f aca="false">H136*Scoring!$C$5</f>
        <v>3.9</v>
      </c>
      <c r="N136" s="16" t="n">
        <f aca="false">IF(I136&gt;=5,1,IF(I136=4,0.75,IF(I136=3,0.5,IF(I136=2,0.25,0))))*Scoring!$C$8</f>
        <v>0.5</v>
      </c>
      <c r="O136" s="16" t="n">
        <f aca="false">IF(J136="Yes",0,Scoring!$C$6)</f>
        <v>2</v>
      </c>
      <c r="P136" s="16" t="n">
        <f aca="false">IF(L136="Yes",0,Scoring!$C$7)</f>
        <v>0.5</v>
      </c>
      <c r="Q136" s="8" t="n">
        <f aca="false">ROUND(SUM(M136:P136),2)</f>
        <v>6.9</v>
      </c>
      <c r="R136" s="8" t="str">
        <f aca="false">IF(Q136&gt;=Scoring!$C$10-0.000001,"Keep","Remove")</f>
        <v>Keep</v>
      </c>
      <c r="S136" s="8" t="s">
        <v>166</v>
      </c>
    </row>
    <row r="137" customFormat="false" ht="15" hidden="false" customHeight="false" outlineLevel="0" collapsed="false">
      <c r="A137" s="8" t="s">
        <v>1228</v>
      </c>
      <c r="B137" s="8" t="s">
        <v>1229</v>
      </c>
      <c r="C137" s="8" t="s">
        <v>178</v>
      </c>
      <c r="D137" s="8" t="s">
        <v>206</v>
      </c>
      <c r="E137" s="8" t="s">
        <v>105</v>
      </c>
      <c r="F137" s="8" t="s">
        <v>78</v>
      </c>
      <c r="G137" s="8" t="n">
        <v>2</v>
      </c>
      <c r="H137" s="13" t="n">
        <v>3</v>
      </c>
      <c r="I137" s="8" t="n">
        <v>4</v>
      </c>
      <c r="J137" s="20" t="s">
        <v>259</v>
      </c>
      <c r="K137" s="8"/>
      <c r="L137" s="20" t="s">
        <v>259</v>
      </c>
      <c r="M137" s="16" t="n">
        <f aca="false">H137*Scoring!$C$5</f>
        <v>3.9</v>
      </c>
      <c r="N137" s="16" t="n">
        <f aca="false">IF(I137&gt;=5,1,IF(I137=4,0.75,IF(I137=3,0.5,IF(I137=2,0.25,0))))*Scoring!$C$8</f>
        <v>0.75</v>
      </c>
      <c r="O137" s="16" t="n">
        <f aca="false">IF(J137="Yes",0,Scoring!$C$6)</f>
        <v>2</v>
      </c>
      <c r="P137" s="16" t="n">
        <f aca="false">IF(L137="Yes",0,Scoring!$C$7)</f>
        <v>0.5</v>
      </c>
      <c r="Q137" s="8" t="n">
        <f aca="false">ROUND(SUM(M137:P137),2)</f>
        <v>7.15</v>
      </c>
      <c r="R137" s="8" t="str">
        <f aca="false">IF(Q137&gt;=Scoring!$C$10-0.000001,"Keep","Remove")</f>
        <v>Keep</v>
      </c>
      <c r="S137" s="8" t="s">
        <v>166</v>
      </c>
    </row>
    <row r="138" customFormat="false" ht="15" hidden="false" customHeight="false" outlineLevel="0" collapsed="false">
      <c r="A138" s="8" t="s">
        <v>7652</v>
      </c>
      <c r="B138" s="8" t="s">
        <v>7653</v>
      </c>
      <c r="C138" s="8" t="s">
        <v>178</v>
      </c>
      <c r="D138" s="8" t="s">
        <v>206</v>
      </c>
      <c r="E138" s="8" t="s">
        <v>105</v>
      </c>
      <c r="F138" s="8" t="s">
        <v>79</v>
      </c>
      <c r="G138" s="8" t="n">
        <v>3</v>
      </c>
      <c r="H138" s="13" t="n">
        <v>2</v>
      </c>
      <c r="I138" s="8" t="n">
        <v>3</v>
      </c>
      <c r="J138" s="20" t="s">
        <v>259</v>
      </c>
      <c r="K138" s="8"/>
      <c r="L138" s="20" t="s">
        <v>259</v>
      </c>
      <c r="M138" s="16" t="n">
        <f aca="false">H138*Scoring!$C$5</f>
        <v>2.6</v>
      </c>
      <c r="N138" s="16" t="n">
        <f aca="false">IF(I138&gt;=5,1,IF(I138=4,0.75,IF(I138=3,0.5,IF(I138=2,0.25,0))))*Scoring!$C$8</f>
        <v>0.5</v>
      </c>
      <c r="O138" s="16" t="n">
        <f aca="false">IF(J138="Yes",0,Scoring!$C$6)</f>
        <v>2</v>
      </c>
      <c r="P138" s="16" t="n">
        <f aca="false">IF(L138="Yes",0,Scoring!$C$7)</f>
        <v>0.5</v>
      </c>
      <c r="Q138" s="8" t="n">
        <f aca="false">ROUND(SUM(M138:P138),2)</f>
        <v>5.6</v>
      </c>
      <c r="R138" s="8" t="str">
        <f aca="false">IF(Q138&gt;=Scoring!$C$10-0.000001,"Keep","Remove")</f>
        <v>Remove</v>
      </c>
      <c r="S138" s="8" t="s">
        <v>7243</v>
      </c>
    </row>
    <row r="139" customFormat="false" ht="15" hidden="false" customHeight="false" outlineLevel="0" collapsed="false">
      <c r="A139" s="8" t="s">
        <v>1235</v>
      </c>
      <c r="B139" s="8" t="s">
        <v>1236</v>
      </c>
      <c r="C139" s="8" t="s">
        <v>178</v>
      </c>
      <c r="D139" s="8" t="s">
        <v>206</v>
      </c>
      <c r="E139" s="8" t="s">
        <v>107</v>
      </c>
      <c r="F139" s="8" t="s">
        <v>86</v>
      </c>
      <c r="G139" s="8" t="n">
        <v>1</v>
      </c>
      <c r="H139" s="13" t="n">
        <v>4</v>
      </c>
      <c r="I139" s="8" t="n">
        <v>5</v>
      </c>
      <c r="J139" s="20" t="s">
        <v>259</v>
      </c>
      <c r="K139" s="8"/>
      <c r="L139" s="20" t="s">
        <v>259</v>
      </c>
      <c r="M139" s="16" t="n">
        <f aca="false">H139*Scoring!$C$5</f>
        <v>5.2</v>
      </c>
      <c r="N139" s="16" t="n">
        <f aca="false">IF(I139&gt;=5,1,IF(I139=4,0.75,IF(I139=3,0.5,IF(I139=2,0.25,0))))*Scoring!$C$8</f>
        <v>1</v>
      </c>
      <c r="O139" s="16" t="n">
        <f aca="false">IF(J139="Yes",0,Scoring!$C$6)</f>
        <v>2</v>
      </c>
      <c r="P139" s="16" t="n">
        <f aca="false">IF(L139="Yes",0,Scoring!$C$7)</f>
        <v>0.5</v>
      </c>
      <c r="Q139" s="8" t="n">
        <f aca="false">ROUND(SUM(M139:P139),2)</f>
        <v>8.7</v>
      </c>
      <c r="R139" s="8" t="str">
        <f aca="false">IF(Q139&gt;=Scoring!$C$10-0.000001,"Keep","Remove")</f>
        <v>Keep</v>
      </c>
      <c r="S139" s="8" t="s">
        <v>166</v>
      </c>
    </row>
    <row r="140" customFormat="false" ht="15" hidden="false" customHeight="false" outlineLevel="0" collapsed="false">
      <c r="A140" s="8" t="s">
        <v>1243</v>
      </c>
      <c r="B140" s="8" t="s">
        <v>1244</v>
      </c>
      <c r="C140" s="8" t="s">
        <v>178</v>
      </c>
      <c r="D140" s="8" t="s">
        <v>206</v>
      </c>
      <c r="E140" s="8" t="s">
        <v>107</v>
      </c>
      <c r="F140" s="8" t="s">
        <v>78</v>
      </c>
      <c r="G140" s="8" t="n">
        <v>1</v>
      </c>
      <c r="H140" s="13" t="n">
        <v>4</v>
      </c>
      <c r="I140" s="8" t="n">
        <v>6</v>
      </c>
      <c r="J140" s="20" t="s">
        <v>259</v>
      </c>
      <c r="K140" s="8"/>
      <c r="L140" s="20" t="s">
        <v>259</v>
      </c>
      <c r="M140" s="16" t="n">
        <f aca="false">H140*Scoring!$C$5</f>
        <v>5.2</v>
      </c>
      <c r="N140" s="16" t="n">
        <f aca="false">IF(I140&gt;=5,1,IF(I140=4,0.75,IF(I140=3,0.5,IF(I140=2,0.25,0))))*Scoring!$C$8</f>
        <v>1</v>
      </c>
      <c r="O140" s="16" t="n">
        <f aca="false">IF(J140="Yes",0,Scoring!$C$6)</f>
        <v>2</v>
      </c>
      <c r="P140" s="16" t="n">
        <f aca="false">IF(L140="Yes",0,Scoring!$C$7)</f>
        <v>0.5</v>
      </c>
      <c r="Q140" s="8" t="n">
        <f aca="false">ROUND(SUM(M140:P140),2)</f>
        <v>8.7</v>
      </c>
      <c r="R140" s="8" t="str">
        <f aca="false">IF(Q140&gt;=Scoring!$C$10-0.000001,"Keep","Remove")</f>
        <v>Keep</v>
      </c>
      <c r="S140" s="8" t="s">
        <v>166</v>
      </c>
    </row>
    <row r="141" customFormat="false" ht="15" hidden="false" customHeight="false" outlineLevel="0" collapsed="false">
      <c r="A141" s="8" t="s">
        <v>1252</v>
      </c>
      <c r="B141" s="8" t="s">
        <v>1253</v>
      </c>
      <c r="C141" s="8" t="s">
        <v>178</v>
      </c>
      <c r="D141" s="8" t="s">
        <v>206</v>
      </c>
      <c r="E141" s="8" t="s">
        <v>107</v>
      </c>
      <c r="F141" s="8" t="s">
        <v>82</v>
      </c>
      <c r="G141" s="8" t="n">
        <v>1</v>
      </c>
      <c r="H141" s="13" t="n">
        <v>4</v>
      </c>
      <c r="I141" s="8" t="n">
        <v>5</v>
      </c>
      <c r="J141" s="20" t="s">
        <v>259</v>
      </c>
      <c r="K141" s="8"/>
      <c r="L141" s="20" t="s">
        <v>259</v>
      </c>
      <c r="M141" s="16" t="n">
        <f aca="false">H141*Scoring!$C$5</f>
        <v>5.2</v>
      </c>
      <c r="N141" s="16" t="n">
        <f aca="false">IF(I141&gt;=5,1,IF(I141=4,0.75,IF(I141=3,0.5,IF(I141=2,0.25,0))))*Scoring!$C$8</f>
        <v>1</v>
      </c>
      <c r="O141" s="16" t="n">
        <f aca="false">IF(J141="Yes",0,Scoring!$C$6)</f>
        <v>2</v>
      </c>
      <c r="P141" s="16" t="n">
        <f aca="false">IF(L141="Yes",0,Scoring!$C$7)</f>
        <v>0.5</v>
      </c>
      <c r="Q141" s="8" t="n">
        <f aca="false">ROUND(SUM(M141:P141),2)</f>
        <v>8.7</v>
      </c>
      <c r="R141" s="8" t="str">
        <f aca="false">IF(Q141&gt;=Scoring!$C$10-0.000001,"Keep","Remove")</f>
        <v>Keep</v>
      </c>
      <c r="S141" s="8" t="s">
        <v>166</v>
      </c>
    </row>
    <row r="142" customFormat="false" ht="15" hidden="false" customHeight="false" outlineLevel="0" collapsed="false">
      <c r="A142" s="8" t="s">
        <v>1264</v>
      </c>
      <c r="B142" s="8" t="s">
        <v>1265</v>
      </c>
      <c r="C142" s="8" t="s">
        <v>178</v>
      </c>
      <c r="D142" s="8" t="s">
        <v>206</v>
      </c>
      <c r="E142" s="8" t="s">
        <v>107</v>
      </c>
      <c r="F142" s="8" t="s">
        <v>78</v>
      </c>
      <c r="G142" s="8" t="n">
        <v>2</v>
      </c>
      <c r="H142" s="13" t="n">
        <v>3</v>
      </c>
      <c r="I142" s="8" t="n">
        <v>5</v>
      </c>
      <c r="J142" s="20" t="s">
        <v>259</v>
      </c>
      <c r="K142" s="8"/>
      <c r="L142" s="20" t="s">
        <v>259</v>
      </c>
      <c r="M142" s="16" t="n">
        <f aca="false">H142*Scoring!$C$5</f>
        <v>3.9</v>
      </c>
      <c r="N142" s="16" t="n">
        <f aca="false">IF(I142&gt;=5,1,IF(I142=4,0.75,IF(I142=3,0.5,IF(I142=2,0.25,0))))*Scoring!$C$8</f>
        <v>1</v>
      </c>
      <c r="O142" s="16" t="n">
        <f aca="false">IF(J142="Yes",0,Scoring!$C$6)</f>
        <v>2</v>
      </c>
      <c r="P142" s="16" t="n">
        <f aca="false">IF(L142="Yes",0,Scoring!$C$7)</f>
        <v>0.5</v>
      </c>
      <c r="Q142" s="8" t="n">
        <f aca="false">ROUND(SUM(M142:P142),2)</f>
        <v>7.4</v>
      </c>
      <c r="R142" s="8" t="str">
        <f aca="false">IF(Q142&gt;=Scoring!$C$10-0.000001,"Keep","Remove")</f>
        <v>Keep</v>
      </c>
      <c r="S142" s="8" t="s">
        <v>166</v>
      </c>
    </row>
    <row r="143" customFormat="false" ht="15" hidden="false" customHeight="false" outlineLevel="0" collapsed="false">
      <c r="A143" s="8" t="s">
        <v>1273</v>
      </c>
      <c r="B143" s="8" t="s">
        <v>1274</v>
      </c>
      <c r="C143" s="8" t="s">
        <v>178</v>
      </c>
      <c r="D143" s="8" t="s">
        <v>206</v>
      </c>
      <c r="E143" s="8" t="s">
        <v>107</v>
      </c>
      <c r="F143" s="8" t="s">
        <v>82</v>
      </c>
      <c r="G143" s="8" t="n">
        <v>1</v>
      </c>
      <c r="H143" s="13" t="n">
        <v>4</v>
      </c>
      <c r="I143" s="8" t="n">
        <v>4</v>
      </c>
      <c r="J143" s="20" t="s">
        <v>259</v>
      </c>
      <c r="K143" s="8"/>
      <c r="L143" s="20" t="s">
        <v>259</v>
      </c>
      <c r="M143" s="16" t="n">
        <f aca="false">H143*Scoring!$C$5</f>
        <v>5.2</v>
      </c>
      <c r="N143" s="16" t="n">
        <f aca="false">IF(I143&gt;=5,1,IF(I143=4,0.75,IF(I143=3,0.5,IF(I143=2,0.25,0))))*Scoring!$C$8</f>
        <v>0.75</v>
      </c>
      <c r="O143" s="16" t="n">
        <f aca="false">IF(J143="Yes",0,Scoring!$C$6)</f>
        <v>2</v>
      </c>
      <c r="P143" s="16" t="n">
        <f aca="false">IF(L143="Yes",0,Scoring!$C$7)</f>
        <v>0.5</v>
      </c>
      <c r="Q143" s="8" t="n">
        <f aca="false">ROUND(SUM(M143:P143),2)</f>
        <v>8.45</v>
      </c>
      <c r="R143" s="8" t="str">
        <f aca="false">IF(Q143&gt;=Scoring!$C$10-0.000001,"Keep","Remove")</f>
        <v>Keep</v>
      </c>
      <c r="S143" s="8" t="s">
        <v>166</v>
      </c>
    </row>
    <row r="144" customFormat="false" ht="15" hidden="false" customHeight="false" outlineLevel="0" collapsed="false">
      <c r="A144" s="8" t="s">
        <v>1284</v>
      </c>
      <c r="B144" s="8" t="s">
        <v>1285</v>
      </c>
      <c r="C144" s="8" t="s">
        <v>178</v>
      </c>
      <c r="D144" s="8" t="s">
        <v>206</v>
      </c>
      <c r="E144" s="8" t="s">
        <v>107</v>
      </c>
      <c r="F144" s="8" t="s">
        <v>78</v>
      </c>
      <c r="G144" s="8" t="n">
        <v>1</v>
      </c>
      <c r="H144" s="13" t="n">
        <v>4</v>
      </c>
      <c r="I144" s="8" t="n">
        <v>4</v>
      </c>
      <c r="J144" s="20" t="s">
        <v>259</v>
      </c>
      <c r="K144" s="8"/>
      <c r="L144" s="20" t="s">
        <v>259</v>
      </c>
      <c r="M144" s="16" t="n">
        <f aca="false">H144*Scoring!$C$5</f>
        <v>5.2</v>
      </c>
      <c r="N144" s="16" t="n">
        <f aca="false">IF(I144&gt;=5,1,IF(I144=4,0.75,IF(I144=3,0.5,IF(I144=2,0.25,0))))*Scoring!$C$8</f>
        <v>0.75</v>
      </c>
      <c r="O144" s="16" t="n">
        <f aca="false">IF(J144="Yes",0,Scoring!$C$6)</f>
        <v>2</v>
      </c>
      <c r="P144" s="16" t="n">
        <f aca="false">IF(L144="Yes",0,Scoring!$C$7)</f>
        <v>0.5</v>
      </c>
      <c r="Q144" s="8" t="n">
        <f aca="false">ROUND(SUM(M144:P144),2)</f>
        <v>8.45</v>
      </c>
      <c r="R144" s="8" t="str">
        <f aca="false">IF(Q144&gt;=Scoring!$C$10-0.000001,"Keep","Remove")</f>
        <v>Keep</v>
      </c>
      <c r="S144" s="8" t="s">
        <v>166</v>
      </c>
    </row>
    <row r="145" customFormat="false" ht="15" hidden="false" customHeight="false" outlineLevel="0" collapsed="false">
      <c r="A145" s="8" t="s">
        <v>1293</v>
      </c>
      <c r="B145" s="8" t="s">
        <v>1294</v>
      </c>
      <c r="C145" s="8" t="s">
        <v>178</v>
      </c>
      <c r="D145" s="8" t="s">
        <v>206</v>
      </c>
      <c r="E145" s="8" t="s">
        <v>107</v>
      </c>
      <c r="F145" s="8" t="s">
        <v>78</v>
      </c>
      <c r="G145" s="8" t="n">
        <v>2</v>
      </c>
      <c r="H145" s="13" t="n">
        <v>3</v>
      </c>
      <c r="I145" s="8" t="n">
        <v>5</v>
      </c>
      <c r="J145" s="20" t="s">
        <v>259</v>
      </c>
      <c r="K145" s="8"/>
      <c r="L145" s="20" t="s">
        <v>259</v>
      </c>
      <c r="M145" s="16" t="n">
        <f aca="false">H145*Scoring!$C$5</f>
        <v>3.9</v>
      </c>
      <c r="N145" s="16" t="n">
        <f aca="false">IF(I145&gt;=5,1,IF(I145=4,0.75,IF(I145=3,0.5,IF(I145=2,0.25,0))))*Scoring!$C$8</f>
        <v>1</v>
      </c>
      <c r="O145" s="16" t="n">
        <f aca="false">IF(J145="Yes",0,Scoring!$C$6)</f>
        <v>2</v>
      </c>
      <c r="P145" s="16" t="n">
        <f aca="false">IF(L145="Yes",0,Scoring!$C$7)</f>
        <v>0.5</v>
      </c>
      <c r="Q145" s="8" t="n">
        <f aca="false">ROUND(SUM(M145:P145),2)</f>
        <v>7.4</v>
      </c>
      <c r="R145" s="8" t="str">
        <f aca="false">IF(Q145&gt;=Scoring!$C$10-0.000001,"Keep","Remove")</f>
        <v>Keep</v>
      </c>
      <c r="S145" s="8" t="s">
        <v>166</v>
      </c>
    </row>
    <row r="146" customFormat="false" ht="15" hidden="false" customHeight="false" outlineLevel="0" collapsed="false">
      <c r="A146" s="8" t="s">
        <v>1304</v>
      </c>
      <c r="B146" s="8" t="s">
        <v>1305</v>
      </c>
      <c r="C146" s="8" t="s">
        <v>178</v>
      </c>
      <c r="D146" s="8" t="s">
        <v>206</v>
      </c>
      <c r="E146" s="8" t="s">
        <v>107</v>
      </c>
      <c r="F146" s="8" t="s">
        <v>78</v>
      </c>
      <c r="G146" s="8" t="n">
        <v>2</v>
      </c>
      <c r="H146" s="13" t="n">
        <v>3</v>
      </c>
      <c r="I146" s="8" t="n">
        <v>4</v>
      </c>
      <c r="J146" s="20" t="s">
        <v>259</v>
      </c>
      <c r="K146" s="8"/>
      <c r="L146" s="20" t="s">
        <v>259</v>
      </c>
      <c r="M146" s="16" t="n">
        <f aca="false">H146*Scoring!$C$5</f>
        <v>3.9</v>
      </c>
      <c r="N146" s="16" t="n">
        <f aca="false">IF(I146&gt;=5,1,IF(I146=4,0.75,IF(I146=3,0.5,IF(I146=2,0.25,0))))*Scoring!$C$8</f>
        <v>0.75</v>
      </c>
      <c r="O146" s="16" t="n">
        <f aca="false">IF(J146="Yes",0,Scoring!$C$6)</f>
        <v>2</v>
      </c>
      <c r="P146" s="16" t="n">
        <f aca="false">IF(L146="Yes",0,Scoring!$C$7)</f>
        <v>0.5</v>
      </c>
      <c r="Q146" s="8" t="n">
        <f aca="false">ROUND(SUM(M146:P146),2)</f>
        <v>7.15</v>
      </c>
      <c r="R146" s="8" t="str">
        <f aca="false">IF(Q146&gt;=Scoring!$C$10-0.000001,"Keep","Remove")</f>
        <v>Keep</v>
      </c>
      <c r="S146" s="8" t="s">
        <v>166</v>
      </c>
    </row>
    <row r="147" customFormat="false" ht="15" hidden="false" customHeight="false" outlineLevel="0" collapsed="false">
      <c r="A147" s="8" t="s">
        <v>1311</v>
      </c>
      <c r="B147" s="8" t="s">
        <v>1312</v>
      </c>
      <c r="C147" s="8" t="s">
        <v>178</v>
      </c>
      <c r="D147" s="8" t="s">
        <v>206</v>
      </c>
      <c r="E147" s="8" t="s">
        <v>107</v>
      </c>
      <c r="F147" s="8" t="s">
        <v>87</v>
      </c>
      <c r="G147" s="8" t="n">
        <v>1</v>
      </c>
      <c r="H147" s="13" t="n">
        <v>4</v>
      </c>
      <c r="I147" s="8" t="n">
        <v>3</v>
      </c>
      <c r="J147" s="20" t="s">
        <v>259</v>
      </c>
      <c r="K147" s="8"/>
      <c r="L147" s="20" t="s">
        <v>259</v>
      </c>
      <c r="M147" s="16" t="n">
        <f aca="false">H147*Scoring!$C$5</f>
        <v>5.2</v>
      </c>
      <c r="N147" s="16" t="n">
        <f aca="false">IF(I147&gt;=5,1,IF(I147=4,0.75,IF(I147=3,0.5,IF(I147=2,0.25,0))))*Scoring!$C$8</f>
        <v>0.5</v>
      </c>
      <c r="O147" s="16" t="n">
        <f aca="false">IF(J147="Yes",0,Scoring!$C$6)</f>
        <v>2</v>
      </c>
      <c r="P147" s="16" t="n">
        <f aca="false">IF(L147="Yes",0,Scoring!$C$7)</f>
        <v>0.5</v>
      </c>
      <c r="Q147" s="8" t="n">
        <f aca="false">ROUND(SUM(M147:P147),2)</f>
        <v>8.2</v>
      </c>
      <c r="R147" s="8" t="str">
        <f aca="false">IF(Q147&gt;=Scoring!$C$10-0.000001,"Keep","Remove")</f>
        <v>Keep</v>
      </c>
      <c r="S147" s="8" t="s">
        <v>166</v>
      </c>
    </row>
    <row r="148" customFormat="false" ht="15" hidden="false" customHeight="false" outlineLevel="0" collapsed="false">
      <c r="A148" s="8" t="s">
        <v>1319</v>
      </c>
      <c r="B148" s="8" t="s">
        <v>1320</v>
      </c>
      <c r="C148" s="8" t="s">
        <v>178</v>
      </c>
      <c r="D148" s="8" t="s">
        <v>206</v>
      </c>
      <c r="E148" s="8" t="s">
        <v>107</v>
      </c>
      <c r="F148" s="8" t="s">
        <v>78</v>
      </c>
      <c r="G148" s="8" t="n">
        <v>2</v>
      </c>
      <c r="H148" s="13" t="n">
        <v>3</v>
      </c>
      <c r="I148" s="8" t="n">
        <v>3</v>
      </c>
      <c r="J148" s="20" t="s">
        <v>259</v>
      </c>
      <c r="K148" s="8"/>
      <c r="L148" s="20" t="s">
        <v>259</v>
      </c>
      <c r="M148" s="16" t="n">
        <f aca="false">H148*Scoring!$C$5</f>
        <v>3.9</v>
      </c>
      <c r="N148" s="16" t="n">
        <f aca="false">IF(I148&gt;=5,1,IF(I148=4,0.75,IF(I148=3,0.5,IF(I148=2,0.25,0))))*Scoring!$C$8</f>
        <v>0.5</v>
      </c>
      <c r="O148" s="16" t="n">
        <f aca="false">IF(J148="Yes",0,Scoring!$C$6)</f>
        <v>2</v>
      </c>
      <c r="P148" s="16" t="n">
        <f aca="false">IF(L148="Yes",0,Scoring!$C$7)</f>
        <v>0.5</v>
      </c>
      <c r="Q148" s="8" t="n">
        <f aca="false">ROUND(SUM(M148:P148),2)</f>
        <v>6.9</v>
      </c>
      <c r="R148" s="8" t="str">
        <f aca="false">IF(Q148&gt;=Scoring!$C$10-0.000001,"Keep","Remove")</f>
        <v>Keep</v>
      </c>
      <c r="S148" s="8" t="s">
        <v>166</v>
      </c>
    </row>
    <row r="149" customFormat="false" ht="15" hidden="false" customHeight="false" outlineLevel="0" collapsed="false">
      <c r="A149" s="8" t="s">
        <v>1327</v>
      </c>
      <c r="B149" s="8" t="s">
        <v>1328</v>
      </c>
      <c r="C149" s="8" t="s">
        <v>178</v>
      </c>
      <c r="D149" s="8" t="s">
        <v>206</v>
      </c>
      <c r="E149" s="8" t="s">
        <v>107</v>
      </c>
      <c r="F149" s="8" t="s">
        <v>85</v>
      </c>
      <c r="G149" s="8" t="n">
        <v>2</v>
      </c>
      <c r="H149" s="13" t="n">
        <v>3</v>
      </c>
      <c r="I149" s="8" t="n">
        <v>5</v>
      </c>
      <c r="J149" s="20" t="s">
        <v>259</v>
      </c>
      <c r="K149" s="8"/>
      <c r="L149" s="20" t="s">
        <v>259</v>
      </c>
      <c r="M149" s="16" t="n">
        <f aca="false">H149*Scoring!$C$5</f>
        <v>3.9</v>
      </c>
      <c r="N149" s="16" t="n">
        <f aca="false">IF(I149&gt;=5,1,IF(I149=4,0.75,IF(I149=3,0.5,IF(I149=2,0.25,0))))*Scoring!$C$8</f>
        <v>1</v>
      </c>
      <c r="O149" s="16" t="n">
        <f aca="false">IF(J149="Yes",0,Scoring!$C$6)</f>
        <v>2</v>
      </c>
      <c r="P149" s="16" t="n">
        <f aca="false">IF(L149="Yes",0,Scoring!$C$7)</f>
        <v>0.5</v>
      </c>
      <c r="Q149" s="8" t="n">
        <f aca="false">ROUND(SUM(M149:P149),2)</f>
        <v>7.4</v>
      </c>
      <c r="R149" s="8" t="str">
        <f aca="false">IF(Q149&gt;=Scoring!$C$10-0.000001,"Keep","Remove")</f>
        <v>Keep</v>
      </c>
      <c r="S149" s="8" t="s">
        <v>166</v>
      </c>
    </row>
    <row r="150" customFormat="false" ht="15" hidden="false" customHeight="false" outlineLevel="0" collapsed="false">
      <c r="A150" s="8" t="s">
        <v>1336</v>
      </c>
      <c r="B150" s="8" t="s">
        <v>1337</v>
      </c>
      <c r="C150" s="8" t="s">
        <v>178</v>
      </c>
      <c r="D150" s="8" t="s">
        <v>206</v>
      </c>
      <c r="E150" s="8" t="s">
        <v>107</v>
      </c>
      <c r="F150" s="8" t="s">
        <v>84</v>
      </c>
      <c r="G150" s="8" t="n">
        <v>2</v>
      </c>
      <c r="H150" s="13" t="n">
        <v>3</v>
      </c>
      <c r="I150" s="8" t="n">
        <v>6</v>
      </c>
      <c r="J150" s="20" t="s">
        <v>259</v>
      </c>
      <c r="K150" s="8"/>
      <c r="L150" s="20" t="s">
        <v>259</v>
      </c>
      <c r="M150" s="16" t="n">
        <f aca="false">H150*Scoring!$C$5</f>
        <v>3.9</v>
      </c>
      <c r="N150" s="16" t="n">
        <f aca="false">IF(I150&gt;=5,1,IF(I150=4,0.75,IF(I150=3,0.5,IF(I150=2,0.25,0))))*Scoring!$C$8</f>
        <v>1</v>
      </c>
      <c r="O150" s="16" t="n">
        <f aca="false">IF(J150="Yes",0,Scoring!$C$6)</f>
        <v>2</v>
      </c>
      <c r="P150" s="16" t="n">
        <f aca="false">IF(L150="Yes",0,Scoring!$C$7)</f>
        <v>0.5</v>
      </c>
      <c r="Q150" s="8" t="n">
        <f aca="false">ROUND(SUM(M150:P150),2)</f>
        <v>7.4</v>
      </c>
      <c r="R150" s="8" t="str">
        <f aca="false">IF(Q150&gt;=Scoring!$C$10-0.000001,"Keep","Remove")</f>
        <v>Keep</v>
      </c>
      <c r="S150" s="8" t="s">
        <v>166</v>
      </c>
    </row>
    <row r="151" customFormat="false" ht="15" hidden="false" customHeight="false" outlineLevel="0" collapsed="false">
      <c r="A151" s="8" t="s">
        <v>1346</v>
      </c>
      <c r="B151" s="8" t="s">
        <v>1347</v>
      </c>
      <c r="C151" s="8" t="s">
        <v>178</v>
      </c>
      <c r="D151" s="8" t="s">
        <v>206</v>
      </c>
      <c r="E151" s="8" t="s">
        <v>107</v>
      </c>
      <c r="F151" s="8" t="s">
        <v>79</v>
      </c>
      <c r="G151" s="8" t="n">
        <v>1</v>
      </c>
      <c r="H151" s="13" t="n">
        <v>4</v>
      </c>
      <c r="I151" s="8" t="n">
        <v>2</v>
      </c>
      <c r="J151" s="20" t="s">
        <v>259</v>
      </c>
      <c r="K151" s="8"/>
      <c r="L151" s="20" t="s">
        <v>259</v>
      </c>
      <c r="M151" s="16" t="n">
        <f aca="false">H151*Scoring!$C$5</f>
        <v>5.2</v>
      </c>
      <c r="N151" s="16" t="n">
        <f aca="false">IF(I151&gt;=5,1,IF(I151=4,0.75,IF(I151=3,0.5,IF(I151=2,0.25,0))))*Scoring!$C$8</f>
        <v>0.25</v>
      </c>
      <c r="O151" s="16" t="n">
        <f aca="false">IF(J151="Yes",0,Scoring!$C$6)</f>
        <v>2</v>
      </c>
      <c r="P151" s="16" t="n">
        <f aca="false">IF(L151="Yes",0,Scoring!$C$7)</f>
        <v>0.5</v>
      </c>
      <c r="Q151" s="8" t="n">
        <f aca="false">ROUND(SUM(M151:P151),2)</f>
        <v>7.95</v>
      </c>
      <c r="R151" s="8" t="str">
        <f aca="false">IF(Q151&gt;=Scoring!$C$10-0.000001,"Keep","Remove")</f>
        <v>Keep</v>
      </c>
      <c r="S151" s="8" t="s">
        <v>166</v>
      </c>
    </row>
    <row r="152" customFormat="false" ht="15" hidden="false" customHeight="false" outlineLevel="0" collapsed="false">
      <c r="A152" s="8" t="s">
        <v>1354</v>
      </c>
      <c r="B152" s="8" t="s">
        <v>1355</v>
      </c>
      <c r="C152" s="8" t="s">
        <v>178</v>
      </c>
      <c r="D152" s="8" t="s">
        <v>206</v>
      </c>
      <c r="E152" s="8" t="s">
        <v>107</v>
      </c>
      <c r="F152" s="8" t="s">
        <v>80</v>
      </c>
      <c r="G152" s="8" t="n">
        <v>2</v>
      </c>
      <c r="H152" s="13" t="n">
        <v>3</v>
      </c>
      <c r="I152" s="8" t="n">
        <v>5</v>
      </c>
      <c r="J152" s="20" t="s">
        <v>259</v>
      </c>
      <c r="K152" s="8"/>
      <c r="L152" s="20" t="s">
        <v>259</v>
      </c>
      <c r="M152" s="16" t="n">
        <f aca="false">H152*Scoring!$C$5</f>
        <v>3.9</v>
      </c>
      <c r="N152" s="16" t="n">
        <f aca="false">IF(I152&gt;=5,1,IF(I152=4,0.75,IF(I152=3,0.5,IF(I152=2,0.25,0))))*Scoring!$C$8</f>
        <v>1</v>
      </c>
      <c r="O152" s="16" t="n">
        <f aca="false">IF(J152="Yes",0,Scoring!$C$6)</f>
        <v>2</v>
      </c>
      <c r="P152" s="16" t="n">
        <f aca="false">IF(L152="Yes",0,Scoring!$C$7)</f>
        <v>0.5</v>
      </c>
      <c r="Q152" s="8" t="n">
        <f aca="false">ROUND(SUM(M152:P152),2)</f>
        <v>7.4</v>
      </c>
      <c r="R152" s="8" t="str">
        <f aca="false">IF(Q152&gt;=Scoring!$C$10-0.000001,"Keep","Remove")</f>
        <v>Keep</v>
      </c>
      <c r="S152" s="8" t="s">
        <v>166</v>
      </c>
    </row>
    <row r="153" customFormat="false" ht="15" hidden="false" customHeight="false" outlineLevel="0" collapsed="false">
      <c r="A153" s="8" t="s">
        <v>1361</v>
      </c>
      <c r="B153" s="8" t="s">
        <v>1362</v>
      </c>
      <c r="C153" s="8" t="s">
        <v>178</v>
      </c>
      <c r="D153" s="8" t="s">
        <v>206</v>
      </c>
      <c r="E153" s="8" t="s">
        <v>107</v>
      </c>
      <c r="F153" s="8" t="s">
        <v>80</v>
      </c>
      <c r="G153" s="8" t="n">
        <v>2</v>
      </c>
      <c r="H153" s="13" t="n">
        <v>3</v>
      </c>
      <c r="I153" s="8" t="n">
        <v>4</v>
      </c>
      <c r="J153" s="20" t="s">
        <v>259</v>
      </c>
      <c r="K153" s="8"/>
      <c r="L153" s="20" t="s">
        <v>259</v>
      </c>
      <c r="M153" s="16" t="n">
        <f aca="false">H153*Scoring!$C$5</f>
        <v>3.9</v>
      </c>
      <c r="N153" s="16" t="n">
        <f aca="false">IF(I153&gt;=5,1,IF(I153=4,0.75,IF(I153=3,0.5,IF(I153=2,0.25,0))))*Scoring!$C$8</f>
        <v>0.75</v>
      </c>
      <c r="O153" s="16" t="n">
        <f aca="false">IF(J153="Yes",0,Scoring!$C$6)</f>
        <v>2</v>
      </c>
      <c r="P153" s="16" t="n">
        <f aca="false">IF(L153="Yes",0,Scoring!$C$7)</f>
        <v>0.5</v>
      </c>
      <c r="Q153" s="8" t="n">
        <f aca="false">ROUND(SUM(M153:P153),2)</f>
        <v>7.15</v>
      </c>
      <c r="R153" s="8" t="str">
        <f aca="false">IF(Q153&gt;=Scoring!$C$10-0.000001,"Keep","Remove")</f>
        <v>Keep</v>
      </c>
      <c r="S153" s="8" t="s">
        <v>166</v>
      </c>
    </row>
    <row r="154" customFormat="false" ht="15" hidden="false" customHeight="false" outlineLevel="0" collapsed="false">
      <c r="A154" s="8" t="s">
        <v>7654</v>
      </c>
      <c r="B154" s="8" t="s">
        <v>7655</v>
      </c>
      <c r="C154" s="8" t="s">
        <v>178</v>
      </c>
      <c r="D154" s="8" t="s">
        <v>206</v>
      </c>
      <c r="E154" s="8" t="s">
        <v>107</v>
      </c>
      <c r="F154" s="8" t="s">
        <v>86</v>
      </c>
      <c r="G154" s="8" t="n">
        <v>3</v>
      </c>
      <c r="H154" s="13" t="n">
        <v>2</v>
      </c>
      <c r="I154" s="8" t="n">
        <v>3</v>
      </c>
      <c r="J154" s="20" t="s">
        <v>259</v>
      </c>
      <c r="K154" s="8"/>
      <c r="L154" s="20" t="s">
        <v>259</v>
      </c>
      <c r="M154" s="16" t="n">
        <f aca="false">H154*Scoring!$C$5</f>
        <v>2.6</v>
      </c>
      <c r="N154" s="16" t="n">
        <f aca="false">IF(I154&gt;=5,1,IF(I154=4,0.75,IF(I154=3,0.5,IF(I154=2,0.25,0))))*Scoring!$C$8</f>
        <v>0.5</v>
      </c>
      <c r="O154" s="16" t="n">
        <f aca="false">IF(J154="Yes",0,Scoring!$C$6)</f>
        <v>2</v>
      </c>
      <c r="P154" s="16" t="n">
        <f aca="false">IF(L154="Yes",0,Scoring!$C$7)</f>
        <v>0.5</v>
      </c>
      <c r="Q154" s="8" t="n">
        <f aca="false">ROUND(SUM(M154:P154),2)</f>
        <v>5.6</v>
      </c>
      <c r="R154" s="8" t="str">
        <f aca="false">IF(Q154&gt;=Scoring!$C$10-0.000001,"Keep","Remove")</f>
        <v>Remove</v>
      </c>
      <c r="S154" s="8" t="s">
        <v>7243</v>
      </c>
    </row>
    <row r="155" customFormat="false" ht="15" hidden="false" customHeight="false" outlineLevel="0" collapsed="false">
      <c r="A155" s="8" t="s">
        <v>1369</v>
      </c>
      <c r="B155" s="8" t="s">
        <v>1370</v>
      </c>
      <c r="C155" s="8" t="s">
        <v>178</v>
      </c>
      <c r="D155" s="8" t="s">
        <v>206</v>
      </c>
      <c r="E155" s="8" t="s">
        <v>107</v>
      </c>
      <c r="F155" s="8" t="s">
        <v>86</v>
      </c>
      <c r="G155" s="8" t="n">
        <v>2</v>
      </c>
      <c r="H155" s="13" t="n">
        <v>3</v>
      </c>
      <c r="I155" s="8" t="n">
        <v>4</v>
      </c>
      <c r="J155" s="20" t="s">
        <v>259</v>
      </c>
      <c r="K155" s="8"/>
      <c r="L155" s="20" t="s">
        <v>259</v>
      </c>
      <c r="M155" s="16" t="n">
        <f aca="false">H155*Scoring!$C$5</f>
        <v>3.9</v>
      </c>
      <c r="N155" s="16" t="n">
        <f aca="false">IF(I155&gt;=5,1,IF(I155=4,0.75,IF(I155=3,0.5,IF(I155=2,0.25,0))))*Scoring!$C$8</f>
        <v>0.75</v>
      </c>
      <c r="O155" s="16" t="n">
        <f aca="false">IF(J155="Yes",0,Scoring!$C$6)</f>
        <v>2</v>
      </c>
      <c r="P155" s="16" t="n">
        <f aca="false">IF(L155="Yes",0,Scoring!$C$7)</f>
        <v>0.5</v>
      </c>
      <c r="Q155" s="8" t="n">
        <f aca="false">ROUND(SUM(M155:P155),2)</f>
        <v>7.15</v>
      </c>
      <c r="R155" s="8" t="str">
        <f aca="false">IF(Q155&gt;=Scoring!$C$10-0.000001,"Keep","Remove")</f>
        <v>Keep</v>
      </c>
      <c r="S155" s="8" t="s">
        <v>166</v>
      </c>
    </row>
    <row r="156" customFormat="false" ht="15" hidden="false" customHeight="false" outlineLevel="0" collapsed="false">
      <c r="A156" s="8" t="s">
        <v>7442</v>
      </c>
      <c r="B156" s="8" t="s">
        <v>7443</v>
      </c>
      <c r="C156" s="8" t="s">
        <v>178</v>
      </c>
      <c r="D156" s="8" t="s">
        <v>206</v>
      </c>
      <c r="E156" s="8" t="s">
        <v>107</v>
      </c>
      <c r="F156" s="8" t="s">
        <v>86</v>
      </c>
      <c r="G156" s="8" t="n">
        <v>3</v>
      </c>
      <c r="H156" s="13" t="n">
        <v>2</v>
      </c>
      <c r="I156" s="8" t="n">
        <v>4</v>
      </c>
      <c r="J156" s="20" t="s">
        <v>259</v>
      </c>
      <c r="K156" s="8"/>
      <c r="L156" s="20" t="s">
        <v>259</v>
      </c>
      <c r="M156" s="16" t="n">
        <f aca="false">H156*Scoring!$C$5</f>
        <v>2.6</v>
      </c>
      <c r="N156" s="16" t="n">
        <f aca="false">IF(I156&gt;=5,1,IF(I156=4,0.75,IF(I156=3,0.5,IF(I156=2,0.25,0))))*Scoring!$C$8</f>
        <v>0.75</v>
      </c>
      <c r="O156" s="16" t="n">
        <f aca="false">IF(J156="Yes",0,Scoring!$C$6)</f>
        <v>2</v>
      </c>
      <c r="P156" s="16" t="n">
        <f aca="false">IF(L156="Yes",0,Scoring!$C$7)</f>
        <v>0.5</v>
      </c>
      <c r="Q156" s="8" t="n">
        <f aca="false">ROUND(SUM(M156:P156),2)</f>
        <v>5.85</v>
      </c>
      <c r="R156" s="8" t="str">
        <f aca="false">IF(Q156&gt;=Scoring!$C$10-0.000001,"Keep","Remove")</f>
        <v>Remove</v>
      </c>
      <c r="S156" s="8" t="s">
        <v>7243</v>
      </c>
    </row>
    <row r="157" customFormat="false" ht="15" hidden="false" customHeight="false" outlineLevel="0" collapsed="false">
      <c r="A157" s="8" t="s">
        <v>1377</v>
      </c>
      <c r="B157" s="8" t="s">
        <v>1378</v>
      </c>
      <c r="C157" s="8" t="s">
        <v>178</v>
      </c>
      <c r="D157" s="8" t="s">
        <v>206</v>
      </c>
      <c r="E157" s="8" t="s">
        <v>107</v>
      </c>
      <c r="F157" s="8" t="s">
        <v>78</v>
      </c>
      <c r="G157" s="8" t="n">
        <v>2</v>
      </c>
      <c r="H157" s="13" t="n">
        <v>3</v>
      </c>
      <c r="I157" s="8" t="n">
        <v>4</v>
      </c>
      <c r="J157" s="20" t="s">
        <v>259</v>
      </c>
      <c r="K157" s="8"/>
      <c r="L157" s="20" t="s">
        <v>259</v>
      </c>
      <c r="M157" s="16" t="n">
        <f aca="false">H157*Scoring!$C$5</f>
        <v>3.9</v>
      </c>
      <c r="N157" s="16" t="n">
        <f aca="false">IF(I157&gt;=5,1,IF(I157=4,0.75,IF(I157=3,0.5,IF(I157=2,0.25,0))))*Scoring!$C$8</f>
        <v>0.75</v>
      </c>
      <c r="O157" s="16" t="n">
        <f aca="false">IF(J157="Yes",0,Scoring!$C$6)</f>
        <v>2</v>
      </c>
      <c r="P157" s="16" t="n">
        <f aca="false">IF(L157="Yes",0,Scoring!$C$7)</f>
        <v>0.5</v>
      </c>
      <c r="Q157" s="8" t="n">
        <f aca="false">ROUND(SUM(M157:P157),2)</f>
        <v>7.15</v>
      </c>
      <c r="R157" s="8" t="str">
        <f aca="false">IF(Q157&gt;=Scoring!$C$10-0.000001,"Keep","Remove")</f>
        <v>Keep</v>
      </c>
      <c r="S157" s="8" t="s">
        <v>166</v>
      </c>
    </row>
    <row r="158" customFormat="false" ht="15" hidden="false" customHeight="false" outlineLevel="0" collapsed="false">
      <c r="A158" s="8" t="s">
        <v>1388</v>
      </c>
      <c r="B158" s="8" t="s">
        <v>1389</v>
      </c>
      <c r="C158" s="8" t="s">
        <v>178</v>
      </c>
      <c r="D158" s="8" t="s">
        <v>206</v>
      </c>
      <c r="E158" s="8" t="s">
        <v>109</v>
      </c>
      <c r="F158" s="8" t="s">
        <v>82</v>
      </c>
      <c r="G158" s="8" t="n">
        <v>2</v>
      </c>
      <c r="H158" s="13" t="n">
        <v>3</v>
      </c>
      <c r="I158" s="8" t="n">
        <v>4</v>
      </c>
      <c r="J158" s="20" t="s">
        <v>259</v>
      </c>
      <c r="K158" s="8"/>
      <c r="L158" s="20" t="s">
        <v>259</v>
      </c>
      <c r="M158" s="16" t="n">
        <f aca="false">H158*Scoring!$C$5</f>
        <v>3.9</v>
      </c>
      <c r="N158" s="16" t="n">
        <f aca="false">IF(I158&gt;=5,1,IF(I158=4,0.75,IF(I158=3,0.5,IF(I158=2,0.25,0))))*Scoring!$C$8</f>
        <v>0.75</v>
      </c>
      <c r="O158" s="16" t="n">
        <f aca="false">IF(J158="Yes",0,Scoring!$C$6)</f>
        <v>2</v>
      </c>
      <c r="P158" s="16" t="n">
        <f aca="false">IF(L158="Yes",0,Scoring!$C$7)</f>
        <v>0.5</v>
      </c>
      <c r="Q158" s="8" t="n">
        <f aca="false">ROUND(SUM(M158:P158),2)</f>
        <v>7.15</v>
      </c>
      <c r="R158" s="8" t="str">
        <f aca="false">IF(Q158&gt;=Scoring!$C$10-0.000001,"Keep","Remove")</f>
        <v>Keep</v>
      </c>
      <c r="S158" s="8" t="s">
        <v>166</v>
      </c>
    </row>
    <row r="159" customFormat="false" ht="15" hidden="false" customHeight="false" outlineLevel="0" collapsed="false">
      <c r="A159" s="8" t="s">
        <v>1398</v>
      </c>
      <c r="B159" s="8" t="s">
        <v>1399</v>
      </c>
      <c r="C159" s="8" t="s">
        <v>178</v>
      </c>
      <c r="D159" s="8" t="s">
        <v>206</v>
      </c>
      <c r="E159" s="8" t="s">
        <v>109</v>
      </c>
      <c r="F159" s="8" t="s">
        <v>85</v>
      </c>
      <c r="G159" s="8" t="n">
        <v>1</v>
      </c>
      <c r="H159" s="13" t="n">
        <v>4</v>
      </c>
      <c r="I159" s="8" t="n">
        <v>5</v>
      </c>
      <c r="J159" s="20" t="s">
        <v>259</v>
      </c>
      <c r="K159" s="8"/>
      <c r="L159" s="20" t="s">
        <v>259</v>
      </c>
      <c r="M159" s="16" t="n">
        <f aca="false">H159*Scoring!$C$5</f>
        <v>5.2</v>
      </c>
      <c r="N159" s="16" t="n">
        <f aca="false">IF(I159&gt;=5,1,IF(I159=4,0.75,IF(I159=3,0.5,IF(I159=2,0.25,0))))*Scoring!$C$8</f>
        <v>1</v>
      </c>
      <c r="O159" s="16" t="n">
        <f aca="false">IF(J159="Yes",0,Scoring!$C$6)</f>
        <v>2</v>
      </c>
      <c r="P159" s="16" t="n">
        <f aca="false">IF(L159="Yes",0,Scoring!$C$7)</f>
        <v>0.5</v>
      </c>
      <c r="Q159" s="8" t="n">
        <f aca="false">ROUND(SUM(M159:P159),2)</f>
        <v>8.7</v>
      </c>
      <c r="R159" s="8" t="str">
        <f aca="false">IF(Q159&gt;=Scoring!$C$10-0.000001,"Keep","Remove")</f>
        <v>Keep</v>
      </c>
      <c r="S159" s="8" t="s">
        <v>166</v>
      </c>
    </row>
    <row r="160" customFormat="false" ht="15" hidden="false" customHeight="false" outlineLevel="0" collapsed="false">
      <c r="A160" s="8" t="s">
        <v>1407</v>
      </c>
      <c r="B160" s="8" t="s">
        <v>1408</v>
      </c>
      <c r="C160" s="8" t="s">
        <v>178</v>
      </c>
      <c r="D160" s="8" t="s">
        <v>206</v>
      </c>
      <c r="E160" s="8" t="s">
        <v>109</v>
      </c>
      <c r="F160" s="8" t="s">
        <v>78</v>
      </c>
      <c r="G160" s="8" t="n">
        <v>2</v>
      </c>
      <c r="H160" s="13" t="n">
        <v>3</v>
      </c>
      <c r="I160" s="8" t="n">
        <v>3</v>
      </c>
      <c r="J160" s="20" t="s">
        <v>259</v>
      </c>
      <c r="K160" s="8"/>
      <c r="L160" s="20" t="s">
        <v>259</v>
      </c>
      <c r="M160" s="16" t="n">
        <f aca="false">H160*Scoring!$C$5</f>
        <v>3.9</v>
      </c>
      <c r="N160" s="16" t="n">
        <f aca="false">IF(I160&gt;=5,1,IF(I160=4,0.75,IF(I160=3,0.5,IF(I160=2,0.25,0))))*Scoring!$C$8</f>
        <v>0.5</v>
      </c>
      <c r="O160" s="16" t="n">
        <f aca="false">IF(J160="Yes",0,Scoring!$C$6)</f>
        <v>2</v>
      </c>
      <c r="P160" s="16" t="n">
        <f aca="false">IF(L160="Yes",0,Scoring!$C$7)</f>
        <v>0.5</v>
      </c>
      <c r="Q160" s="8" t="n">
        <f aca="false">ROUND(SUM(M160:P160),2)</f>
        <v>6.9</v>
      </c>
      <c r="R160" s="8" t="str">
        <f aca="false">IF(Q160&gt;=Scoring!$C$10-0.000001,"Keep","Remove")</f>
        <v>Keep</v>
      </c>
      <c r="S160" s="8" t="s">
        <v>166</v>
      </c>
    </row>
    <row r="161" customFormat="false" ht="15" hidden="false" customHeight="false" outlineLevel="0" collapsed="false">
      <c r="A161" s="8" t="s">
        <v>1417</v>
      </c>
      <c r="B161" s="8" t="s">
        <v>1418</v>
      </c>
      <c r="C161" s="8" t="s">
        <v>178</v>
      </c>
      <c r="D161" s="8" t="s">
        <v>206</v>
      </c>
      <c r="E161" s="8" t="s">
        <v>109</v>
      </c>
      <c r="F161" s="8" t="s">
        <v>78</v>
      </c>
      <c r="G161" s="8" t="n">
        <v>2</v>
      </c>
      <c r="H161" s="13" t="n">
        <v>3</v>
      </c>
      <c r="I161" s="8" t="n">
        <v>5</v>
      </c>
      <c r="J161" s="20" t="s">
        <v>259</v>
      </c>
      <c r="K161" s="8"/>
      <c r="L161" s="20" t="s">
        <v>259</v>
      </c>
      <c r="M161" s="16" t="n">
        <f aca="false">H161*Scoring!$C$5</f>
        <v>3.9</v>
      </c>
      <c r="N161" s="16" t="n">
        <f aca="false">IF(I161&gt;=5,1,IF(I161=4,0.75,IF(I161=3,0.5,IF(I161=2,0.25,0))))*Scoring!$C$8</f>
        <v>1</v>
      </c>
      <c r="O161" s="16" t="n">
        <f aca="false">IF(J161="Yes",0,Scoring!$C$6)</f>
        <v>2</v>
      </c>
      <c r="P161" s="16" t="n">
        <f aca="false">IF(L161="Yes",0,Scoring!$C$7)</f>
        <v>0.5</v>
      </c>
      <c r="Q161" s="8" t="n">
        <f aca="false">ROUND(SUM(M161:P161),2)</f>
        <v>7.4</v>
      </c>
      <c r="R161" s="8" t="str">
        <f aca="false">IF(Q161&gt;=Scoring!$C$10-0.000001,"Keep","Remove")</f>
        <v>Keep</v>
      </c>
      <c r="S161" s="8" t="s">
        <v>166</v>
      </c>
    </row>
    <row r="162" customFormat="false" ht="15" hidden="false" customHeight="false" outlineLevel="0" collapsed="false">
      <c r="A162" s="8" t="s">
        <v>1425</v>
      </c>
      <c r="B162" s="8" t="s">
        <v>1426</v>
      </c>
      <c r="C162" s="8" t="s">
        <v>178</v>
      </c>
      <c r="D162" s="8" t="s">
        <v>206</v>
      </c>
      <c r="E162" s="8" t="s">
        <v>109</v>
      </c>
      <c r="F162" s="8" t="s">
        <v>78</v>
      </c>
      <c r="G162" s="8" t="n">
        <v>2</v>
      </c>
      <c r="H162" s="13" t="n">
        <v>3</v>
      </c>
      <c r="I162" s="8" t="n">
        <v>5</v>
      </c>
      <c r="J162" s="20" t="s">
        <v>259</v>
      </c>
      <c r="K162" s="8"/>
      <c r="L162" s="20" t="s">
        <v>259</v>
      </c>
      <c r="M162" s="16" t="n">
        <f aca="false">H162*Scoring!$C$5</f>
        <v>3.9</v>
      </c>
      <c r="N162" s="16" t="n">
        <f aca="false">IF(I162&gt;=5,1,IF(I162=4,0.75,IF(I162=3,0.5,IF(I162=2,0.25,0))))*Scoring!$C$8</f>
        <v>1</v>
      </c>
      <c r="O162" s="16" t="n">
        <f aca="false">IF(J162="Yes",0,Scoring!$C$6)</f>
        <v>2</v>
      </c>
      <c r="P162" s="16" t="n">
        <f aca="false">IF(L162="Yes",0,Scoring!$C$7)</f>
        <v>0.5</v>
      </c>
      <c r="Q162" s="8" t="n">
        <f aca="false">ROUND(SUM(M162:P162),2)</f>
        <v>7.4</v>
      </c>
      <c r="R162" s="8" t="str">
        <f aca="false">IF(Q162&gt;=Scoring!$C$10-0.000001,"Keep","Remove")</f>
        <v>Keep</v>
      </c>
      <c r="S162" s="8" t="s">
        <v>166</v>
      </c>
    </row>
    <row r="163" customFormat="false" ht="15" hidden="false" customHeight="false" outlineLevel="0" collapsed="false">
      <c r="A163" s="8" t="s">
        <v>7260</v>
      </c>
      <c r="B163" s="8" t="s">
        <v>7261</v>
      </c>
      <c r="C163" s="8" t="s">
        <v>178</v>
      </c>
      <c r="D163" s="8" t="s">
        <v>206</v>
      </c>
      <c r="E163" s="8" t="s">
        <v>109</v>
      </c>
      <c r="F163" s="8" t="s">
        <v>82</v>
      </c>
      <c r="G163" s="8" t="n">
        <v>3</v>
      </c>
      <c r="H163" s="13" t="n">
        <v>2</v>
      </c>
      <c r="I163" s="8" t="n">
        <v>5</v>
      </c>
      <c r="J163" s="20" t="s">
        <v>259</v>
      </c>
      <c r="K163" s="8"/>
      <c r="L163" s="20" t="s">
        <v>259</v>
      </c>
      <c r="M163" s="16" t="n">
        <f aca="false">H163*Scoring!$C$5</f>
        <v>2.6</v>
      </c>
      <c r="N163" s="16" t="n">
        <f aca="false">IF(I163&gt;=5,1,IF(I163=4,0.75,IF(I163=3,0.5,IF(I163=2,0.25,0))))*Scoring!$C$8</f>
        <v>1</v>
      </c>
      <c r="O163" s="16" t="n">
        <f aca="false">IF(J163="Yes",0,Scoring!$C$6)</f>
        <v>2</v>
      </c>
      <c r="P163" s="16" t="n">
        <f aca="false">IF(L163="Yes",0,Scoring!$C$7)</f>
        <v>0.5</v>
      </c>
      <c r="Q163" s="8" t="n">
        <f aca="false">ROUND(SUM(M163:P163),2)</f>
        <v>6.1</v>
      </c>
      <c r="R163" s="8" t="str">
        <f aca="false">IF(Q163&gt;=Scoring!$C$10-0.000001,"Keep","Remove")</f>
        <v>Remove</v>
      </c>
      <c r="S163" s="8" t="s">
        <v>7243</v>
      </c>
    </row>
    <row r="164" customFormat="false" ht="15" hidden="false" customHeight="false" outlineLevel="0" collapsed="false">
      <c r="A164" s="8" t="s">
        <v>7753</v>
      </c>
      <c r="B164" s="8" t="s">
        <v>7754</v>
      </c>
      <c r="C164" s="8" t="s">
        <v>178</v>
      </c>
      <c r="D164" s="8" t="s">
        <v>206</v>
      </c>
      <c r="E164" s="8" t="s">
        <v>109</v>
      </c>
      <c r="F164" s="8" t="s">
        <v>82</v>
      </c>
      <c r="G164" s="8" t="n">
        <v>2</v>
      </c>
      <c r="H164" s="13" t="n">
        <v>3</v>
      </c>
      <c r="I164" s="8" t="n">
        <v>5</v>
      </c>
      <c r="J164" s="20" t="s">
        <v>218</v>
      </c>
      <c r="K164" s="8" t="s">
        <v>8154</v>
      </c>
      <c r="L164" s="20" t="s">
        <v>259</v>
      </c>
      <c r="M164" s="16" t="n">
        <f aca="false">H164*Scoring!$C$5</f>
        <v>3.9</v>
      </c>
      <c r="N164" s="16" t="n">
        <f aca="false">IF(I164&gt;=5,1,IF(I164=4,0.75,IF(I164=3,0.5,IF(I164=2,0.25,0))))*Scoring!$C$8</f>
        <v>1</v>
      </c>
      <c r="O164" s="16" t="n">
        <f aca="false">IF(J164="Yes",0,Scoring!$C$6)</f>
        <v>0</v>
      </c>
      <c r="P164" s="16" t="n">
        <f aca="false">IF(L164="Yes",0,Scoring!$C$7)</f>
        <v>0.5</v>
      </c>
      <c r="Q164" s="8" t="n">
        <f aca="false">ROUND(SUM(M164:P164),2)</f>
        <v>5.4</v>
      </c>
      <c r="R164" s="8" t="str">
        <f aca="false">IF(Q164&gt;=Scoring!$C$10-0.000001,"Keep","Remove")</f>
        <v>Remove</v>
      </c>
      <c r="S164" s="8" t="s">
        <v>7755</v>
      </c>
    </row>
    <row r="165" customFormat="false" ht="15" hidden="false" customHeight="false" outlineLevel="0" collapsed="false">
      <c r="A165" s="8" t="s">
        <v>1434</v>
      </c>
      <c r="B165" s="8" t="s">
        <v>1435</v>
      </c>
      <c r="C165" s="8" t="s">
        <v>178</v>
      </c>
      <c r="D165" s="8" t="s">
        <v>206</v>
      </c>
      <c r="E165" s="8" t="s">
        <v>109</v>
      </c>
      <c r="F165" s="8" t="s">
        <v>82</v>
      </c>
      <c r="G165" s="8" t="n">
        <v>2</v>
      </c>
      <c r="H165" s="13" t="n">
        <v>3</v>
      </c>
      <c r="I165" s="8" t="n">
        <v>2</v>
      </c>
      <c r="J165" s="20" t="s">
        <v>259</v>
      </c>
      <c r="K165" s="8"/>
      <c r="L165" s="20" t="s">
        <v>259</v>
      </c>
      <c r="M165" s="16" t="n">
        <f aca="false">H165*Scoring!$C$5</f>
        <v>3.9</v>
      </c>
      <c r="N165" s="16" t="n">
        <f aca="false">IF(I165&gt;=5,1,IF(I165=4,0.75,IF(I165=3,0.5,IF(I165=2,0.25,0))))*Scoring!$C$8</f>
        <v>0.25</v>
      </c>
      <c r="O165" s="16" t="n">
        <f aca="false">IF(J165="Yes",0,Scoring!$C$6)</f>
        <v>2</v>
      </c>
      <c r="P165" s="16" t="n">
        <f aca="false">IF(L165="Yes",0,Scoring!$C$7)</f>
        <v>0.5</v>
      </c>
      <c r="Q165" s="8" t="n">
        <f aca="false">ROUND(SUM(M165:P165),2)</f>
        <v>6.65</v>
      </c>
      <c r="R165" s="8" t="str">
        <f aca="false">IF(Q165&gt;=Scoring!$C$10-0.000001,"Keep","Remove")</f>
        <v>Keep</v>
      </c>
      <c r="S165" s="8" t="s">
        <v>166</v>
      </c>
    </row>
    <row r="166" customFormat="false" ht="15" hidden="false" customHeight="false" outlineLevel="0" collapsed="false">
      <c r="A166" s="8" t="s">
        <v>1443</v>
      </c>
      <c r="B166" s="8" t="s">
        <v>1444</v>
      </c>
      <c r="C166" s="8" t="s">
        <v>178</v>
      </c>
      <c r="D166" s="8" t="s">
        <v>206</v>
      </c>
      <c r="E166" s="8" t="s">
        <v>109</v>
      </c>
      <c r="F166" s="8" t="s">
        <v>79</v>
      </c>
      <c r="G166" s="8" t="n">
        <v>2</v>
      </c>
      <c r="H166" s="13" t="n">
        <v>3</v>
      </c>
      <c r="I166" s="8" t="n">
        <v>5</v>
      </c>
      <c r="J166" s="20" t="s">
        <v>259</v>
      </c>
      <c r="K166" s="8"/>
      <c r="L166" s="20" t="s">
        <v>259</v>
      </c>
      <c r="M166" s="16" t="n">
        <f aca="false">H166*Scoring!$C$5</f>
        <v>3.9</v>
      </c>
      <c r="N166" s="16" t="n">
        <f aca="false">IF(I166&gt;=5,1,IF(I166=4,0.75,IF(I166=3,0.5,IF(I166=2,0.25,0))))*Scoring!$C$8</f>
        <v>1</v>
      </c>
      <c r="O166" s="16" t="n">
        <f aca="false">IF(J166="Yes",0,Scoring!$C$6)</f>
        <v>2</v>
      </c>
      <c r="P166" s="16" t="n">
        <f aca="false">IF(L166="Yes",0,Scoring!$C$7)</f>
        <v>0.5</v>
      </c>
      <c r="Q166" s="8" t="n">
        <f aca="false">ROUND(SUM(M166:P166),2)</f>
        <v>7.4</v>
      </c>
      <c r="R166" s="8" t="str">
        <f aca="false">IF(Q166&gt;=Scoring!$C$10-0.000001,"Keep","Remove")</f>
        <v>Keep</v>
      </c>
      <c r="S166" s="8" t="s">
        <v>166</v>
      </c>
    </row>
    <row r="167" customFormat="false" ht="15" hidden="false" customHeight="false" outlineLevel="0" collapsed="false">
      <c r="A167" s="8" t="s">
        <v>7656</v>
      </c>
      <c r="B167" s="8" t="s">
        <v>7657</v>
      </c>
      <c r="C167" s="8" t="s">
        <v>178</v>
      </c>
      <c r="D167" s="8" t="s">
        <v>206</v>
      </c>
      <c r="E167" s="8" t="s">
        <v>109</v>
      </c>
      <c r="F167" s="8" t="s">
        <v>78</v>
      </c>
      <c r="G167" s="8" t="n">
        <v>3</v>
      </c>
      <c r="H167" s="13" t="n">
        <v>2</v>
      </c>
      <c r="I167" s="8" t="n">
        <v>3</v>
      </c>
      <c r="J167" s="20" t="s">
        <v>259</v>
      </c>
      <c r="K167" s="8"/>
      <c r="L167" s="20" t="s">
        <v>259</v>
      </c>
      <c r="M167" s="16" t="n">
        <f aca="false">H167*Scoring!$C$5</f>
        <v>2.6</v>
      </c>
      <c r="N167" s="16" t="n">
        <f aca="false">IF(I167&gt;=5,1,IF(I167=4,0.75,IF(I167=3,0.5,IF(I167=2,0.25,0))))*Scoring!$C$8</f>
        <v>0.5</v>
      </c>
      <c r="O167" s="16" t="n">
        <f aca="false">IF(J167="Yes",0,Scoring!$C$6)</f>
        <v>2</v>
      </c>
      <c r="P167" s="16" t="n">
        <f aca="false">IF(L167="Yes",0,Scoring!$C$7)</f>
        <v>0.5</v>
      </c>
      <c r="Q167" s="8" t="n">
        <f aca="false">ROUND(SUM(M167:P167),2)</f>
        <v>5.6</v>
      </c>
      <c r="R167" s="8" t="str">
        <f aca="false">IF(Q167&gt;=Scoring!$C$10-0.000001,"Keep","Remove")</f>
        <v>Remove</v>
      </c>
      <c r="S167" s="8" t="s">
        <v>7243</v>
      </c>
    </row>
    <row r="168" customFormat="false" ht="15" hidden="false" customHeight="false" outlineLevel="0" collapsed="false">
      <c r="A168" s="8" t="s">
        <v>1453</v>
      </c>
      <c r="B168" s="8" t="s">
        <v>1454</v>
      </c>
      <c r="C168" s="8" t="s">
        <v>178</v>
      </c>
      <c r="D168" s="8" t="s">
        <v>206</v>
      </c>
      <c r="E168" s="8" t="s">
        <v>109</v>
      </c>
      <c r="F168" s="8" t="s">
        <v>84</v>
      </c>
      <c r="G168" s="8" t="n">
        <v>2</v>
      </c>
      <c r="H168" s="13" t="n">
        <v>3</v>
      </c>
      <c r="I168" s="8" t="n">
        <v>4</v>
      </c>
      <c r="J168" s="20" t="s">
        <v>259</v>
      </c>
      <c r="K168" s="8"/>
      <c r="L168" s="20" t="s">
        <v>259</v>
      </c>
      <c r="M168" s="16" t="n">
        <f aca="false">H168*Scoring!$C$5</f>
        <v>3.9</v>
      </c>
      <c r="N168" s="16" t="n">
        <f aca="false">IF(I168&gt;=5,1,IF(I168=4,0.75,IF(I168=3,0.5,IF(I168=2,0.25,0))))*Scoring!$C$8</f>
        <v>0.75</v>
      </c>
      <c r="O168" s="16" t="n">
        <f aca="false">IF(J168="Yes",0,Scoring!$C$6)</f>
        <v>2</v>
      </c>
      <c r="P168" s="16" t="n">
        <f aca="false">IF(L168="Yes",0,Scoring!$C$7)</f>
        <v>0.5</v>
      </c>
      <c r="Q168" s="8" t="n">
        <f aca="false">ROUND(SUM(M168:P168),2)</f>
        <v>7.15</v>
      </c>
      <c r="R168" s="8" t="str">
        <f aca="false">IF(Q168&gt;=Scoring!$C$10-0.000001,"Keep","Remove")</f>
        <v>Keep</v>
      </c>
      <c r="S168" s="8" t="s">
        <v>166</v>
      </c>
    </row>
    <row r="169" customFormat="false" ht="15" hidden="false" customHeight="false" outlineLevel="0" collapsed="false">
      <c r="A169" s="8" t="s">
        <v>1462</v>
      </c>
      <c r="B169" s="8" t="s">
        <v>1463</v>
      </c>
      <c r="C169" s="8" t="s">
        <v>178</v>
      </c>
      <c r="D169" s="8" t="s">
        <v>206</v>
      </c>
      <c r="E169" s="8" t="s">
        <v>109</v>
      </c>
      <c r="F169" s="8" t="s">
        <v>82</v>
      </c>
      <c r="G169" s="8" t="n">
        <v>2</v>
      </c>
      <c r="H169" s="13" t="n">
        <v>3</v>
      </c>
      <c r="I169" s="8" t="n">
        <v>3</v>
      </c>
      <c r="J169" s="20" t="s">
        <v>259</v>
      </c>
      <c r="K169" s="8"/>
      <c r="L169" s="20" t="s">
        <v>259</v>
      </c>
      <c r="M169" s="16" t="n">
        <f aca="false">H169*Scoring!$C$5</f>
        <v>3.9</v>
      </c>
      <c r="N169" s="16" t="n">
        <f aca="false">IF(I169&gt;=5,1,IF(I169=4,0.75,IF(I169=3,0.5,IF(I169=2,0.25,0))))*Scoring!$C$8</f>
        <v>0.5</v>
      </c>
      <c r="O169" s="16" t="n">
        <f aca="false">IF(J169="Yes",0,Scoring!$C$6)</f>
        <v>2</v>
      </c>
      <c r="P169" s="16" t="n">
        <f aca="false">IF(L169="Yes",0,Scoring!$C$7)</f>
        <v>0.5</v>
      </c>
      <c r="Q169" s="8" t="n">
        <f aca="false">ROUND(SUM(M169:P169),2)</f>
        <v>6.9</v>
      </c>
      <c r="R169" s="8" t="str">
        <f aca="false">IF(Q169&gt;=Scoring!$C$10-0.000001,"Keep","Remove")</f>
        <v>Keep</v>
      </c>
      <c r="S169" s="8" t="s">
        <v>166</v>
      </c>
    </row>
    <row r="170" customFormat="false" ht="15" hidden="false" customHeight="false" outlineLevel="0" collapsed="false">
      <c r="A170" s="8" t="s">
        <v>1469</v>
      </c>
      <c r="B170" s="8" t="s">
        <v>1470</v>
      </c>
      <c r="C170" s="8" t="s">
        <v>178</v>
      </c>
      <c r="D170" s="8" t="s">
        <v>206</v>
      </c>
      <c r="E170" s="8" t="s">
        <v>109</v>
      </c>
      <c r="F170" s="8" t="s">
        <v>78</v>
      </c>
      <c r="G170" s="8" t="n">
        <v>2</v>
      </c>
      <c r="H170" s="13" t="n">
        <v>3</v>
      </c>
      <c r="I170" s="8" t="n">
        <v>3</v>
      </c>
      <c r="J170" s="20" t="s">
        <v>259</v>
      </c>
      <c r="K170" s="8"/>
      <c r="L170" s="20" t="s">
        <v>259</v>
      </c>
      <c r="M170" s="16" t="n">
        <f aca="false">H170*Scoring!$C$5</f>
        <v>3.9</v>
      </c>
      <c r="N170" s="16" t="n">
        <f aca="false">IF(I170&gt;=5,1,IF(I170=4,0.75,IF(I170=3,0.5,IF(I170=2,0.25,0))))*Scoring!$C$8</f>
        <v>0.5</v>
      </c>
      <c r="O170" s="16" t="n">
        <f aca="false">IF(J170="Yes",0,Scoring!$C$6)</f>
        <v>2</v>
      </c>
      <c r="P170" s="16" t="n">
        <f aca="false">IF(L170="Yes",0,Scoring!$C$7)</f>
        <v>0.5</v>
      </c>
      <c r="Q170" s="8" t="n">
        <f aca="false">ROUND(SUM(M170:P170),2)</f>
        <v>6.9</v>
      </c>
      <c r="R170" s="8" t="str">
        <f aca="false">IF(Q170&gt;=Scoring!$C$10-0.000001,"Keep","Remove")</f>
        <v>Keep</v>
      </c>
      <c r="S170" s="8" t="s">
        <v>166</v>
      </c>
    </row>
    <row r="171" customFormat="false" ht="15" hidden="false" customHeight="false" outlineLevel="0" collapsed="false">
      <c r="A171" s="8" t="s">
        <v>7444</v>
      </c>
      <c r="B171" s="8" t="s">
        <v>7445</v>
      </c>
      <c r="C171" s="8" t="s">
        <v>178</v>
      </c>
      <c r="D171" s="8" t="s">
        <v>206</v>
      </c>
      <c r="E171" s="8" t="s">
        <v>109</v>
      </c>
      <c r="F171" s="8" t="s">
        <v>86</v>
      </c>
      <c r="G171" s="8" t="n">
        <v>3</v>
      </c>
      <c r="H171" s="13" t="n">
        <v>2</v>
      </c>
      <c r="I171" s="8" t="n">
        <v>4</v>
      </c>
      <c r="J171" s="20" t="s">
        <v>259</v>
      </c>
      <c r="K171" s="8"/>
      <c r="L171" s="20" t="s">
        <v>259</v>
      </c>
      <c r="M171" s="16" t="n">
        <f aca="false">H171*Scoring!$C$5</f>
        <v>2.6</v>
      </c>
      <c r="N171" s="16" t="n">
        <f aca="false">IF(I171&gt;=5,1,IF(I171=4,0.75,IF(I171=3,0.5,IF(I171=2,0.25,0))))*Scoring!$C$8</f>
        <v>0.75</v>
      </c>
      <c r="O171" s="16" t="n">
        <f aca="false">IF(J171="Yes",0,Scoring!$C$6)</f>
        <v>2</v>
      </c>
      <c r="P171" s="16" t="n">
        <f aca="false">IF(L171="Yes",0,Scoring!$C$7)</f>
        <v>0.5</v>
      </c>
      <c r="Q171" s="8" t="n">
        <f aca="false">ROUND(SUM(M171:P171),2)</f>
        <v>5.85</v>
      </c>
      <c r="R171" s="8" t="str">
        <f aca="false">IF(Q171&gt;=Scoring!$C$10-0.000001,"Keep","Remove")</f>
        <v>Remove</v>
      </c>
      <c r="S171" s="8" t="s">
        <v>7243</v>
      </c>
    </row>
    <row r="172" customFormat="false" ht="15" hidden="false" customHeight="false" outlineLevel="0" collapsed="false">
      <c r="A172" s="8" t="s">
        <v>7832</v>
      </c>
      <c r="B172" s="8" t="s">
        <v>7833</v>
      </c>
      <c r="C172" s="8" t="s">
        <v>178</v>
      </c>
      <c r="D172" s="8" t="s">
        <v>206</v>
      </c>
      <c r="E172" s="8" t="s">
        <v>109</v>
      </c>
      <c r="F172" s="8" t="s">
        <v>84</v>
      </c>
      <c r="G172" s="8" t="n">
        <v>2</v>
      </c>
      <c r="H172" s="13" t="n">
        <v>3</v>
      </c>
      <c r="I172" s="8" t="n">
        <v>3</v>
      </c>
      <c r="J172" s="20" t="s">
        <v>218</v>
      </c>
      <c r="K172" s="8" t="s">
        <v>8155</v>
      </c>
      <c r="L172" s="20" t="s">
        <v>259</v>
      </c>
      <c r="M172" s="16" t="n">
        <f aca="false">H172*Scoring!$C$5</f>
        <v>3.9</v>
      </c>
      <c r="N172" s="16" t="n">
        <f aca="false">IF(I172&gt;=5,1,IF(I172=4,0.75,IF(I172=3,0.5,IF(I172=2,0.25,0))))*Scoring!$C$8</f>
        <v>0.5</v>
      </c>
      <c r="O172" s="16" t="n">
        <f aca="false">IF(J172="Yes",0,Scoring!$C$6)</f>
        <v>0</v>
      </c>
      <c r="P172" s="16" t="n">
        <f aca="false">IF(L172="Yes",0,Scoring!$C$7)</f>
        <v>0.5</v>
      </c>
      <c r="Q172" s="8" t="n">
        <f aca="false">ROUND(SUM(M172:P172),2)</f>
        <v>4.9</v>
      </c>
      <c r="R172" s="8" t="str">
        <f aca="false">IF(Q172&gt;=Scoring!$C$10-0.000001,"Keep","Remove")</f>
        <v>Remove</v>
      </c>
      <c r="S172" s="8" t="s">
        <v>7834</v>
      </c>
    </row>
    <row r="173" customFormat="false" ht="15" hidden="false" customHeight="false" outlineLevel="0" collapsed="false">
      <c r="A173" s="8" t="s">
        <v>1479</v>
      </c>
      <c r="B173" s="8" t="s">
        <v>1480</v>
      </c>
      <c r="C173" s="8" t="s">
        <v>178</v>
      </c>
      <c r="D173" s="8" t="s">
        <v>206</v>
      </c>
      <c r="E173" s="8" t="s">
        <v>114</v>
      </c>
      <c r="F173" s="8" t="s">
        <v>85</v>
      </c>
      <c r="G173" s="8" t="n">
        <v>1</v>
      </c>
      <c r="H173" s="13" t="n">
        <v>5</v>
      </c>
      <c r="I173" s="8" t="n">
        <v>7</v>
      </c>
      <c r="J173" s="20" t="s">
        <v>259</v>
      </c>
      <c r="K173" s="8"/>
      <c r="L173" s="20" t="s">
        <v>259</v>
      </c>
      <c r="M173" s="16" t="n">
        <f aca="false">H173*Scoring!$C$5</f>
        <v>6.5</v>
      </c>
      <c r="N173" s="16" t="n">
        <f aca="false">IF(I173&gt;=5,1,IF(I173=4,0.75,IF(I173=3,0.5,IF(I173=2,0.25,0))))*Scoring!$C$8</f>
        <v>1</v>
      </c>
      <c r="O173" s="16" t="n">
        <f aca="false">IF(J173="Yes",0,Scoring!$C$6)</f>
        <v>2</v>
      </c>
      <c r="P173" s="16" t="n">
        <f aca="false">IF(L173="Yes",0,Scoring!$C$7)</f>
        <v>0.5</v>
      </c>
      <c r="Q173" s="8" t="n">
        <f aca="false">ROUND(SUM(M173:P173),2)</f>
        <v>10</v>
      </c>
      <c r="R173" s="8" t="str">
        <f aca="false">IF(Q173&gt;=Scoring!$C$10-0.000001,"Keep","Remove")</f>
        <v>Keep</v>
      </c>
      <c r="S173" s="8" t="s">
        <v>166</v>
      </c>
    </row>
    <row r="174" customFormat="false" ht="15" hidden="false" customHeight="false" outlineLevel="0" collapsed="false">
      <c r="A174" s="8" t="s">
        <v>1489</v>
      </c>
      <c r="B174" s="8" t="s">
        <v>1490</v>
      </c>
      <c r="C174" s="8" t="s">
        <v>178</v>
      </c>
      <c r="D174" s="8" t="s">
        <v>206</v>
      </c>
      <c r="E174" s="8" t="s">
        <v>114</v>
      </c>
      <c r="F174" s="8" t="s">
        <v>78</v>
      </c>
      <c r="G174" s="8" t="n">
        <v>1</v>
      </c>
      <c r="H174" s="13" t="n">
        <v>4</v>
      </c>
      <c r="I174" s="8" t="n">
        <v>5</v>
      </c>
      <c r="J174" s="20" t="s">
        <v>259</v>
      </c>
      <c r="K174" s="8"/>
      <c r="L174" s="20" t="s">
        <v>259</v>
      </c>
      <c r="M174" s="16" t="n">
        <f aca="false">H174*Scoring!$C$5</f>
        <v>5.2</v>
      </c>
      <c r="N174" s="16" t="n">
        <f aca="false">IF(I174&gt;=5,1,IF(I174=4,0.75,IF(I174=3,0.5,IF(I174=2,0.25,0))))*Scoring!$C$8</f>
        <v>1</v>
      </c>
      <c r="O174" s="16" t="n">
        <f aca="false">IF(J174="Yes",0,Scoring!$C$6)</f>
        <v>2</v>
      </c>
      <c r="P174" s="16" t="n">
        <f aca="false">IF(L174="Yes",0,Scoring!$C$7)</f>
        <v>0.5</v>
      </c>
      <c r="Q174" s="8" t="n">
        <f aca="false">ROUND(SUM(M174:P174),2)</f>
        <v>8.7</v>
      </c>
      <c r="R174" s="8" t="str">
        <f aca="false">IF(Q174&gt;=Scoring!$C$10-0.000001,"Keep","Remove")</f>
        <v>Keep</v>
      </c>
      <c r="S174" s="8" t="s">
        <v>166</v>
      </c>
    </row>
    <row r="175" customFormat="false" ht="15" hidden="false" customHeight="false" outlineLevel="0" collapsed="false">
      <c r="A175" s="8" t="s">
        <v>1499</v>
      </c>
      <c r="B175" s="8" t="s">
        <v>1500</v>
      </c>
      <c r="C175" s="8" t="s">
        <v>178</v>
      </c>
      <c r="D175" s="8" t="s">
        <v>206</v>
      </c>
      <c r="E175" s="8" t="s">
        <v>114</v>
      </c>
      <c r="F175" s="8" t="s">
        <v>86</v>
      </c>
      <c r="G175" s="8" t="n">
        <v>2</v>
      </c>
      <c r="H175" s="13" t="n">
        <v>3</v>
      </c>
      <c r="I175" s="8" t="n">
        <v>5</v>
      </c>
      <c r="J175" s="20" t="s">
        <v>259</v>
      </c>
      <c r="K175" s="8"/>
      <c r="L175" s="20" t="s">
        <v>259</v>
      </c>
      <c r="M175" s="16" t="n">
        <f aca="false">H175*Scoring!$C$5</f>
        <v>3.9</v>
      </c>
      <c r="N175" s="16" t="n">
        <f aca="false">IF(I175&gt;=5,1,IF(I175=4,0.75,IF(I175=3,0.5,IF(I175=2,0.25,0))))*Scoring!$C$8</f>
        <v>1</v>
      </c>
      <c r="O175" s="16" t="n">
        <f aca="false">IF(J175="Yes",0,Scoring!$C$6)</f>
        <v>2</v>
      </c>
      <c r="P175" s="16" t="n">
        <f aca="false">IF(L175="Yes",0,Scoring!$C$7)</f>
        <v>0.5</v>
      </c>
      <c r="Q175" s="8" t="n">
        <f aca="false">ROUND(SUM(M175:P175),2)</f>
        <v>7.4</v>
      </c>
      <c r="R175" s="8" t="str">
        <f aca="false">IF(Q175&gt;=Scoring!$C$10-0.000001,"Keep","Remove")</f>
        <v>Keep</v>
      </c>
      <c r="S175" s="8" t="s">
        <v>166</v>
      </c>
    </row>
    <row r="176" customFormat="false" ht="15" hidden="false" customHeight="false" outlineLevel="0" collapsed="false">
      <c r="A176" s="8" t="s">
        <v>1509</v>
      </c>
      <c r="B176" s="8" t="s">
        <v>1510</v>
      </c>
      <c r="C176" s="8" t="s">
        <v>178</v>
      </c>
      <c r="D176" s="8" t="s">
        <v>206</v>
      </c>
      <c r="E176" s="8" t="s">
        <v>114</v>
      </c>
      <c r="F176" s="8" t="s">
        <v>80</v>
      </c>
      <c r="G176" s="8" t="n">
        <v>2</v>
      </c>
      <c r="H176" s="13" t="n">
        <v>3</v>
      </c>
      <c r="I176" s="8" t="n">
        <v>3</v>
      </c>
      <c r="J176" s="20" t="s">
        <v>259</v>
      </c>
      <c r="K176" s="8"/>
      <c r="L176" s="20" t="s">
        <v>259</v>
      </c>
      <c r="M176" s="16" t="n">
        <f aca="false">H176*Scoring!$C$5</f>
        <v>3.9</v>
      </c>
      <c r="N176" s="16" t="n">
        <f aca="false">IF(I176&gt;=5,1,IF(I176=4,0.75,IF(I176=3,0.5,IF(I176=2,0.25,0))))*Scoring!$C$8</f>
        <v>0.5</v>
      </c>
      <c r="O176" s="16" t="n">
        <f aca="false">IF(J176="Yes",0,Scoring!$C$6)</f>
        <v>2</v>
      </c>
      <c r="P176" s="16" t="n">
        <f aca="false">IF(L176="Yes",0,Scoring!$C$7)</f>
        <v>0.5</v>
      </c>
      <c r="Q176" s="8" t="n">
        <f aca="false">ROUND(SUM(M176:P176),2)</f>
        <v>6.9</v>
      </c>
      <c r="R176" s="8" t="str">
        <f aca="false">IF(Q176&gt;=Scoring!$C$10-0.000001,"Keep","Remove")</f>
        <v>Keep</v>
      </c>
      <c r="S176" s="8" t="s">
        <v>166</v>
      </c>
    </row>
    <row r="177" customFormat="false" ht="15" hidden="false" customHeight="false" outlineLevel="0" collapsed="false">
      <c r="A177" s="8" t="s">
        <v>1519</v>
      </c>
      <c r="B177" s="8" t="s">
        <v>1520</v>
      </c>
      <c r="C177" s="8" t="s">
        <v>178</v>
      </c>
      <c r="D177" s="8" t="s">
        <v>206</v>
      </c>
      <c r="E177" s="8" t="s">
        <v>114</v>
      </c>
      <c r="F177" s="8" t="s">
        <v>80</v>
      </c>
      <c r="G177" s="8" t="n">
        <v>2</v>
      </c>
      <c r="H177" s="13" t="n">
        <v>3</v>
      </c>
      <c r="I177" s="8" t="n">
        <v>3</v>
      </c>
      <c r="J177" s="20" t="s">
        <v>259</v>
      </c>
      <c r="K177" s="8"/>
      <c r="L177" s="20" t="s">
        <v>259</v>
      </c>
      <c r="M177" s="16" t="n">
        <f aca="false">H177*Scoring!$C$5</f>
        <v>3.9</v>
      </c>
      <c r="N177" s="16" t="n">
        <f aca="false">IF(I177&gt;=5,1,IF(I177=4,0.75,IF(I177=3,0.5,IF(I177=2,0.25,0))))*Scoring!$C$8</f>
        <v>0.5</v>
      </c>
      <c r="O177" s="16" t="n">
        <f aca="false">IF(J177="Yes",0,Scoring!$C$6)</f>
        <v>2</v>
      </c>
      <c r="P177" s="16" t="n">
        <f aca="false">IF(L177="Yes",0,Scoring!$C$7)</f>
        <v>0.5</v>
      </c>
      <c r="Q177" s="8" t="n">
        <f aca="false">ROUND(SUM(M177:P177),2)</f>
        <v>6.9</v>
      </c>
      <c r="R177" s="8" t="str">
        <f aca="false">IF(Q177&gt;=Scoring!$C$10-0.000001,"Keep","Remove")</f>
        <v>Keep</v>
      </c>
      <c r="S177" s="8" t="s">
        <v>166</v>
      </c>
    </row>
    <row r="178" customFormat="false" ht="15" hidden="false" customHeight="false" outlineLevel="0" collapsed="false">
      <c r="A178" s="8" t="s">
        <v>1529</v>
      </c>
      <c r="B178" s="8" t="s">
        <v>1530</v>
      </c>
      <c r="C178" s="8" t="s">
        <v>178</v>
      </c>
      <c r="D178" s="8" t="s">
        <v>206</v>
      </c>
      <c r="E178" s="8" t="s">
        <v>113</v>
      </c>
      <c r="F178" s="8" t="s">
        <v>82</v>
      </c>
      <c r="G178" s="8" t="n">
        <v>2</v>
      </c>
      <c r="H178" s="13" t="n">
        <v>3</v>
      </c>
      <c r="I178" s="8" t="n">
        <v>2</v>
      </c>
      <c r="J178" s="20" t="s">
        <v>259</v>
      </c>
      <c r="K178" s="8"/>
      <c r="L178" s="20" t="s">
        <v>259</v>
      </c>
      <c r="M178" s="16" t="n">
        <f aca="false">H178*Scoring!$C$5</f>
        <v>3.9</v>
      </c>
      <c r="N178" s="16" t="n">
        <f aca="false">IF(I178&gt;=5,1,IF(I178=4,0.75,IF(I178=3,0.5,IF(I178=2,0.25,0))))*Scoring!$C$8</f>
        <v>0.25</v>
      </c>
      <c r="O178" s="16" t="n">
        <f aca="false">IF(J178="Yes",0,Scoring!$C$6)</f>
        <v>2</v>
      </c>
      <c r="P178" s="16" t="n">
        <f aca="false">IF(L178="Yes",0,Scoring!$C$7)</f>
        <v>0.5</v>
      </c>
      <c r="Q178" s="8" t="n">
        <f aca="false">ROUND(SUM(M178:P178),2)</f>
        <v>6.65</v>
      </c>
      <c r="R178" s="8" t="str">
        <f aca="false">IF(Q178&gt;=Scoring!$C$10-0.000001,"Keep","Remove")</f>
        <v>Keep</v>
      </c>
      <c r="S178" s="8" t="s">
        <v>166</v>
      </c>
    </row>
    <row r="179" customFormat="false" ht="15" hidden="false" customHeight="false" outlineLevel="0" collapsed="false">
      <c r="A179" s="8" t="s">
        <v>1540</v>
      </c>
      <c r="B179" s="8" t="s">
        <v>1541</v>
      </c>
      <c r="C179" s="8" t="s">
        <v>178</v>
      </c>
      <c r="D179" s="8" t="s">
        <v>206</v>
      </c>
      <c r="E179" s="8" t="s">
        <v>113</v>
      </c>
      <c r="F179" s="8" t="s">
        <v>88</v>
      </c>
      <c r="G179" s="8" t="n">
        <v>2</v>
      </c>
      <c r="H179" s="13" t="n">
        <v>3</v>
      </c>
      <c r="I179" s="8" t="n">
        <v>3</v>
      </c>
      <c r="J179" s="20" t="s">
        <v>259</v>
      </c>
      <c r="K179" s="8"/>
      <c r="L179" s="20" t="s">
        <v>259</v>
      </c>
      <c r="M179" s="16" t="n">
        <f aca="false">H179*Scoring!$C$5</f>
        <v>3.9</v>
      </c>
      <c r="N179" s="16" t="n">
        <f aca="false">IF(I179&gt;=5,1,IF(I179=4,0.75,IF(I179=3,0.5,IF(I179=2,0.25,0))))*Scoring!$C$8</f>
        <v>0.5</v>
      </c>
      <c r="O179" s="16" t="n">
        <f aca="false">IF(J179="Yes",0,Scoring!$C$6)</f>
        <v>2</v>
      </c>
      <c r="P179" s="16" t="n">
        <f aca="false">IF(L179="Yes",0,Scoring!$C$7)</f>
        <v>0.5</v>
      </c>
      <c r="Q179" s="8" t="n">
        <f aca="false">ROUND(SUM(M179:P179),2)</f>
        <v>6.9</v>
      </c>
      <c r="R179" s="8" t="str">
        <f aca="false">IF(Q179&gt;=Scoring!$C$10-0.000001,"Keep","Remove")</f>
        <v>Keep</v>
      </c>
      <c r="S179" s="8" t="s">
        <v>166</v>
      </c>
    </row>
    <row r="180" customFormat="false" ht="15" hidden="false" customHeight="false" outlineLevel="0" collapsed="false">
      <c r="A180" s="8" t="s">
        <v>1548</v>
      </c>
      <c r="B180" s="8" t="s">
        <v>1549</v>
      </c>
      <c r="C180" s="8" t="s">
        <v>178</v>
      </c>
      <c r="D180" s="8" t="s">
        <v>206</v>
      </c>
      <c r="E180" s="8" t="s">
        <v>113</v>
      </c>
      <c r="F180" s="8" t="s">
        <v>78</v>
      </c>
      <c r="G180" s="8" t="n">
        <v>2</v>
      </c>
      <c r="H180" s="13" t="n">
        <v>3</v>
      </c>
      <c r="I180" s="8" t="n">
        <v>2</v>
      </c>
      <c r="J180" s="20" t="s">
        <v>259</v>
      </c>
      <c r="K180" s="8"/>
      <c r="L180" s="20" t="s">
        <v>259</v>
      </c>
      <c r="M180" s="16" t="n">
        <f aca="false">H180*Scoring!$C$5</f>
        <v>3.9</v>
      </c>
      <c r="N180" s="16" t="n">
        <f aca="false">IF(I180&gt;=5,1,IF(I180=4,0.75,IF(I180=3,0.5,IF(I180=2,0.25,0))))*Scoring!$C$8</f>
        <v>0.25</v>
      </c>
      <c r="O180" s="16" t="n">
        <f aca="false">IF(J180="Yes",0,Scoring!$C$6)</f>
        <v>2</v>
      </c>
      <c r="P180" s="16" t="n">
        <f aca="false">IF(L180="Yes",0,Scoring!$C$7)</f>
        <v>0.5</v>
      </c>
      <c r="Q180" s="8" t="n">
        <f aca="false">ROUND(SUM(M180:P180),2)</f>
        <v>6.65</v>
      </c>
      <c r="R180" s="8" t="str">
        <f aca="false">IF(Q180&gt;=Scoring!$C$10-0.000001,"Keep","Remove")</f>
        <v>Keep</v>
      </c>
      <c r="S180" s="8" t="s">
        <v>166</v>
      </c>
    </row>
    <row r="181" customFormat="false" ht="15" hidden="false" customHeight="false" outlineLevel="0" collapsed="false">
      <c r="A181" s="8" t="s">
        <v>1556</v>
      </c>
      <c r="B181" s="8" t="s">
        <v>1557</v>
      </c>
      <c r="C181" s="8" t="s">
        <v>178</v>
      </c>
      <c r="D181" s="8" t="s">
        <v>206</v>
      </c>
      <c r="E181" s="8" t="s">
        <v>113</v>
      </c>
      <c r="F181" s="8" t="s">
        <v>78</v>
      </c>
      <c r="G181" s="8" t="n">
        <v>2</v>
      </c>
      <c r="H181" s="13" t="n">
        <v>3</v>
      </c>
      <c r="I181" s="8" t="n">
        <v>4</v>
      </c>
      <c r="J181" s="20" t="s">
        <v>259</v>
      </c>
      <c r="K181" s="8"/>
      <c r="L181" s="20" t="s">
        <v>259</v>
      </c>
      <c r="M181" s="16" t="n">
        <f aca="false">H181*Scoring!$C$5</f>
        <v>3.9</v>
      </c>
      <c r="N181" s="16" t="n">
        <f aca="false">IF(I181&gt;=5,1,IF(I181=4,0.75,IF(I181=3,0.5,IF(I181=2,0.25,0))))*Scoring!$C$8</f>
        <v>0.75</v>
      </c>
      <c r="O181" s="16" t="n">
        <f aca="false">IF(J181="Yes",0,Scoring!$C$6)</f>
        <v>2</v>
      </c>
      <c r="P181" s="16" t="n">
        <f aca="false">IF(L181="Yes",0,Scoring!$C$7)</f>
        <v>0.5</v>
      </c>
      <c r="Q181" s="8" t="n">
        <f aca="false">ROUND(SUM(M181:P181),2)</f>
        <v>7.15</v>
      </c>
      <c r="R181" s="8" t="str">
        <f aca="false">IF(Q181&gt;=Scoring!$C$10-0.000001,"Keep","Remove")</f>
        <v>Keep</v>
      </c>
      <c r="S181" s="8" t="s">
        <v>166</v>
      </c>
    </row>
    <row r="182" customFormat="false" ht="15" hidden="false" customHeight="false" outlineLevel="0" collapsed="false">
      <c r="A182" s="8" t="s">
        <v>1565</v>
      </c>
      <c r="B182" s="8" t="s">
        <v>1566</v>
      </c>
      <c r="C182" s="8" t="s">
        <v>178</v>
      </c>
      <c r="D182" s="8" t="s">
        <v>206</v>
      </c>
      <c r="E182" s="8" t="s">
        <v>113</v>
      </c>
      <c r="F182" s="8" t="s">
        <v>85</v>
      </c>
      <c r="G182" s="8" t="n">
        <v>2</v>
      </c>
      <c r="H182" s="13" t="n">
        <v>3</v>
      </c>
      <c r="I182" s="8" t="n">
        <v>5</v>
      </c>
      <c r="J182" s="20" t="s">
        <v>259</v>
      </c>
      <c r="K182" s="8"/>
      <c r="L182" s="20" t="s">
        <v>259</v>
      </c>
      <c r="M182" s="16" t="n">
        <f aca="false">H182*Scoring!$C$5</f>
        <v>3.9</v>
      </c>
      <c r="N182" s="16" t="n">
        <f aca="false">IF(I182&gt;=5,1,IF(I182=4,0.75,IF(I182=3,0.5,IF(I182=2,0.25,0))))*Scoring!$C$8</f>
        <v>1</v>
      </c>
      <c r="O182" s="16" t="n">
        <f aca="false">IF(J182="Yes",0,Scoring!$C$6)</f>
        <v>2</v>
      </c>
      <c r="P182" s="16" t="n">
        <f aca="false">IF(L182="Yes",0,Scoring!$C$7)</f>
        <v>0.5</v>
      </c>
      <c r="Q182" s="8" t="n">
        <f aca="false">ROUND(SUM(M182:P182),2)</f>
        <v>7.4</v>
      </c>
      <c r="R182" s="8" t="str">
        <f aca="false">IF(Q182&gt;=Scoring!$C$10-0.000001,"Keep","Remove")</f>
        <v>Keep</v>
      </c>
      <c r="S182" s="8" t="s">
        <v>166</v>
      </c>
    </row>
    <row r="183" customFormat="false" ht="15" hidden="false" customHeight="false" outlineLevel="0" collapsed="false">
      <c r="A183" s="8" t="s">
        <v>7658</v>
      </c>
      <c r="B183" s="8" t="s">
        <v>7659</v>
      </c>
      <c r="C183" s="8" t="s">
        <v>178</v>
      </c>
      <c r="D183" s="8" t="s">
        <v>206</v>
      </c>
      <c r="E183" s="8" t="s">
        <v>113</v>
      </c>
      <c r="F183" s="8" t="s">
        <v>84</v>
      </c>
      <c r="G183" s="8" t="n">
        <v>3</v>
      </c>
      <c r="H183" s="13" t="n">
        <v>2</v>
      </c>
      <c r="I183" s="8" t="n">
        <v>3</v>
      </c>
      <c r="J183" s="20" t="s">
        <v>259</v>
      </c>
      <c r="K183" s="8"/>
      <c r="L183" s="20" t="s">
        <v>259</v>
      </c>
      <c r="M183" s="16" t="n">
        <f aca="false">H183*Scoring!$C$5</f>
        <v>2.6</v>
      </c>
      <c r="N183" s="16" t="n">
        <f aca="false">IF(I183&gt;=5,1,IF(I183=4,0.75,IF(I183=3,0.5,IF(I183=2,0.25,0))))*Scoring!$C$8</f>
        <v>0.5</v>
      </c>
      <c r="O183" s="16" t="n">
        <f aca="false">IF(J183="Yes",0,Scoring!$C$6)</f>
        <v>2</v>
      </c>
      <c r="P183" s="16" t="n">
        <f aca="false">IF(L183="Yes",0,Scoring!$C$7)</f>
        <v>0.5</v>
      </c>
      <c r="Q183" s="8" t="n">
        <f aca="false">ROUND(SUM(M183:P183),2)</f>
        <v>5.6</v>
      </c>
      <c r="R183" s="8" t="str">
        <f aca="false">IF(Q183&gt;=Scoring!$C$10-0.000001,"Keep","Remove")</f>
        <v>Remove</v>
      </c>
      <c r="S183" s="8" t="s">
        <v>7243</v>
      </c>
    </row>
    <row r="184" customFormat="false" ht="15" hidden="false" customHeight="false" outlineLevel="0" collapsed="false">
      <c r="A184" s="8" t="s">
        <v>1572</v>
      </c>
      <c r="B184" s="8" t="s">
        <v>1573</v>
      </c>
      <c r="C184" s="8" t="s">
        <v>178</v>
      </c>
      <c r="D184" s="8" t="s">
        <v>206</v>
      </c>
      <c r="E184" s="8" t="s">
        <v>113</v>
      </c>
      <c r="F184" s="8" t="s">
        <v>78</v>
      </c>
      <c r="G184" s="8" t="n">
        <v>2</v>
      </c>
      <c r="H184" s="13" t="n">
        <v>3</v>
      </c>
      <c r="I184" s="8" t="n">
        <v>5</v>
      </c>
      <c r="J184" s="20" t="s">
        <v>259</v>
      </c>
      <c r="K184" s="8"/>
      <c r="L184" s="20" t="s">
        <v>259</v>
      </c>
      <c r="M184" s="16" t="n">
        <f aca="false">H184*Scoring!$C$5</f>
        <v>3.9</v>
      </c>
      <c r="N184" s="16" t="n">
        <f aca="false">IF(I184&gt;=5,1,IF(I184=4,0.75,IF(I184=3,0.5,IF(I184=2,0.25,0))))*Scoring!$C$8</f>
        <v>1</v>
      </c>
      <c r="O184" s="16" t="n">
        <f aca="false">IF(J184="Yes",0,Scoring!$C$6)</f>
        <v>2</v>
      </c>
      <c r="P184" s="16" t="n">
        <f aca="false">IF(L184="Yes",0,Scoring!$C$7)</f>
        <v>0.5</v>
      </c>
      <c r="Q184" s="8" t="n">
        <f aca="false">ROUND(SUM(M184:P184),2)</f>
        <v>7.4</v>
      </c>
      <c r="R184" s="8" t="str">
        <f aca="false">IF(Q184&gt;=Scoring!$C$10-0.000001,"Keep","Remove")</f>
        <v>Keep</v>
      </c>
      <c r="S184" s="8" t="s">
        <v>166</v>
      </c>
    </row>
    <row r="185" customFormat="false" ht="15" hidden="false" customHeight="false" outlineLevel="0" collapsed="false">
      <c r="A185" s="8" t="s">
        <v>7446</v>
      </c>
      <c r="B185" s="8" t="s">
        <v>7447</v>
      </c>
      <c r="C185" s="8" t="s">
        <v>178</v>
      </c>
      <c r="D185" s="8" t="s">
        <v>206</v>
      </c>
      <c r="E185" s="8" t="s">
        <v>113</v>
      </c>
      <c r="F185" s="8" t="s">
        <v>78</v>
      </c>
      <c r="G185" s="8" t="n">
        <v>3</v>
      </c>
      <c r="H185" s="13" t="n">
        <v>2</v>
      </c>
      <c r="I185" s="8" t="n">
        <v>4</v>
      </c>
      <c r="J185" s="20" t="s">
        <v>259</v>
      </c>
      <c r="K185" s="8"/>
      <c r="L185" s="20" t="s">
        <v>259</v>
      </c>
      <c r="M185" s="16" t="n">
        <f aca="false">H185*Scoring!$C$5</f>
        <v>2.6</v>
      </c>
      <c r="N185" s="16" t="n">
        <f aca="false">IF(I185&gt;=5,1,IF(I185=4,0.75,IF(I185=3,0.5,IF(I185=2,0.25,0))))*Scoring!$C$8</f>
        <v>0.75</v>
      </c>
      <c r="O185" s="16" t="n">
        <f aca="false">IF(J185="Yes",0,Scoring!$C$6)</f>
        <v>2</v>
      </c>
      <c r="P185" s="16" t="n">
        <f aca="false">IF(L185="Yes",0,Scoring!$C$7)</f>
        <v>0.5</v>
      </c>
      <c r="Q185" s="8" t="n">
        <f aca="false">ROUND(SUM(M185:P185),2)</f>
        <v>5.85</v>
      </c>
      <c r="R185" s="8" t="str">
        <f aca="false">IF(Q185&gt;=Scoring!$C$10-0.000001,"Keep","Remove")</f>
        <v>Remove</v>
      </c>
      <c r="S185" s="8" t="s">
        <v>7243</v>
      </c>
    </row>
    <row r="186" customFormat="false" ht="15" hidden="false" customHeight="false" outlineLevel="0" collapsed="false">
      <c r="A186" s="8" t="s">
        <v>7660</v>
      </c>
      <c r="B186" s="8" t="s">
        <v>7661</v>
      </c>
      <c r="C186" s="8" t="s">
        <v>178</v>
      </c>
      <c r="D186" s="8" t="s">
        <v>206</v>
      </c>
      <c r="E186" s="8" t="s">
        <v>113</v>
      </c>
      <c r="F186" s="8" t="s">
        <v>78</v>
      </c>
      <c r="G186" s="8" t="n">
        <v>3</v>
      </c>
      <c r="H186" s="13" t="n">
        <v>2</v>
      </c>
      <c r="I186" s="8" t="n">
        <v>3</v>
      </c>
      <c r="J186" s="20" t="s">
        <v>259</v>
      </c>
      <c r="K186" s="8"/>
      <c r="L186" s="20" t="s">
        <v>259</v>
      </c>
      <c r="M186" s="16" t="n">
        <f aca="false">H186*Scoring!$C$5</f>
        <v>2.6</v>
      </c>
      <c r="N186" s="16" t="n">
        <f aca="false">IF(I186&gt;=5,1,IF(I186=4,0.75,IF(I186=3,0.5,IF(I186=2,0.25,0))))*Scoring!$C$8</f>
        <v>0.5</v>
      </c>
      <c r="O186" s="16" t="n">
        <f aca="false">IF(J186="Yes",0,Scoring!$C$6)</f>
        <v>2</v>
      </c>
      <c r="P186" s="16" t="n">
        <f aca="false">IF(L186="Yes",0,Scoring!$C$7)</f>
        <v>0.5</v>
      </c>
      <c r="Q186" s="8" t="n">
        <f aca="false">ROUND(SUM(M186:P186),2)</f>
        <v>5.6</v>
      </c>
      <c r="R186" s="8" t="str">
        <f aca="false">IF(Q186&gt;=Scoring!$C$10-0.000001,"Keep","Remove")</f>
        <v>Remove</v>
      </c>
      <c r="S186" s="8" t="s">
        <v>7243</v>
      </c>
    </row>
    <row r="187" customFormat="false" ht="15" hidden="false" customHeight="false" outlineLevel="0" collapsed="false">
      <c r="A187" s="8" t="s">
        <v>7662</v>
      </c>
      <c r="B187" s="8" t="s">
        <v>7663</v>
      </c>
      <c r="C187" s="8" t="s">
        <v>178</v>
      </c>
      <c r="D187" s="8" t="s">
        <v>206</v>
      </c>
      <c r="E187" s="8" t="s">
        <v>113</v>
      </c>
      <c r="F187" s="8" t="s">
        <v>83</v>
      </c>
      <c r="G187" s="8" t="n">
        <v>3</v>
      </c>
      <c r="H187" s="13" t="n">
        <v>2</v>
      </c>
      <c r="I187" s="8" t="n">
        <v>3</v>
      </c>
      <c r="J187" s="20" t="s">
        <v>259</v>
      </c>
      <c r="K187" s="8"/>
      <c r="L187" s="20" t="s">
        <v>259</v>
      </c>
      <c r="M187" s="16" t="n">
        <f aca="false">H187*Scoring!$C$5</f>
        <v>2.6</v>
      </c>
      <c r="N187" s="16" t="n">
        <f aca="false">IF(I187&gt;=5,1,IF(I187=4,0.75,IF(I187=3,0.5,IF(I187=2,0.25,0))))*Scoring!$C$8</f>
        <v>0.5</v>
      </c>
      <c r="O187" s="16" t="n">
        <f aca="false">IF(J187="Yes",0,Scoring!$C$6)</f>
        <v>2</v>
      </c>
      <c r="P187" s="16" t="n">
        <f aca="false">IF(L187="Yes",0,Scoring!$C$7)</f>
        <v>0.5</v>
      </c>
      <c r="Q187" s="8" t="n">
        <f aca="false">ROUND(SUM(M187:P187),2)</f>
        <v>5.6</v>
      </c>
      <c r="R187" s="8" t="str">
        <f aca="false">IF(Q187&gt;=Scoring!$C$10-0.000001,"Keep","Remove")</f>
        <v>Remove</v>
      </c>
      <c r="S187" s="8" t="s">
        <v>7243</v>
      </c>
    </row>
    <row r="188" customFormat="false" ht="15" hidden="false" customHeight="false" outlineLevel="0" collapsed="false">
      <c r="A188" s="8" t="s">
        <v>7262</v>
      </c>
      <c r="B188" s="8" t="s">
        <v>7263</v>
      </c>
      <c r="C188" s="8" t="s">
        <v>178</v>
      </c>
      <c r="D188" s="8" t="s">
        <v>206</v>
      </c>
      <c r="E188" s="8" t="s">
        <v>114</v>
      </c>
      <c r="F188" s="8" t="s">
        <v>79</v>
      </c>
      <c r="G188" s="8" t="n">
        <v>3</v>
      </c>
      <c r="H188" s="13" t="n">
        <v>2</v>
      </c>
      <c r="I188" s="8" t="n">
        <v>6</v>
      </c>
      <c r="J188" s="20" t="s">
        <v>259</v>
      </c>
      <c r="K188" s="8"/>
      <c r="L188" s="20" t="s">
        <v>259</v>
      </c>
      <c r="M188" s="16" t="n">
        <f aca="false">H188*Scoring!$C$5</f>
        <v>2.6</v>
      </c>
      <c r="N188" s="16" t="n">
        <f aca="false">IF(I188&gt;=5,1,IF(I188=4,0.75,IF(I188=3,0.5,IF(I188=2,0.25,0))))*Scoring!$C$8</f>
        <v>1</v>
      </c>
      <c r="O188" s="16" t="n">
        <f aca="false">IF(J188="Yes",0,Scoring!$C$6)</f>
        <v>2</v>
      </c>
      <c r="P188" s="16" t="n">
        <f aca="false">IF(L188="Yes",0,Scoring!$C$7)</f>
        <v>0.5</v>
      </c>
      <c r="Q188" s="8" t="n">
        <f aca="false">ROUND(SUM(M188:P188),2)</f>
        <v>6.1</v>
      </c>
      <c r="R188" s="8" t="str">
        <f aca="false">IF(Q188&gt;=Scoring!$C$10-0.000001,"Keep","Remove")</f>
        <v>Remove</v>
      </c>
      <c r="S188" s="8" t="s">
        <v>7243</v>
      </c>
    </row>
    <row r="189" customFormat="false" ht="15" hidden="false" customHeight="false" outlineLevel="0" collapsed="false">
      <c r="A189" s="8" t="s">
        <v>7448</v>
      </c>
      <c r="B189" s="8" t="s">
        <v>7449</v>
      </c>
      <c r="C189" s="8" t="s">
        <v>178</v>
      </c>
      <c r="D189" s="8" t="s">
        <v>206</v>
      </c>
      <c r="E189" s="8" t="s">
        <v>114</v>
      </c>
      <c r="F189" s="8" t="s">
        <v>83</v>
      </c>
      <c r="G189" s="8" t="n">
        <v>3</v>
      </c>
      <c r="H189" s="13" t="n">
        <v>2</v>
      </c>
      <c r="I189" s="8" t="n">
        <v>4</v>
      </c>
      <c r="J189" s="20" t="s">
        <v>259</v>
      </c>
      <c r="K189" s="8"/>
      <c r="L189" s="20" t="s">
        <v>259</v>
      </c>
      <c r="M189" s="16" t="n">
        <f aca="false">H189*Scoring!$C$5</f>
        <v>2.6</v>
      </c>
      <c r="N189" s="16" t="n">
        <f aca="false">IF(I189&gt;=5,1,IF(I189=4,0.75,IF(I189=3,0.5,IF(I189=2,0.25,0))))*Scoring!$C$8</f>
        <v>0.75</v>
      </c>
      <c r="O189" s="16" t="n">
        <f aca="false">IF(J189="Yes",0,Scoring!$C$6)</f>
        <v>2</v>
      </c>
      <c r="P189" s="16" t="n">
        <f aca="false">IF(L189="Yes",0,Scoring!$C$7)</f>
        <v>0.5</v>
      </c>
      <c r="Q189" s="8" t="n">
        <f aca="false">ROUND(SUM(M189:P189),2)</f>
        <v>5.85</v>
      </c>
      <c r="R189" s="8" t="str">
        <f aca="false">IF(Q189&gt;=Scoring!$C$10-0.000001,"Keep","Remove")</f>
        <v>Remove</v>
      </c>
      <c r="S189" s="8" t="s">
        <v>7243</v>
      </c>
    </row>
    <row r="190" customFormat="false" ht="15" hidden="false" customHeight="false" outlineLevel="0" collapsed="false">
      <c r="A190" s="8" t="s">
        <v>1579</v>
      </c>
      <c r="B190" s="8" t="s">
        <v>1580</v>
      </c>
      <c r="C190" s="8" t="s">
        <v>178</v>
      </c>
      <c r="D190" s="8" t="s">
        <v>206</v>
      </c>
      <c r="E190" s="8" t="s">
        <v>114</v>
      </c>
      <c r="F190" s="8" t="s">
        <v>79</v>
      </c>
      <c r="G190" s="8" t="n">
        <v>2</v>
      </c>
      <c r="H190" s="13" t="n">
        <v>3</v>
      </c>
      <c r="I190" s="8" t="n">
        <v>3</v>
      </c>
      <c r="J190" s="20" t="s">
        <v>259</v>
      </c>
      <c r="K190" s="8"/>
      <c r="L190" s="20" t="s">
        <v>259</v>
      </c>
      <c r="M190" s="16" t="n">
        <f aca="false">H190*Scoring!$C$5</f>
        <v>3.9</v>
      </c>
      <c r="N190" s="16" t="n">
        <f aca="false">IF(I190&gt;=5,1,IF(I190=4,0.75,IF(I190=3,0.5,IF(I190=2,0.25,0))))*Scoring!$C$8</f>
        <v>0.5</v>
      </c>
      <c r="O190" s="16" t="n">
        <f aca="false">IF(J190="Yes",0,Scoring!$C$6)</f>
        <v>2</v>
      </c>
      <c r="P190" s="16" t="n">
        <f aca="false">IF(L190="Yes",0,Scoring!$C$7)</f>
        <v>0.5</v>
      </c>
      <c r="Q190" s="8" t="n">
        <f aca="false">ROUND(SUM(M190:P190),2)</f>
        <v>6.9</v>
      </c>
      <c r="R190" s="8" t="str">
        <f aca="false">IF(Q190&gt;=Scoring!$C$10-0.000001,"Keep","Remove")</f>
        <v>Keep</v>
      </c>
      <c r="S190" s="8" t="s">
        <v>166</v>
      </c>
    </row>
    <row r="191" customFormat="false" ht="15" hidden="false" customHeight="false" outlineLevel="0" collapsed="false">
      <c r="A191" s="8" t="s">
        <v>7664</v>
      </c>
      <c r="B191" s="8" t="s">
        <v>7665</v>
      </c>
      <c r="C191" s="8" t="s">
        <v>178</v>
      </c>
      <c r="D191" s="8" t="s">
        <v>206</v>
      </c>
      <c r="E191" s="8" t="s">
        <v>114</v>
      </c>
      <c r="F191" s="8" t="s">
        <v>79</v>
      </c>
      <c r="G191" s="8" t="n">
        <v>3</v>
      </c>
      <c r="H191" s="13" t="n">
        <v>2</v>
      </c>
      <c r="I191" s="8" t="n">
        <v>3</v>
      </c>
      <c r="J191" s="20" t="s">
        <v>259</v>
      </c>
      <c r="K191" s="8"/>
      <c r="L191" s="20" t="s">
        <v>259</v>
      </c>
      <c r="M191" s="16" t="n">
        <f aca="false">H191*Scoring!$C$5</f>
        <v>2.6</v>
      </c>
      <c r="N191" s="16" t="n">
        <f aca="false">IF(I191&gt;=5,1,IF(I191=4,0.75,IF(I191=3,0.5,IF(I191=2,0.25,0))))*Scoring!$C$8</f>
        <v>0.5</v>
      </c>
      <c r="O191" s="16" t="n">
        <f aca="false">IF(J191="Yes",0,Scoring!$C$6)</f>
        <v>2</v>
      </c>
      <c r="P191" s="16" t="n">
        <f aca="false">IF(L191="Yes",0,Scoring!$C$7)</f>
        <v>0.5</v>
      </c>
      <c r="Q191" s="8" t="n">
        <f aca="false">ROUND(SUM(M191:P191),2)</f>
        <v>5.6</v>
      </c>
      <c r="R191" s="8" t="str">
        <f aca="false">IF(Q191&gt;=Scoring!$C$10-0.000001,"Keep","Remove")</f>
        <v>Remove</v>
      </c>
      <c r="S191" s="8" t="s">
        <v>7243</v>
      </c>
    </row>
    <row r="192" customFormat="false" ht="15" hidden="false" customHeight="false" outlineLevel="0" collapsed="false">
      <c r="A192" s="8" t="s">
        <v>1588</v>
      </c>
      <c r="B192" s="8" t="s">
        <v>1589</v>
      </c>
      <c r="C192" s="8" t="s">
        <v>178</v>
      </c>
      <c r="D192" s="8" t="s">
        <v>206</v>
      </c>
      <c r="E192" s="8" t="s">
        <v>106</v>
      </c>
      <c r="F192" s="8" t="s">
        <v>78</v>
      </c>
      <c r="G192" s="8" t="n">
        <v>1</v>
      </c>
      <c r="H192" s="13" t="n">
        <v>4</v>
      </c>
      <c r="I192" s="8" t="n">
        <v>3</v>
      </c>
      <c r="J192" s="20" t="s">
        <v>259</v>
      </c>
      <c r="K192" s="8"/>
      <c r="L192" s="20" t="s">
        <v>259</v>
      </c>
      <c r="M192" s="16" t="n">
        <f aca="false">H192*Scoring!$C$5</f>
        <v>5.2</v>
      </c>
      <c r="N192" s="16" t="n">
        <f aca="false">IF(I192&gt;=5,1,IF(I192=4,0.75,IF(I192=3,0.5,IF(I192=2,0.25,0))))*Scoring!$C$8</f>
        <v>0.5</v>
      </c>
      <c r="O192" s="16" t="n">
        <f aca="false">IF(J192="Yes",0,Scoring!$C$6)</f>
        <v>2</v>
      </c>
      <c r="P192" s="16" t="n">
        <f aca="false">IF(L192="Yes",0,Scoring!$C$7)</f>
        <v>0.5</v>
      </c>
      <c r="Q192" s="8" t="n">
        <f aca="false">ROUND(SUM(M192:P192),2)</f>
        <v>8.2</v>
      </c>
      <c r="R192" s="8" t="str">
        <f aca="false">IF(Q192&gt;=Scoring!$C$10-0.000001,"Keep","Remove")</f>
        <v>Keep</v>
      </c>
      <c r="S192" s="8" t="s">
        <v>166</v>
      </c>
    </row>
    <row r="193" customFormat="false" ht="15" hidden="false" customHeight="false" outlineLevel="0" collapsed="false">
      <c r="A193" s="8" t="s">
        <v>1599</v>
      </c>
      <c r="B193" s="8" t="s">
        <v>1600</v>
      </c>
      <c r="C193" s="8" t="s">
        <v>178</v>
      </c>
      <c r="D193" s="8" t="s">
        <v>206</v>
      </c>
      <c r="E193" s="8" t="s">
        <v>106</v>
      </c>
      <c r="F193" s="8" t="s">
        <v>78</v>
      </c>
      <c r="G193" s="8" t="n">
        <v>1</v>
      </c>
      <c r="H193" s="13" t="n">
        <v>4</v>
      </c>
      <c r="I193" s="8" t="n">
        <v>3</v>
      </c>
      <c r="J193" s="20" t="s">
        <v>259</v>
      </c>
      <c r="K193" s="8"/>
      <c r="L193" s="20" t="s">
        <v>259</v>
      </c>
      <c r="M193" s="16" t="n">
        <f aca="false">H193*Scoring!$C$5</f>
        <v>5.2</v>
      </c>
      <c r="N193" s="16" t="n">
        <f aca="false">IF(I193&gt;=5,1,IF(I193=4,0.75,IF(I193=3,0.5,IF(I193=2,0.25,0))))*Scoring!$C$8</f>
        <v>0.5</v>
      </c>
      <c r="O193" s="16" t="n">
        <f aca="false">IF(J193="Yes",0,Scoring!$C$6)</f>
        <v>2</v>
      </c>
      <c r="P193" s="16" t="n">
        <f aca="false">IF(L193="Yes",0,Scoring!$C$7)</f>
        <v>0.5</v>
      </c>
      <c r="Q193" s="8" t="n">
        <f aca="false">ROUND(SUM(M193:P193),2)</f>
        <v>8.2</v>
      </c>
      <c r="R193" s="8" t="str">
        <f aca="false">IF(Q193&gt;=Scoring!$C$10-0.000001,"Keep","Remove")</f>
        <v>Keep</v>
      </c>
      <c r="S193" s="8" t="s">
        <v>166</v>
      </c>
    </row>
    <row r="194" customFormat="false" ht="15" hidden="false" customHeight="false" outlineLevel="0" collapsed="false">
      <c r="A194" s="8" t="s">
        <v>1608</v>
      </c>
      <c r="B194" s="8" t="s">
        <v>1609</v>
      </c>
      <c r="C194" s="8" t="s">
        <v>178</v>
      </c>
      <c r="D194" s="8" t="s">
        <v>206</v>
      </c>
      <c r="E194" s="8" t="s">
        <v>106</v>
      </c>
      <c r="F194" s="8" t="s">
        <v>78</v>
      </c>
      <c r="G194" s="8" t="n">
        <v>1</v>
      </c>
      <c r="H194" s="13" t="n">
        <v>4</v>
      </c>
      <c r="I194" s="8" t="n">
        <v>3</v>
      </c>
      <c r="J194" s="20" t="s">
        <v>259</v>
      </c>
      <c r="K194" s="8"/>
      <c r="L194" s="20" t="s">
        <v>259</v>
      </c>
      <c r="M194" s="16" t="n">
        <f aca="false">H194*Scoring!$C$5</f>
        <v>5.2</v>
      </c>
      <c r="N194" s="16" t="n">
        <f aca="false">IF(I194&gt;=5,1,IF(I194=4,0.75,IF(I194=3,0.5,IF(I194=2,0.25,0))))*Scoring!$C$8</f>
        <v>0.5</v>
      </c>
      <c r="O194" s="16" t="n">
        <f aca="false">IF(J194="Yes",0,Scoring!$C$6)</f>
        <v>2</v>
      </c>
      <c r="P194" s="16" t="n">
        <f aca="false">IF(L194="Yes",0,Scoring!$C$7)</f>
        <v>0.5</v>
      </c>
      <c r="Q194" s="8" t="n">
        <f aca="false">ROUND(SUM(M194:P194),2)</f>
        <v>8.2</v>
      </c>
      <c r="R194" s="8" t="str">
        <f aca="false">IF(Q194&gt;=Scoring!$C$10-0.000001,"Keep","Remove")</f>
        <v>Keep</v>
      </c>
      <c r="S194" s="8" t="s">
        <v>166</v>
      </c>
    </row>
    <row r="195" customFormat="false" ht="15" hidden="false" customHeight="false" outlineLevel="0" collapsed="false">
      <c r="A195" s="8" t="s">
        <v>1616</v>
      </c>
      <c r="B195" s="8" t="s">
        <v>1617</v>
      </c>
      <c r="C195" s="8" t="s">
        <v>178</v>
      </c>
      <c r="D195" s="8" t="s">
        <v>206</v>
      </c>
      <c r="E195" s="8" t="s">
        <v>106</v>
      </c>
      <c r="F195" s="8" t="s">
        <v>78</v>
      </c>
      <c r="G195" s="8" t="n">
        <v>2</v>
      </c>
      <c r="H195" s="13" t="n">
        <v>3</v>
      </c>
      <c r="I195" s="8" t="n">
        <v>2</v>
      </c>
      <c r="J195" s="20" t="s">
        <v>259</v>
      </c>
      <c r="K195" s="8"/>
      <c r="L195" s="20" t="s">
        <v>259</v>
      </c>
      <c r="M195" s="16" t="n">
        <f aca="false">H195*Scoring!$C$5</f>
        <v>3.9</v>
      </c>
      <c r="N195" s="16" t="n">
        <f aca="false">IF(I195&gt;=5,1,IF(I195=4,0.75,IF(I195=3,0.5,IF(I195=2,0.25,0))))*Scoring!$C$8</f>
        <v>0.25</v>
      </c>
      <c r="O195" s="16" t="n">
        <f aca="false">IF(J195="Yes",0,Scoring!$C$6)</f>
        <v>2</v>
      </c>
      <c r="P195" s="16" t="n">
        <f aca="false">IF(L195="Yes",0,Scoring!$C$7)</f>
        <v>0.5</v>
      </c>
      <c r="Q195" s="8" t="n">
        <f aca="false">ROUND(SUM(M195:P195),2)</f>
        <v>6.65</v>
      </c>
      <c r="R195" s="8" t="str">
        <f aca="false">IF(Q195&gt;=Scoring!$C$10-0.000001,"Keep","Remove")</f>
        <v>Keep</v>
      </c>
      <c r="S195" s="8" t="s">
        <v>166</v>
      </c>
    </row>
    <row r="196" customFormat="false" ht="15" hidden="false" customHeight="false" outlineLevel="0" collapsed="false">
      <c r="A196" s="8" t="s">
        <v>1628</v>
      </c>
      <c r="B196" s="8" t="s">
        <v>1629</v>
      </c>
      <c r="C196" s="8" t="s">
        <v>178</v>
      </c>
      <c r="D196" s="8" t="s">
        <v>206</v>
      </c>
      <c r="E196" s="8" t="s">
        <v>106</v>
      </c>
      <c r="F196" s="8" t="s">
        <v>85</v>
      </c>
      <c r="G196" s="8" t="n">
        <v>1</v>
      </c>
      <c r="H196" s="13" t="n">
        <v>4</v>
      </c>
      <c r="I196" s="8" t="n">
        <v>5</v>
      </c>
      <c r="J196" s="20" t="s">
        <v>259</v>
      </c>
      <c r="K196" s="8"/>
      <c r="L196" s="20" t="s">
        <v>259</v>
      </c>
      <c r="M196" s="16" t="n">
        <f aca="false">H196*Scoring!$C$5</f>
        <v>5.2</v>
      </c>
      <c r="N196" s="16" t="n">
        <f aca="false">IF(I196&gt;=5,1,IF(I196=4,0.75,IF(I196=3,0.5,IF(I196=2,0.25,0))))*Scoring!$C$8</f>
        <v>1</v>
      </c>
      <c r="O196" s="16" t="n">
        <f aca="false">IF(J196="Yes",0,Scoring!$C$6)</f>
        <v>2</v>
      </c>
      <c r="P196" s="16" t="n">
        <f aca="false">IF(L196="Yes",0,Scoring!$C$7)</f>
        <v>0.5</v>
      </c>
      <c r="Q196" s="8" t="n">
        <f aca="false">ROUND(SUM(M196:P196),2)</f>
        <v>8.7</v>
      </c>
      <c r="R196" s="8" t="str">
        <f aca="false">IF(Q196&gt;=Scoring!$C$10-0.000001,"Keep","Remove")</f>
        <v>Keep</v>
      </c>
      <c r="S196" s="8" t="s">
        <v>166</v>
      </c>
    </row>
    <row r="197" customFormat="false" ht="15" hidden="false" customHeight="false" outlineLevel="0" collapsed="false">
      <c r="A197" s="8" t="s">
        <v>1637</v>
      </c>
      <c r="B197" s="8" t="s">
        <v>1638</v>
      </c>
      <c r="C197" s="8" t="s">
        <v>178</v>
      </c>
      <c r="D197" s="8" t="s">
        <v>206</v>
      </c>
      <c r="E197" s="8" t="s">
        <v>106</v>
      </c>
      <c r="F197" s="8" t="s">
        <v>81</v>
      </c>
      <c r="G197" s="8" t="n">
        <v>1</v>
      </c>
      <c r="H197" s="13" t="n">
        <v>5</v>
      </c>
      <c r="I197" s="8" t="n">
        <v>4</v>
      </c>
      <c r="J197" s="20" t="s">
        <v>259</v>
      </c>
      <c r="K197" s="8"/>
      <c r="L197" s="20" t="s">
        <v>259</v>
      </c>
      <c r="M197" s="16" t="n">
        <f aca="false">H197*Scoring!$C$5</f>
        <v>6.5</v>
      </c>
      <c r="N197" s="16" t="n">
        <f aca="false">IF(I197&gt;=5,1,IF(I197=4,0.75,IF(I197=3,0.5,IF(I197=2,0.25,0))))*Scoring!$C$8</f>
        <v>0.75</v>
      </c>
      <c r="O197" s="16" t="n">
        <f aca="false">IF(J197="Yes",0,Scoring!$C$6)</f>
        <v>2</v>
      </c>
      <c r="P197" s="16" t="n">
        <f aca="false">IF(L197="Yes",0,Scoring!$C$7)</f>
        <v>0.5</v>
      </c>
      <c r="Q197" s="8" t="n">
        <f aca="false">ROUND(SUM(M197:P197),2)</f>
        <v>9.75</v>
      </c>
      <c r="R197" s="8" t="str">
        <f aca="false">IF(Q197&gt;=Scoring!$C$10-0.000001,"Keep","Remove")</f>
        <v>Keep</v>
      </c>
      <c r="S197" s="8" t="s">
        <v>166</v>
      </c>
    </row>
    <row r="198" customFormat="false" ht="15" hidden="false" customHeight="false" outlineLevel="0" collapsed="false">
      <c r="A198" s="8" t="s">
        <v>1647</v>
      </c>
      <c r="B198" s="8" t="s">
        <v>1648</v>
      </c>
      <c r="C198" s="8" t="s">
        <v>178</v>
      </c>
      <c r="D198" s="8" t="s">
        <v>206</v>
      </c>
      <c r="E198" s="8" t="s">
        <v>106</v>
      </c>
      <c r="F198" s="8" t="s">
        <v>81</v>
      </c>
      <c r="G198" s="8" t="n">
        <v>1</v>
      </c>
      <c r="H198" s="13" t="n">
        <v>4</v>
      </c>
      <c r="I198" s="8" t="n">
        <v>3</v>
      </c>
      <c r="J198" s="20" t="s">
        <v>259</v>
      </c>
      <c r="K198" s="8"/>
      <c r="L198" s="20" t="s">
        <v>259</v>
      </c>
      <c r="M198" s="16" t="n">
        <f aca="false">H198*Scoring!$C$5</f>
        <v>5.2</v>
      </c>
      <c r="N198" s="16" t="n">
        <f aca="false">IF(I198&gt;=5,1,IF(I198=4,0.75,IF(I198=3,0.5,IF(I198=2,0.25,0))))*Scoring!$C$8</f>
        <v>0.5</v>
      </c>
      <c r="O198" s="16" t="n">
        <f aca="false">IF(J198="Yes",0,Scoring!$C$6)</f>
        <v>2</v>
      </c>
      <c r="P198" s="16" t="n">
        <f aca="false">IF(L198="Yes",0,Scoring!$C$7)</f>
        <v>0.5</v>
      </c>
      <c r="Q198" s="8" t="n">
        <f aca="false">ROUND(SUM(M198:P198),2)</f>
        <v>8.2</v>
      </c>
      <c r="R198" s="8" t="str">
        <f aca="false">IF(Q198&gt;=Scoring!$C$10-0.000001,"Keep","Remove")</f>
        <v>Keep</v>
      </c>
      <c r="S198" s="8" t="s">
        <v>166</v>
      </c>
    </row>
    <row r="199" customFormat="false" ht="15" hidden="false" customHeight="false" outlineLevel="0" collapsed="false">
      <c r="A199" s="8" t="s">
        <v>1656</v>
      </c>
      <c r="B199" s="8" t="s">
        <v>1657</v>
      </c>
      <c r="C199" s="8" t="s">
        <v>178</v>
      </c>
      <c r="D199" s="8" t="s">
        <v>206</v>
      </c>
      <c r="E199" s="8" t="s">
        <v>106</v>
      </c>
      <c r="F199" s="8" t="s">
        <v>82</v>
      </c>
      <c r="G199" s="8" t="n">
        <v>2</v>
      </c>
      <c r="H199" s="13" t="n">
        <v>3</v>
      </c>
      <c r="I199" s="8" t="n">
        <v>2</v>
      </c>
      <c r="J199" s="20" t="s">
        <v>259</v>
      </c>
      <c r="K199" s="8"/>
      <c r="L199" s="20" t="s">
        <v>259</v>
      </c>
      <c r="M199" s="16" t="n">
        <f aca="false">H199*Scoring!$C$5</f>
        <v>3.9</v>
      </c>
      <c r="N199" s="16" t="n">
        <f aca="false">IF(I199&gt;=5,1,IF(I199=4,0.75,IF(I199=3,0.5,IF(I199=2,0.25,0))))*Scoring!$C$8</f>
        <v>0.25</v>
      </c>
      <c r="O199" s="16" t="n">
        <f aca="false">IF(J199="Yes",0,Scoring!$C$6)</f>
        <v>2</v>
      </c>
      <c r="P199" s="16" t="n">
        <f aca="false">IF(L199="Yes",0,Scoring!$C$7)</f>
        <v>0.5</v>
      </c>
      <c r="Q199" s="8" t="n">
        <f aca="false">ROUND(SUM(M199:P199),2)</f>
        <v>6.65</v>
      </c>
      <c r="R199" s="8" t="str">
        <f aca="false">IF(Q199&gt;=Scoring!$C$10-0.000001,"Keep","Remove")</f>
        <v>Keep</v>
      </c>
      <c r="S199" s="8" t="s">
        <v>166</v>
      </c>
    </row>
    <row r="200" customFormat="false" ht="15" hidden="false" customHeight="false" outlineLevel="0" collapsed="false">
      <c r="A200" s="8" t="s">
        <v>1666</v>
      </c>
      <c r="B200" s="8" t="s">
        <v>1667</v>
      </c>
      <c r="C200" s="8" t="s">
        <v>178</v>
      </c>
      <c r="D200" s="8" t="s">
        <v>206</v>
      </c>
      <c r="E200" s="8" t="s">
        <v>106</v>
      </c>
      <c r="F200" s="8" t="s">
        <v>86</v>
      </c>
      <c r="G200" s="8" t="n">
        <v>2</v>
      </c>
      <c r="H200" s="13" t="n">
        <v>3</v>
      </c>
      <c r="I200" s="8" t="n">
        <v>5</v>
      </c>
      <c r="J200" s="20" t="s">
        <v>259</v>
      </c>
      <c r="K200" s="8"/>
      <c r="L200" s="20" t="s">
        <v>259</v>
      </c>
      <c r="M200" s="16" t="n">
        <f aca="false">H200*Scoring!$C$5</f>
        <v>3.9</v>
      </c>
      <c r="N200" s="16" t="n">
        <f aca="false">IF(I200&gt;=5,1,IF(I200=4,0.75,IF(I200=3,0.5,IF(I200=2,0.25,0))))*Scoring!$C$8</f>
        <v>1</v>
      </c>
      <c r="O200" s="16" t="n">
        <f aca="false">IF(J200="Yes",0,Scoring!$C$6)</f>
        <v>2</v>
      </c>
      <c r="P200" s="16" t="n">
        <f aca="false">IF(L200="Yes",0,Scoring!$C$7)</f>
        <v>0.5</v>
      </c>
      <c r="Q200" s="8" t="n">
        <f aca="false">ROUND(SUM(M200:P200),2)</f>
        <v>7.4</v>
      </c>
      <c r="R200" s="8" t="str">
        <f aca="false">IF(Q200&gt;=Scoring!$C$10-0.000001,"Keep","Remove")</f>
        <v>Keep</v>
      </c>
      <c r="S200" s="8" t="s">
        <v>166</v>
      </c>
    </row>
    <row r="201" customFormat="false" ht="15" hidden="false" customHeight="false" outlineLevel="0" collapsed="false">
      <c r="A201" s="8" t="s">
        <v>1677</v>
      </c>
      <c r="B201" s="8" t="s">
        <v>1678</v>
      </c>
      <c r="C201" s="8" t="s">
        <v>178</v>
      </c>
      <c r="D201" s="8" t="s">
        <v>206</v>
      </c>
      <c r="E201" s="8" t="s">
        <v>106</v>
      </c>
      <c r="F201" s="8" t="s">
        <v>86</v>
      </c>
      <c r="G201" s="8" t="n">
        <v>2</v>
      </c>
      <c r="H201" s="13" t="n">
        <v>3</v>
      </c>
      <c r="I201" s="8" t="n">
        <v>2</v>
      </c>
      <c r="J201" s="20" t="s">
        <v>259</v>
      </c>
      <c r="K201" s="8"/>
      <c r="L201" s="20" t="s">
        <v>259</v>
      </c>
      <c r="M201" s="16" t="n">
        <f aca="false">H201*Scoring!$C$5</f>
        <v>3.9</v>
      </c>
      <c r="N201" s="16" t="n">
        <f aca="false">IF(I201&gt;=5,1,IF(I201=4,0.75,IF(I201=3,0.5,IF(I201=2,0.25,0))))*Scoring!$C$8</f>
        <v>0.25</v>
      </c>
      <c r="O201" s="16" t="n">
        <f aca="false">IF(J201="Yes",0,Scoring!$C$6)</f>
        <v>2</v>
      </c>
      <c r="P201" s="16" t="n">
        <f aca="false">IF(L201="Yes",0,Scoring!$C$7)</f>
        <v>0.5</v>
      </c>
      <c r="Q201" s="8" t="n">
        <f aca="false">ROUND(SUM(M201:P201),2)</f>
        <v>6.65</v>
      </c>
      <c r="R201" s="8" t="str">
        <f aca="false">IF(Q201&gt;=Scoring!$C$10-0.000001,"Keep","Remove")</f>
        <v>Keep</v>
      </c>
      <c r="S201" s="8" t="s">
        <v>166</v>
      </c>
    </row>
    <row r="202" customFormat="false" ht="15" hidden="false" customHeight="false" outlineLevel="0" collapsed="false">
      <c r="A202" s="8" t="s">
        <v>1685</v>
      </c>
      <c r="B202" s="8" t="s">
        <v>1686</v>
      </c>
      <c r="C202" s="8" t="s">
        <v>178</v>
      </c>
      <c r="D202" s="8" t="s">
        <v>206</v>
      </c>
      <c r="E202" s="8" t="s">
        <v>106</v>
      </c>
      <c r="F202" s="8" t="s">
        <v>86</v>
      </c>
      <c r="G202" s="8" t="n">
        <v>2</v>
      </c>
      <c r="H202" s="13" t="n">
        <v>3</v>
      </c>
      <c r="I202" s="8" t="n">
        <v>3</v>
      </c>
      <c r="J202" s="20" t="s">
        <v>259</v>
      </c>
      <c r="K202" s="8"/>
      <c r="L202" s="20" t="s">
        <v>259</v>
      </c>
      <c r="M202" s="16" t="n">
        <f aca="false">H202*Scoring!$C$5</f>
        <v>3.9</v>
      </c>
      <c r="N202" s="16" t="n">
        <f aca="false">IF(I202&gt;=5,1,IF(I202=4,0.75,IF(I202=3,0.5,IF(I202=2,0.25,0))))*Scoring!$C$8</f>
        <v>0.5</v>
      </c>
      <c r="O202" s="16" t="n">
        <f aca="false">IF(J202="Yes",0,Scoring!$C$6)</f>
        <v>2</v>
      </c>
      <c r="P202" s="16" t="n">
        <f aca="false">IF(L202="Yes",0,Scoring!$C$7)</f>
        <v>0.5</v>
      </c>
      <c r="Q202" s="8" t="n">
        <f aca="false">ROUND(SUM(M202:P202),2)</f>
        <v>6.9</v>
      </c>
      <c r="R202" s="8" t="str">
        <f aca="false">IF(Q202&gt;=Scoring!$C$10-0.000001,"Keep","Remove")</f>
        <v>Keep</v>
      </c>
      <c r="S202" s="8" t="s">
        <v>166</v>
      </c>
    </row>
    <row r="203" customFormat="false" ht="15" hidden="false" customHeight="false" outlineLevel="0" collapsed="false">
      <c r="A203" s="8" t="s">
        <v>7450</v>
      </c>
      <c r="B203" s="8" t="s">
        <v>7451</v>
      </c>
      <c r="C203" s="8" t="s">
        <v>178</v>
      </c>
      <c r="D203" s="8" t="s">
        <v>206</v>
      </c>
      <c r="E203" s="8" t="s">
        <v>106</v>
      </c>
      <c r="F203" s="8" t="s">
        <v>78</v>
      </c>
      <c r="G203" s="8" t="n">
        <v>3</v>
      </c>
      <c r="H203" s="13" t="n">
        <v>2</v>
      </c>
      <c r="I203" s="8" t="n">
        <v>4</v>
      </c>
      <c r="J203" s="20" t="s">
        <v>259</v>
      </c>
      <c r="K203" s="8"/>
      <c r="L203" s="20" t="s">
        <v>259</v>
      </c>
      <c r="M203" s="16" t="n">
        <f aca="false">H203*Scoring!$C$5</f>
        <v>2.6</v>
      </c>
      <c r="N203" s="16" t="n">
        <f aca="false">IF(I203&gt;=5,1,IF(I203=4,0.75,IF(I203=3,0.5,IF(I203=2,0.25,0))))*Scoring!$C$8</f>
        <v>0.75</v>
      </c>
      <c r="O203" s="16" t="n">
        <f aca="false">IF(J203="Yes",0,Scoring!$C$6)</f>
        <v>2</v>
      </c>
      <c r="P203" s="16" t="n">
        <f aca="false">IF(L203="Yes",0,Scoring!$C$7)</f>
        <v>0.5</v>
      </c>
      <c r="Q203" s="8" t="n">
        <f aca="false">ROUND(SUM(M203:P203),2)</f>
        <v>5.85</v>
      </c>
      <c r="R203" s="8" t="str">
        <f aca="false">IF(Q203&gt;=Scoring!$C$10-0.000001,"Keep","Remove")</f>
        <v>Remove</v>
      </c>
      <c r="S203" s="8" t="s">
        <v>7243</v>
      </c>
    </row>
    <row r="204" customFormat="false" ht="15" hidden="false" customHeight="false" outlineLevel="0" collapsed="false">
      <c r="A204" s="8" t="s">
        <v>1692</v>
      </c>
      <c r="B204" s="8" t="s">
        <v>1693</v>
      </c>
      <c r="C204" s="8" t="s">
        <v>178</v>
      </c>
      <c r="D204" s="8" t="s">
        <v>206</v>
      </c>
      <c r="E204" s="8" t="s">
        <v>106</v>
      </c>
      <c r="F204" s="8" t="s">
        <v>80</v>
      </c>
      <c r="G204" s="8" t="n">
        <v>1</v>
      </c>
      <c r="H204" s="13" t="n">
        <v>4</v>
      </c>
      <c r="I204" s="8" t="n">
        <v>5</v>
      </c>
      <c r="J204" s="20" t="s">
        <v>259</v>
      </c>
      <c r="K204" s="8"/>
      <c r="L204" s="20" t="s">
        <v>259</v>
      </c>
      <c r="M204" s="16" t="n">
        <f aca="false">H204*Scoring!$C$5</f>
        <v>5.2</v>
      </c>
      <c r="N204" s="16" t="n">
        <f aca="false">IF(I204&gt;=5,1,IF(I204=4,0.75,IF(I204=3,0.5,IF(I204=2,0.25,0))))*Scoring!$C$8</f>
        <v>1</v>
      </c>
      <c r="O204" s="16" t="n">
        <f aca="false">IF(J204="Yes",0,Scoring!$C$6)</f>
        <v>2</v>
      </c>
      <c r="P204" s="16" t="n">
        <f aca="false">IF(L204="Yes",0,Scoring!$C$7)</f>
        <v>0.5</v>
      </c>
      <c r="Q204" s="8" t="n">
        <f aca="false">ROUND(SUM(M204:P204),2)</f>
        <v>8.7</v>
      </c>
      <c r="R204" s="8" t="str">
        <f aca="false">IF(Q204&gt;=Scoring!$C$10-0.000001,"Keep","Remove")</f>
        <v>Keep</v>
      </c>
      <c r="S204" s="8" t="s">
        <v>166</v>
      </c>
    </row>
    <row r="205" customFormat="false" ht="15" hidden="false" customHeight="false" outlineLevel="0" collapsed="false">
      <c r="A205" s="8" t="s">
        <v>1701</v>
      </c>
      <c r="B205" s="8" t="s">
        <v>1702</v>
      </c>
      <c r="C205" s="8" t="s">
        <v>178</v>
      </c>
      <c r="D205" s="8" t="s">
        <v>206</v>
      </c>
      <c r="E205" s="8" t="s">
        <v>106</v>
      </c>
      <c r="F205" s="8" t="s">
        <v>84</v>
      </c>
      <c r="G205" s="8" t="n">
        <v>1</v>
      </c>
      <c r="H205" s="13" t="n">
        <v>5</v>
      </c>
      <c r="I205" s="8" t="n">
        <v>3</v>
      </c>
      <c r="J205" s="20" t="s">
        <v>259</v>
      </c>
      <c r="K205" s="8"/>
      <c r="L205" s="20" t="s">
        <v>259</v>
      </c>
      <c r="M205" s="16" t="n">
        <f aca="false">H205*Scoring!$C$5</f>
        <v>6.5</v>
      </c>
      <c r="N205" s="16" t="n">
        <f aca="false">IF(I205&gt;=5,1,IF(I205=4,0.75,IF(I205=3,0.5,IF(I205=2,0.25,0))))*Scoring!$C$8</f>
        <v>0.5</v>
      </c>
      <c r="O205" s="16" t="n">
        <f aca="false">IF(J205="Yes",0,Scoring!$C$6)</f>
        <v>2</v>
      </c>
      <c r="P205" s="16" t="n">
        <f aca="false">IF(L205="Yes",0,Scoring!$C$7)</f>
        <v>0.5</v>
      </c>
      <c r="Q205" s="8" t="n">
        <f aca="false">ROUND(SUM(M205:P205),2)</f>
        <v>9.5</v>
      </c>
      <c r="R205" s="8" t="str">
        <f aca="false">IF(Q205&gt;=Scoring!$C$10-0.000001,"Keep","Remove")</f>
        <v>Keep</v>
      </c>
      <c r="S205" s="8" t="s">
        <v>166</v>
      </c>
    </row>
    <row r="206" customFormat="false" ht="15" hidden="false" customHeight="false" outlineLevel="0" collapsed="false">
      <c r="A206" s="8" t="s">
        <v>1713</v>
      </c>
      <c r="B206" s="8" t="s">
        <v>1714</v>
      </c>
      <c r="C206" s="8" t="s">
        <v>178</v>
      </c>
      <c r="D206" s="8" t="s">
        <v>206</v>
      </c>
      <c r="E206" s="8" t="s">
        <v>106</v>
      </c>
      <c r="F206" s="8" t="s">
        <v>84</v>
      </c>
      <c r="G206" s="8" t="n">
        <v>1</v>
      </c>
      <c r="H206" s="13" t="n">
        <v>4</v>
      </c>
      <c r="I206" s="8" t="n">
        <v>4</v>
      </c>
      <c r="J206" s="20" t="s">
        <v>259</v>
      </c>
      <c r="K206" s="8"/>
      <c r="L206" s="20" t="s">
        <v>259</v>
      </c>
      <c r="M206" s="16" t="n">
        <f aca="false">H206*Scoring!$C$5</f>
        <v>5.2</v>
      </c>
      <c r="N206" s="16" t="n">
        <f aca="false">IF(I206&gt;=5,1,IF(I206=4,0.75,IF(I206=3,0.5,IF(I206=2,0.25,0))))*Scoring!$C$8</f>
        <v>0.75</v>
      </c>
      <c r="O206" s="16" t="n">
        <f aca="false">IF(J206="Yes",0,Scoring!$C$6)</f>
        <v>2</v>
      </c>
      <c r="P206" s="16" t="n">
        <f aca="false">IF(L206="Yes",0,Scoring!$C$7)</f>
        <v>0.5</v>
      </c>
      <c r="Q206" s="8" t="n">
        <f aca="false">ROUND(SUM(M206:P206),2)</f>
        <v>8.45</v>
      </c>
      <c r="R206" s="8" t="str">
        <f aca="false">IF(Q206&gt;=Scoring!$C$10-0.000001,"Keep","Remove")</f>
        <v>Keep</v>
      </c>
      <c r="S206" s="8" t="s">
        <v>166</v>
      </c>
    </row>
    <row r="207" customFormat="false" ht="15" hidden="false" customHeight="false" outlineLevel="0" collapsed="false">
      <c r="A207" s="8" t="s">
        <v>7452</v>
      </c>
      <c r="B207" s="8" t="s">
        <v>7453</v>
      </c>
      <c r="C207" s="8" t="s">
        <v>178</v>
      </c>
      <c r="D207" s="8" t="s">
        <v>206</v>
      </c>
      <c r="E207" s="8" t="s">
        <v>106</v>
      </c>
      <c r="F207" s="8" t="s">
        <v>84</v>
      </c>
      <c r="G207" s="8" t="n">
        <v>3</v>
      </c>
      <c r="H207" s="13" t="n">
        <v>2</v>
      </c>
      <c r="I207" s="8" t="n">
        <v>4</v>
      </c>
      <c r="J207" s="20" t="s">
        <v>259</v>
      </c>
      <c r="K207" s="8"/>
      <c r="L207" s="20" t="s">
        <v>259</v>
      </c>
      <c r="M207" s="16" t="n">
        <f aca="false">H207*Scoring!$C$5</f>
        <v>2.6</v>
      </c>
      <c r="N207" s="16" t="n">
        <f aca="false">IF(I207&gt;=5,1,IF(I207=4,0.75,IF(I207=3,0.5,IF(I207=2,0.25,0))))*Scoring!$C$8</f>
        <v>0.75</v>
      </c>
      <c r="O207" s="16" t="n">
        <f aca="false">IF(J207="Yes",0,Scoring!$C$6)</f>
        <v>2</v>
      </c>
      <c r="P207" s="16" t="n">
        <f aca="false">IF(L207="Yes",0,Scoring!$C$7)</f>
        <v>0.5</v>
      </c>
      <c r="Q207" s="8" t="n">
        <f aca="false">ROUND(SUM(M207:P207),2)</f>
        <v>5.85</v>
      </c>
      <c r="R207" s="8" t="str">
        <f aca="false">IF(Q207&gt;=Scoring!$C$10-0.000001,"Keep","Remove")</f>
        <v>Remove</v>
      </c>
      <c r="S207" s="8" t="s">
        <v>7243</v>
      </c>
    </row>
    <row r="208" customFormat="false" ht="15" hidden="false" customHeight="false" outlineLevel="0" collapsed="false">
      <c r="A208" s="8" t="s">
        <v>7454</v>
      </c>
      <c r="B208" s="8" t="s">
        <v>7455</v>
      </c>
      <c r="C208" s="8" t="s">
        <v>178</v>
      </c>
      <c r="D208" s="8" t="s">
        <v>206</v>
      </c>
      <c r="E208" s="8" t="s">
        <v>106</v>
      </c>
      <c r="F208" s="8" t="s">
        <v>84</v>
      </c>
      <c r="G208" s="8" t="n">
        <v>3</v>
      </c>
      <c r="H208" s="13" t="n">
        <v>2</v>
      </c>
      <c r="I208" s="8" t="n">
        <v>4</v>
      </c>
      <c r="J208" s="20" t="s">
        <v>259</v>
      </c>
      <c r="K208" s="8"/>
      <c r="L208" s="20" t="s">
        <v>259</v>
      </c>
      <c r="M208" s="16" t="n">
        <f aca="false">H208*Scoring!$C$5</f>
        <v>2.6</v>
      </c>
      <c r="N208" s="16" t="n">
        <f aca="false">IF(I208&gt;=5,1,IF(I208=4,0.75,IF(I208=3,0.5,IF(I208=2,0.25,0))))*Scoring!$C$8</f>
        <v>0.75</v>
      </c>
      <c r="O208" s="16" t="n">
        <f aca="false">IF(J208="Yes",0,Scoring!$C$6)</f>
        <v>2</v>
      </c>
      <c r="P208" s="16" t="n">
        <f aca="false">IF(L208="Yes",0,Scoring!$C$7)</f>
        <v>0.5</v>
      </c>
      <c r="Q208" s="8" t="n">
        <f aca="false">ROUND(SUM(M208:P208),2)</f>
        <v>5.85</v>
      </c>
      <c r="R208" s="8" t="str">
        <f aca="false">IF(Q208&gt;=Scoring!$C$10-0.000001,"Keep","Remove")</f>
        <v>Remove</v>
      </c>
      <c r="S208" s="8" t="s">
        <v>7243</v>
      </c>
    </row>
    <row r="209" customFormat="false" ht="15" hidden="false" customHeight="false" outlineLevel="0" collapsed="false">
      <c r="A209" s="8" t="s">
        <v>7781</v>
      </c>
      <c r="B209" s="8" t="s">
        <v>7782</v>
      </c>
      <c r="C209" s="8" t="s">
        <v>178</v>
      </c>
      <c r="D209" s="8" t="s">
        <v>206</v>
      </c>
      <c r="E209" s="8" t="s">
        <v>106</v>
      </c>
      <c r="F209" s="8" t="s">
        <v>78</v>
      </c>
      <c r="G209" s="8" t="n">
        <v>3</v>
      </c>
      <c r="H209" s="13" t="n">
        <v>2</v>
      </c>
      <c r="I209" s="8" t="n">
        <v>2</v>
      </c>
      <c r="J209" s="20" t="s">
        <v>259</v>
      </c>
      <c r="K209" s="8"/>
      <c r="L209" s="20" t="s">
        <v>259</v>
      </c>
      <c r="M209" s="16" t="n">
        <f aca="false">H209*Scoring!$C$5</f>
        <v>2.6</v>
      </c>
      <c r="N209" s="16" t="n">
        <f aca="false">IF(I209&gt;=5,1,IF(I209=4,0.75,IF(I209=3,0.5,IF(I209=2,0.25,0))))*Scoring!$C$8</f>
        <v>0.25</v>
      </c>
      <c r="O209" s="16" t="n">
        <f aca="false">IF(J209="Yes",0,Scoring!$C$6)</f>
        <v>2</v>
      </c>
      <c r="P209" s="16" t="n">
        <f aca="false">IF(L209="Yes",0,Scoring!$C$7)</f>
        <v>0.5</v>
      </c>
      <c r="Q209" s="8" t="n">
        <f aca="false">ROUND(SUM(M209:P209),2)</f>
        <v>5.35</v>
      </c>
      <c r="R209" s="8" t="str">
        <f aca="false">IF(Q209&gt;=Scoring!$C$10-0.000001,"Keep","Remove")</f>
        <v>Remove</v>
      </c>
      <c r="S209" s="8" t="s">
        <v>7243</v>
      </c>
    </row>
    <row r="210" customFormat="false" ht="15" hidden="false" customHeight="false" outlineLevel="0" collapsed="false">
      <c r="A210" s="8" t="s">
        <v>1722</v>
      </c>
      <c r="B210" s="8" t="s">
        <v>1723</v>
      </c>
      <c r="C210" s="8" t="s">
        <v>178</v>
      </c>
      <c r="D210" s="8" t="s">
        <v>206</v>
      </c>
      <c r="E210" s="8" t="s">
        <v>106</v>
      </c>
      <c r="F210" s="8" t="s">
        <v>79</v>
      </c>
      <c r="G210" s="8" t="n">
        <v>2</v>
      </c>
      <c r="H210" s="13" t="n">
        <v>3</v>
      </c>
      <c r="I210" s="8" t="n">
        <v>5</v>
      </c>
      <c r="J210" s="20" t="s">
        <v>259</v>
      </c>
      <c r="K210" s="8"/>
      <c r="L210" s="20" t="s">
        <v>259</v>
      </c>
      <c r="M210" s="16" t="n">
        <f aca="false">H210*Scoring!$C$5</f>
        <v>3.9</v>
      </c>
      <c r="N210" s="16" t="n">
        <f aca="false">IF(I210&gt;=5,1,IF(I210=4,0.75,IF(I210=3,0.5,IF(I210=2,0.25,0))))*Scoring!$C$8</f>
        <v>1</v>
      </c>
      <c r="O210" s="16" t="n">
        <f aca="false">IF(J210="Yes",0,Scoring!$C$6)</f>
        <v>2</v>
      </c>
      <c r="P210" s="16" t="n">
        <f aca="false">IF(L210="Yes",0,Scoring!$C$7)</f>
        <v>0.5</v>
      </c>
      <c r="Q210" s="8" t="n">
        <f aca="false">ROUND(SUM(M210:P210),2)</f>
        <v>7.4</v>
      </c>
      <c r="R210" s="8" t="str">
        <f aca="false">IF(Q210&gt;=Scoring!$C$10-0.000001,"Keep","Remove")</f>
        <v>Keep</v>
      </c>
      <c r="S210" s="8" t="s">
        <v>166</v>
      </c>
    </row>
    <row r="211" customFormat="false" ht="15" hidden="false" customHeight="false" outlineLevel="0" collapsed="false">
      <c r="A211" s="8" t="s">
        <v>1731</v>
      </c>
      <c r="B211" s="8" t="s">
        <v>1732</v>
      </c>
      <c r="C211" s="8" t="s">
        <v>178</v>
      </c>
      <c r="D211" s="8" t="s">
        <v>206</v>
      </c>
      <c r="E211" s="8" t="s">
        <v>106</v>
      </c>
      <c r="F211" s="8" t="s">
        <v>81</v>
      </c>
      <c r="G211" s="8" t="n">
        <v>2</v>
      </c>
      <c r="H211" s="13" t="n">
        <v>3</v>
      </c>
      <c r="I211" s="8" t="n">
        <v>3</v>
      </c>
      <c r="J211" s="20" t="s">
        <v>259</v>
      </c>
      <c r="K211" s="8"/>
      <c r="L211" s="20" t="s">
        <v>259</v>
      </c>
      <c r="M211" s="16" t="n">
        <f aca="false">H211*Scoring!$C$5</f>
        <v>3.9</v>
      </c>
      <c r="N211" s="16" t="n">
        <f aca="false">IF(I211&gt;=5,1,IF(I211=4,0.75,IF(I211=3,0.5,IF(I211=2,0.25,0))))*Scoring!$C$8</f>
        <v>0.5</v>
      </c>
      <c r="O211" s="16" t="n">
        <f aca="false">IF(J211="Yes",0,Scoring!$C$6)</f>
        <v>2</v>
      </c>
      <c r="P211" s="16" t="n">
        <f aca="false">IF(L211="Yes",0,Scoring!$C$7)</f>
        <v>0.5</v>
      </c>
      <c r="Q211" s="8" t="n">
        <f aca="false">ROUND(SUM(M211:P211),2)</f>
        <v>6.9</v>
      </c>
      <c r="R211" s="8" t="str">
        <f aca="false">IF(Q211&gt;=Scoring!$C$10-0.000001,"Keep","Remove")</f>
        <v>Keep</v>
      </c>
      <c r="S211" s="8" t="s">
        <v>166</v>
      </c>
    </row>
    <row r="212" customFormat="false" ht="15" hidden="false" customHeight="false" outlineLevel="0" collapsed="false">
      <c r="A212" s="8" t="s">
        <v>7264</v>
      </c>
      <c r="B212" s="8" t="s">
        <v>7265</v>
      </c>
      <c r="C212" s="8" t="s">
        <v>178</v>
      </c>
      <c r="D212" s="8" t="s">
        <v>206</v>
      </c>
      <c r="E212" s="8" t="s">
        <v>106</v>
      </c>
      <c r="F212" s="8" t="s">
        <v>86</v>
      </c>
      <c r="G212" s="8" t="n">
        <v>3</v>
      </c>
      <c r="H212" s="13" t="n">
        <v>2</v>
      </c>
      <c r="I212" s="8" t="n">
        <v>5</v>
      </c>
      <c r="J212" s="20" t="s">
        <v>259</v>
      </c>
      <c r="K212" s="8"/>
      <c r="L212" s="20" t="s">
        <v>259</v>
      </c>
      <c r="M212" s="16" t="n">
        <f aca="false">H212*Scoring!$C$5</f>
        <v>2.6</v>
      </c>
      <c r="N212" s="16" t="n">
        <f aca="false">IF(I212&gt;=5,1,IF(I212=4,0.75,IF(I212=3,0.5,IF(I212=2,0.25,0))))*Scoring!$C$8</f>
        <v>1</v>
      </c>
      <c r="O212" s="16" t="n">
        <f aca="false">IF(J212="Yes",0,Scoring!$C$6)</f>
        <v>2</v>
      </c>
      <c r="P212" s="16" t="n">
        <f aca="false">IF(L212="Yes",0,Scoring!$C$7)</f>
        <v>0.5</v>
      </c>
      <c r="Q212" s="8" t="n">
        <f aca="false">ROUND(SUM(M212:P212),2)</f>
        <v>6.1</v>
      </c>
      <c r="R212" s="8" t="str">
        <f aca="false">IF(Q212&gt;=Scoring!$C$10-0.000001,"Keep","Remove")</f>
        <v>Remove</v>
      </c>
      <c r="S212" s="8" t="s">
        <v>7243</v>
      </c>
    </row>
    <row r="213" customFormat="false" ht="15" hidden="false" customHeight="false" outlineLevel="0" collapsed="false">
      <c r="A213" s="8" t="s">
        <v>7666</v>
      </c>
      <c r="B213" s="8" t="s">
        <v>7667</v>
      </c>
      <c r="C213" s="8" t="s">
        <v>178</v>
      </c>
      <c r="D213" s="8" t="s">
        <v>206</v>
      </c>
      <c r="E213" s="8" t="s">
        <v>106</v>
      </c>
      <c r="F213" s="8" t="s">
        <v>86</v>
      </c>
      <c r="G213" s="8" t="n">
        <v>3</v>
      </c>
      <c r="H213" s="13" t="n">
        <v>2</v>
      </c>
      <c r="I213" s="8" t="n">
        <v>3</v>
      </c>
      <c r="J213" s="20" t="s">
        <v>259</v>
      </c>
      <c r="K213" s="8"/>
      <c r="L213" s="20" t="s">
        <v>259</v>
      </c>
      <c r="M213" s="16" t="n">
        <f aca="false">H213*Scoring!$C$5</f>
        <v>2.6</v>
      </c>
      <c r="N213" s="16" t="n">
        <f aca="false">IF(I213&gt;=5,1,IF(I213=4,0.75,IF(I213=3,0.5,IF(I213=2,0.25,0))))*Scoring!$C$8</f>
        <v>0.5</v>
      </c>
      <c r="O213" s="16" t="n">
        <f aca="false">IF(J213="Yes",0,Scoring!$C$6)</f>
        <v>2</v>
      </c>
      <c r="P213" s="16" t="n">
        <f aca="false">IF(L213="Yes",0,Scoring!$C$7)</f>
        <v>0.5</v>
      </c>
      <c r="Q213" s="8" t="n">
        <f aca="false">ROUND(SUM(M213:P213),2)</f>
        <v>5.6</v>
      </c>
      <c r="R213" s="8" t="str">
        <f aca="false">IF(Q213&gt;=Scoring!$C$10-0.000001,"Keep","Remove")</f>
        <v>Remove</v>
      </c>
      <c r="S213" s="8" t="s">
        <v>7243</v>
      </c>
    </row>
    <row r="214" customFormat="false" ht="15" hidden="false" customHeight="false" outlineLevel="0" collapsed="false">
      <c r="A214" s="8" t="s">
        <v>7456</v>
      </c>
      <c r="B214" s="8" t="s">
        <v>7457</v>
      </c>
      <c r="C214" s="8" t="s">
        <v>178</v>
      </c>
      <c r="D214" s="8" t="s">
        <v>206</v>
      </c>
      <c r="E214" s="8" t="s">
        <v>106</v>
      </c>
      <c r="F214" s="8" t="s">
        <v>78</v>
      </c>
      <c r="G214" s="8" t="n">
        <v>3</v>
      </c>
      <c r="H214" s="13" t="n">
        <v>2</v>
      </c>
      <c r="I214" s="8" t="n">
        <v>4</v>
      </c>
      <c r="J214" s="20" t="s">
        <v>259</v>
      </c>
      <c r="K214" s="8"/>
      <c r="L214" s="20" t="s">
        <v>259</v>
      </c>
      <c r="M214" s="16" t="n">
        <f aca="false">H214*Scoring!$C$5</f>
        <v>2.6</v>
      </c>
      <c r="N214" s="16" t="n">
        <f aca="false">IF(I214&gt;=5,1,IF(I214=4,0.75,IF(I214=3,0.5,IF(I214=2,0.25,0))))*Scoring!$C$8</f>
        <v>0.75</v>
      </c>
      <c r="O214" s="16" t="n">
        <f aca="false">IF(J214="Yes",0,Scoring!$C$6)</f>
        <v>2</v>
      </c>
      <c r="P214" s="16" t="n">
        <f aca="false">IF(L214="Yes",0,Scoring!$C$7)</f>
        <v>0.5</v>
      </c>
      <c r="Q214" s="8" t="n">
        <f aca="false">ROUND(SUM(M214:P214),2)</f>
        <v>5.85</v>
      </c>
      <c r="R214" s="8" t="str">
        <f aca="false">IF(Q214&gt;=Scoring!$C$10-0.000001,"Keep","Remove")</f>
        <v>Remove</v>
      </c>
      <c r="S214" s="8" t="s">
        <v>7243</v>
      </c>
    </row>
    <row r="215" customFormat="false" ht="15" hidden="false" customHeight="false" outlineLevel="0" collapsed="false">
      <c r="A215" s="8" t="s">
        <v>1738</v>
      </c>
      <c r="B215" s="8" t="s">
        <v>1739</v>
      </c>
      <c r="C215" s="8" t="s">
        <v>178</v>
      </c>
      <c r="D215" s="8" t="s">
        <v>206</v>
      </c>
      <c r="E215" s="8" t="s">
        <v>119</v>
      </c>
      <c r="F215" s="8" t="s">
        <v>78</v>
      </c>
      <c r="G215" s="8" t="n">
        <v>2</v>
      </c>
      <c r="H215" s="13" t="n">
        <v>3</v>
      </c>
      <c r="I215" s="8" t="n">
        <v>3</v>
      </c>
      <c r="J215" s="20" t="s">
        <v>259</v>
      </c>
      <c r="K215" s="8"/>
      <c r="L215" s="20" t="s">
        <v>259</v>
      </c>
      <c r="M215" s="16" t="n">
        <f aca="false">H215*Scoring!$C$5</f>
        <v>3.9</v>
      </c>
      <c r="N215" s="16" t="n">
        <f aca="false">IF(I215&gt;=5,1,IF(I215=4,0.75,IF(I215=3,0.5,IF(I215=2,0.25,0))))*Scoring!$C$8</f>
        <v>0.5</v>
      </c>
      <c r="O215" s="16" t="n">
        <f aca="false">IF(J215="Yes",0,Scoring!$C$6)</f>
        <v>2</v>
      </c>
      <c r="P215" s="16" t="n">
        <f aca="false">IF(L215="Yes",0,Scoring!$C$7)</f>
        <v>0.5</v>
      </c>
      <c r="Q215" s="8" t="n">
        <f aca="false">ROUND(SUM(M215:P215),2)</f>
        <v>6.9</v>
      </c>
      <c r="R215" s="8" t="str">
        <f aca="false">IF(Q215&gt;=Scoring!$C$10-0.000001,"Keep","Remove")</f>
        <v>Keep</v>
      </c>
      <c r="S215" s="8" t="s">
        <v>166</v>
      </c>
    </row>
    <row r="216" customFormat="false" ht="15" hidden="false" customHeight="false" outlineLevel="0" collapsed="false">
      <c r="A216" s="8" t="s">
        <v>1746</v>
      </c>
      <c r="B216" s="8" t="s">
        <v>1747</v>
      </c>
      <c r="C216" s="8" t="s">
        <v>178</v>
      </c>
      <c r="D216" s="8" t="s">
        <v>206</v>
      </c>
      <c r="E216" s="8" t="s">
        <v>119</v>
      </c>
      <c r="F216" s="8" t="s">
        <v>85</v>
      </c>
      <c r="G216" s="8" t="n">
        <v>2</v>
      </c>
      <c r="H216" s="13" t="n">
        <v>3</v>
      </c>
      <c r="I216" s="8" t="n">
        <v>3</v>
      </c>
      <c r="J216" s="20" t="s">
        <v>259</v>
      </c>
      <c r="K216" s="8"/>
      <c r="L216" s="20" t="s">
        <v>259</v>
      </c>
      <c r="M216" s="16" t="n">
        <f aca="false">H216*Scoring!$C$5</f>
        <v>3.9</v>
      </c>
      <c r="N216" s="16" t="n">
        <f aca="false">IF(I216&gt;=5,1,IF(I216=4,0.75,IF(I216=3,0.5,IF(I216=2,0.25,0))))*Scoring!$C$8</f>
        <v>0.5</v>
      </c>
      <c r="O216" s="16" t="n">
        <f aca="false">IF(J216="Yes",0,Scoring!$C$6)</f>
        <v>2</v>
      </c>
      <c r="P216" s="16" t="n">
        <f aca="false">IF(L216="Yes",0,Scoring!$C$7)</f>
        <v>0.5</v>
      </c>
      <c r="Q216" s="8" t="n">
        <f aca="false">ROUND(SUM(M216:P216),2)</f>
        <v>6.9</v>
      </c>
      <c r="R216" s="8" t="str">
        <f aca="false">IF(Q216&gt;=Scoring!$C$10-0.000001,"Keep","Remove")</f>
        <v>Keep</v>
      </c>
      <c r="S216" s="8" t="s">
        <v>166</v>
      </c>
    </row>
    <row r="217" customFormat="false" ht="15" hidden="false" customHeight="false" outlineLevel="0" collapsed="false">
      <c r="A217" s="8" t="s">
        <v>1756</v>
      </c>
      <c r="B217" s="8" t="s">
        <v>1757</v>
      </c>
      <c r="C217" s="8" t="s">
        <v>178</v>
      </c>
      <c r="D217" s="8" t="s">
        <v>206</v>
      </c>
      <c r="E217" s="8" t="s">
        <v>119</v>
      </c>
      <c r="F217" s="8" t="s">
        <v>80</v>
      </c>
      <c r="G217" s="8" t="n">
        <v>1</v>
      </c>
      <c r="H217" s="13" t="n">
        <v>4</v>
      </c>
      <c r="I217" s="8" t="n">
        <v>5</v>
      </c>
      <c r="J217" s="20" t="s">
        <v>259</v>
      </c>
      <c r="K217" s="8"/>
      <c r="L217" s="20" t="s">
        <v>259</v>
      </c>
      <c r="M217" s="16" t="n">
        <f aca="false">H217*Scoring!$C$5</f>
        <v>5.2</v>
      </c>
      <c r="N217" s="16" t="n">
        <f aca="false">IF(I217&gt;=5,1,IF(I217=4,0.75,IF(I217=3,0.5,IF(I217=2,0.25,0))))*Scoring!$C$8</f>
        <v>1</v>
      </c>
      <c r="O217" s="16" t="n">
        <f aca="false">IF(J217="Yes",0,Scoring!$C$6)</f>
        <v>2</v>
      </c>
      <c r="P217" s="16" t="n">
        <f aca="false">IF(L217="Yes",0,Scoring!$C$7)</f>
        <v>0.5</v>
      </c>
      <c r="Q217" s="8" t="n">
        <f aca="false">ROUND(SUM(M217:P217),2)</f>
        <v>8.7</v>
      </c>
      <c r="R217" s="8" t="str">
        <f aca="false">IF(Q217&gt;=Scoring!$C$10-0.000001,"Keep","Remove")</f>
        <v>Keep</v>
      </c>
      <c r="S217" s="8" t="s">
        <v>166</v>
      </c>
    </row>
    <row r="218" customFormat="false" ht="15" hidden="false" customHeight="false" outlineLevel="0" collapsed="false">
      <c r="A218" s="8" t="s">
        <v>7668</v>
      </c>
      <c r="B218" s="8" t="s">
        <v>7669</v>
      </c>
      <c r="C218" s="8" t="s">
        <v>178</v>
      </c>
      <c r="D218" s="8" t="s">
        <v>206</v>
      </c>
      <c r="E218" s="8" t="s">
        <v>119</v>
      </c>
      <c r="F218" s="8" t="s">
        <v>84</v>
      </c>
      <c r="G218" s="8" t="n">
        <v>3</v>
      </c>
      <c r="H218" s="13" t="n">
        <v>2</v>
      </c>
      <c r="I218" s="8" t="n">
        <v>3</v>
      </c>
      <c r="J218" s="20" t="s">
        <v>259</v>
      </c>
      <c r="K218" s="8"/>
      <c r="L218" s="20" t="s">
        <v>259</v>
      </c>
      <c r="M218" s="16" t="n">
        <f aca="false">H218*Scoring!$C$5</f>
        <v>2.6</v>
      </c>
      <c r="N218" s="16" t="n">
        <f aca="false">IF(I218&gt;=5,1,IF(I218=4,0.75,IF(I218=3,0.5,IF(I218=2,0.25,0))))*Scoring!$C$8</f>
        <v>0.5</v>
      </c>
      <c r="O218" s="16" t="n">
        <f aca="false">IF(J218="Yes",0,Scoring!$C$6)</f>
        <v>2</v>
      </c>
      <c r="P218" s="16" t="n">
        <f aca="false">IF(L218="Yes",0,Scoring!$C$7)</f>
        <v>0.5</v>
      </c>
      <c r="Q218" s="8" t="n">
        <f aca="false">ROUND(SUM(M218:P218),2)</f>
        <v>5.6</v>
      </c>
      <c r="R218" s="8" t="str">
        <f aca="false">IF(Q218&gt;=Scoring!$C$10-0.000001,"Keep","Remove")</f>
        <v>Remove</v>
      </c>
      <c r="S218" s="8" t="s">
        <v>7243</v>
      </c>
    </row>
    <row r="219" customFormat="false" ht="15" hidden="false" customHeight="false" outlineLevel="0" collapsed="false">
      <c r="A219" s="8" t="s">
        <v>7458</v>
      </c>
      <c r="B219" s="8" t="s">
        <v>7459</v>
      </c>
      <c r="C219" s="8" t="s">
        <v>178</v>
      </c>
      <c r="D219" s="8" t="s">
        <v>206</v>
      </c>
      <c r="E219" s="8" t="s">
        <v>119</v>
      </c>
      <c r="F219" s="8" t="s">
        <v>84</v>
      </c>
      <c r="G219" s="8" t="n">
        <v>3</v>
      </c>
      <c r="H219" s="13" t="n">
        <v>2</v>
      </c>
      <c r="I219" s="8" t="n">
        <v>4</v>
      </c>
      <c r="J219" s="20" t="s">
        <v>259</v>
      </c>
      <c r="K219" s="8"/>
      <c r="L219" s="20" t="s">
        <v>259</v>
      </c>
      <c r="M219" s="16" t="n">
        <f aca="false">H219*Scoring!$C$5</f>
        <v>2.6</v>
      </c>
      <c r="N219" s="16" t="n">
        <f aca="false">IF(I219&gt;=5,1,IF(I219=4,0.75,IF(I219=3,0.5,IF(I219=2,0.25,0))))*Scoring!$C$8</f>
        <v>0.75</v>
      </c>
      <c r="O219" s="16" t="n">
        <f aca="false">IF(J219="Yes",0,Scoring!$C$6)</f>
        <v>2</v>
      </c>
      <c r="P219" s="16" t="n">
        <f aca="false">IF(L219="Yes",0,Scoring!$C$7)</f>
        <v>0.5</v>
      </c>
      <c r="Q219" s="8" t="n">
        <f aca="false">ROUND(SUM(M219:P219),2)</f>
        <v>5.85</v>
      </c>
      <c r="R219" s="8" t="str">
        <f aca="false">IF(Q219&gt;=Scoring!$C$10-0.000001,"Keep","Remove")</f>
        <v>Remove</v>
      </c>
      <c r="S219" s="8" t="s">
        <v>7243</v>
      </c>
    </row>
    <row r="220" customFormat="false" ht="15" hidden="false" customHeight="false" outlineLevel="0" collapsed="false">
      <c r="A220" s="8" t="s">
        <v>7783</v>
      </c>
      <c r="B220" s="8" t="s">
        <v>7784</v>
      </c>
      <c r="C220" s="8" t="s">
        <v>178</v>
      </c>
      <c r="D220" s="8" t="s">
        <v>206</v>
      </c>
      <c r="E220" s="8" t="s">
        <v>119</v>
      </c>
      <c r="F220" s="8" t="s">
        <v>78</v>
      </c>
      <c r="G220" s="8" t="n">
        <v>3</v>
      </c>
      <c r="H220" s="13" t="n">
        <v>2</v>
      </c>
      <c r="I220" s="8" t="n">
        <v>2</v>
      </c>
      <c r="J220" s="20" t="s">
        <v>259</v>
      </c>
      <c r="K220" s="8"/>
      <c r="L220" s="20" t="s">
        <v>259</v>
      </c>
      <c r="M220" s="16" t="n">
        <f aca="false">H220*Scoring!$C$5</f>
        <v>2.6</v>
      </c>
      <c r="N220" s="16" t="n">
        <f aca="false">IF(I220&gt;=5,1,IF(I220=4,0.75,IF(I220=3,0.5,IF(I220=2,0.25,0))))*Scoring!$C$8</f>
        <v>0.25</v>
      </c>
      <c r="O220" s="16" t="n">
        <f aca="false">IF(J220="Yes",0,Scoring!$C$6)</f>
        <v>2</v>
      </c>
      <c r="P220" s="16" t="n">
        <f aca="false">IF(L220="Yes",0,Scoring!$C$7)</f>
        <v>0.5</v>
      </c>
      <c r="Q220" s="8" t="n">
        <f aca="false">ROUND(SUM(M220:P220),2)</f>
        <v>5.35</v>
      </c>
      <c r="R220" s="8" t="str">
        <f aca="false">IF(Q220&gt;=Scoring!$C$10-0.000001,"Keep","Remove")</f>
        <v>Remove</v>
      </c>
      <c r="S220" s="8" t="s">
        <v>7243</v>
      </c>
    </row>
    <row r="221" customFormat="false" ht="15" hidden="false" customHeight="false" outlineLevel="0" collapsed="false">
      <c r="A221" s="8" t="s">
        <v>1764</v>
      </c>
      <c r="B221" s="8" t="s">
        <v>1765</v>
      </c>
      <c r="C221" s="8" t="s">
        <v>178</v>
      </c>
      <c r="D221" s="8" t="s">
        <v>206</v>
      </c>
      <c r="E221" s="8" t="s">
        <v>121</v>
      </c>
      <c r="F221" s="8" t="s">
        <v>78</v>
      </c>
      <c r="G221" s="8" t="n">
        <v>2</v>
      </c>
      <c r="H221" s="13" t="n">
        <v>3</v>
      </c>
      <c r="I221" s="8" t="n">
        <v>6</v>
      </c>
      <c r="J221" s="20" t="s">
        <v>259</v>
      </c>
      <c r="K221" s="8"/>
      <c r="L221" s="20" t="s">
        <v>259</v>
      </c>
      <c r="M221" s="16" t="n">
        <f aca="false">H221*Scoring!$C$5</f>
        <v>3.9</v>
      </c>
      <c r="N221" s="16" t="n">
        <f aca="false">IF(I221&gt;=5,1,IF(I221=4,0.75,IF(I221=3,0.5,IF(I221=2,0.25,0))))*Scoring!$C$8</f>
        <v>1</v>
      </c>
      <c r="O221" s="16" t="n">
        <f aca="false">IF(J221="Yes",0,Scoring!$C$6)</f>
        <v>2</v>
      </c>
      <c r="P221" s="16" t="n">
        <f aca="false">IF(L221="Yes",0,Scoring!$C$7)</f>
        <v>0.5</v>
      </c>
      <c r="Q221" s="8" t="n">
        <f aca="false">ROUND(SUM(M221:P221),2)</f>
        <v>7.4</v>
      </c>
      <c r="R221" s="8" t="str">
        <f aca="false">IF(Q221&gt;=Scoring!$C$10-0.000001,"Keep","Remove")</f>
        <v>Keep</v>
      </c>
      <c r="S221" s="8" t="s">
        <v>166</v>
      </c>
    </row>
    <row r="222" customFormat="false" ht="15" hidden="false" customHeight="false" outlineLevel="0" collapsed="false">
      <c r="A222" s="8" t="s">
        <v>7460</v>
      </c>
      <c r="B222" s="8" t="s">
        <v>7461</v>
      </c>
      <c r="C222" s="8" t="s">
        <v>178</v>
      </c>
      <c r="D222" s="8" t="s">
        <v>206</v>
      </c>
      <c r="E222" s="8" t="s">
        <v>121</v>
      </c>
      <c r="F222" s="8" t="s">
        <v>86</v>
      </c>
      <c r="G222" s="8" t="n">
        <v>3</v>
      </c>
      <c r="H222" s="13" t="n">
        <v>2</v>
      </c>
      <c r="I222" s="8" t="n">
        <v>4</v>
      </c>
      <c r="J222" s="20" t="s">
        <v>259</v>
      </c>
      <c r="K222" s="8"/>
      <c r="L222" s="20" t="s">
        <v>259</v>
      </c>
      <c r="M222" s="16" t="n">
        <f aca="false">H222*Scoring!$C$5</f>
        <v>2.6</v>
      </c>
      <c r="N222" s="16" t="n">
        <f aca="false">IF(I222&gt;=5,1,IF(I222=4,0.75,IF(I222=3,0.5,IF(I222=2,0.25,0))))*Scoring!$C$8</f>
        <v>0.75</v>
      </c>
      <c r="O222" s="16" t="n">
        <f aca="false">IF(J222="Yes",0,Scoring!$C$6)</f>
        <v>2</v>
      </c>
      <c r="P222" s="16" t="n">
        <f aca="false">IF(L222="Yes",0,Scoring!$C$7)</f>
        <v>0.5</v>
      </c>
      <c r="Q222" s="8" t="n">
        <f aca="false">ROUND(SUM(M222:P222),2)</f>
        <v>5.85</v>
      </c>
      <c r="R222" s="8" t="str">
        <f aca="false">IF(Q222&gt;=Scoring!$C$10-0.000001,"Keep","Remove")</f>
        <v>Remove</v>
      </c>
      <c r="S222" s="8" t="s">
        <v>7243</v>
      </c>
    </row>
    <row r="223" customFormat="false" ht="15" hidden="false" customHeight="false" outlineLevel="0" collapsed="false">
      <c r="A223" s="8" t="s">
        <v>1772</v>
      </c>
      <c r="B223" s="8" t="s">
        <v>1773</v>
      </c>
      <c r="C223" s="8" t="s">
        <v>178</v>
      </c>
      <c r="D223" s="8" t="s">
        <v>206</v>
      </c>
      <c r="E223" s="8" t="s">
        <v>121</v>
      </c>
      <c r="F223" s="8" t="s">
        <v>84</v>
      </c>
      <c r="G223" s="8" t="n">
        <v>2</v>
      </c>
      <c r="H223" s="13" t="n">
        <v>3</v>
      </c>
      <c r="I223" s="8" t="n">
        <v>5</v>
      </c>
      <c r="J223" s="20" t="s">
        <v>259</v>
      </c>
      <c r="K223" s="8"/>
      <c r="L223" s="20" t="s">
        <v>259</v>
      </c>
      <c r="M223" s="16" t="n">
        <f aca="false">H223*Scoring!$C$5</f>
        <v>3.9</v>
      </c>
      <c r="N223" s="16" t="n">
        <f aca="false">IF(I223&gt;=5,1,IF(I223=4,0.75,IF(I223=3,0.5,IF(I223=2,0.25,0))))*Scoring!$C$8</f>
        <v>1</v>
      </c>
      <c r="O223" s="16" t="n">
        <f aca="false">IF(J223="Yes",0,Scoring!$C$6)</f>
        <v>2</v>
      </c>
      <c r="P223" s="16" t="n">
        <f aca="false">IF(L223="Yes",0,Scoring!$C$7)</f>
        <v>0.5</v>
      </c>
      <c r="Q223" s="8" t="n">
        <f aca="false">ROUND(SUM(M223:P223),2)</f>
        <v>7.4</v>
      </c>
      <c r="R223" s="8" t="str">
        <f aca="false">IF(Q223&gt;=Scoring!$C$10-0.000001,"Keep","Remove")</f>
        <v>Keep</v>
      </c>
      <c r="S223" s="8" t="s">
        <v>166</v>
      </c>
    </row>
    <row r="224" customFormat="false" ht="15" hidden="false" customHeight="false" outlineLevel="0" collapsed="false">
      <c r="A224" s="8" t="s">
        <v>7670</v>
      </c>
      <c r="B224" s="8" t="s">
        <v>7671</v>
      </c>
      <c r="C224" s="8" t="s">
        <v>178</v>
      </c>
      <c r="D224" s="8" t="s">
        <v>206</v>
      </c>
      <c r="E224" s="8" t="s">
        <v>121</v>
      </c>
      <c r="F224" s="8" t="s">
        <v>78</v>
      </c>
      <c r="G224" s="8" t="n">
        <v>3</v>
      </c>
      <c r="H224" s="13" t="n">
        <v>2</v>
      </c>
      <c r="I224" s="8" t="n">
        <v>3</v>
      </c>
      <c r="J224" s="20" t="s">
        <v>259</v>
      </c>
      <c r="K224" s="8"/>
      <c r="L224" s="20" t="s">
        <v>259</v>
      </c>
      <c r="M224" s="16" t="n">
        <f aca="false">H224*Scoring!$C$5</f>
        <v>2.6</v>
      </c>
      <c r="N224" s="16" t="n">
        <f aca="false">IF(I224&gt;=5,1,IF(I224=4,0.75,IF(I224=3,0.5,IF(I224=2,0.25,0))))*Scoring!$C$8</f>
        <v>0.5</v>
      </c>
      <c r="O224" s="16" t="n">
        <f aca="false">IF(J224="Yes",0,Scoring!$C$6)</f>
        <v>2</v>
      </c>
      <c r="P224" s="16" t="n">
        <f aca="false">IF(L224="Yes",0,Scoring!$C$7)</f>
        <v>0.5</v>
      </c>
      <c r="Q224" s="8" t="n">
        <f aca="false">ROUND(SUM(M224:P224),2)</f>
        <v>5.6</v>
      </c>
      <c r="R224" s="8" t="str">
        <f aca="false">IF(Q224&gt;=Scoring!$C$10-0.000001,"Keep","Remove")</f>
        <v>Remove</v>
      </c>
      <c r="S224" s="8" t="s">
        <v>7243</v>
      </c>
    </row>
    <row r="225" customFormat="false" ht="15" hidden="false" customHeight="false" outlineLevel="0" collapsed="false">
      <c r="A225" s="8" t="s">
        <v>1779</v>
      </c>
      <c r="B225" s="8" t="s">
        <v>1780</v>
      </c>
      <c r="C225" s="8" t="s">
        <v>178</v>
      </c>
      <c r="D225" s="8" t="s">
        <v>206</v>
      </c>
      <c r="E225" s="8" t="s">
        <v>122</v>
      </c>
      <c r="F225" s="8" t="s">
        <v>79</v>
      </c>
      <c r="G225" s="8" t="n">
        <v>1</v>
      </c>
      <c r="H225" s="13" t="n">
        <v>5</v>
      </c>
      <c r="I225" s="8" t="n">
        <v>5</v>
      </c>
      <c r="J225" s="20" t="s">
        <v>259</v>
      </c>
      <c r="K225" s="8"/>
      <c r="L225" s="20" t="s">
        <v>259</v>
      </c>
      <c r="M225" s="16" t="n">
        <f aca="false">H225*Scoring!$C$5</f>
        <v>6.5</v>
      </c>
      <c r="N225" s="16" t="n">
        <f aca="false">IF(I225&gt;=5,1,IF(I225=4,0.75,IF(I225=3,0.5,IF(I225=2,0.25,0))))*Scoring!$C$8</f>
        <v>1</v>
      </c>
      <c r="O225" s="16" t="n">
        <f aca="false">IF(J225="Yes",0,Scoring!$C$6)</f>
        <v>2</v>
      </c>
      <c r="P225" s="16" t="n">
        <f aca="false">IF(L225="Yes",0,Scoring!$C$7)</f>
        <v>0.5</v>
      </c>
      <c r="Q225" s="8" t="n">
        <f aca="false">ROUND(SUM(M225:P225),2)</f>
        <v>10</v>
      </c>
      <c r="R225" s="8" t="str">
        <f aca="false">IF(Q225&gt;=Scoring!$C$10-0.000001,"Keep","Remove")</f>
        <v>Keep</v>
      </c>
      <c r="S225" s="8" t="s">
        <v>166</v>
      </c>
    </row>
    <row r="226" customFormat="false" ht="15" hidden="false" customHeight="false" outlineLevel="0" collapsed="false">
      <c r="A226" s="8" t="s">
        <v>1789</v>
      </c>
      <c r="B226" s="8" t="s">
        <v>1790</v>
      </c>
      <c r="C226" s="8" t="s">
        <v>178</v>
      </c>
      <c r="D226" s="8" t="s">
        <v>206</v>
      </c>
      <c r="E226" s="8" t="s">
        <v>122</v>
      </c>
      <c r="F226" s="8" t="s">
        <v>83</v>
      </c>
      <c r="G226" s="8" t="n">
        <v>1</v>
      </c>
      <c r="H226" s="13" t="n">
        <v>4</v>
      </c>
      <c r="I226" s="8" t="n">
        <v>5</v>
      </c>
      <c r="J226" s="20" t="s">
        <v>259</v>
      </c>
      <c r="K226" s="8"/>
      <c r="L226" s="20" t="s">
        <v>259</v>
      </c>
      <c r="M226" s="16" t="n">
        <f aca="false">H226*Scoring!$C$5</f>
        <v>5.2</v>
      </c>
      <c r="N226" s="16" t="n">
        <f aca="false">IF(I226&gt;=5,1,IF(I226=4,0.75,IF(I226=3,0.5,IF(I226=2,0.25,0))))*Scoring!$C$8</f>
        <v>1</v>
      </c>
      <c r="O226" s="16" t="n">
        <f aca="false">IF(J226="Yes",0,Scoring!$C$6)</f>
        <v>2</v>
      </c>
      <c r="P226" s="16" t="n">
        <f aca="false">IF(L226="Yes",0,Scoring!$C$7)</f>
        <v>0.5</v>
      </c>
      <c r="Q226" s="8" t="n">
        <f aca="false">ROUND(SUM(M226:P226),2)</f>
        <v>8.7</v>
      </c>
      <c r="R226" s="8" t="str">
        <f aca="false">IF(Q226&gt;=Scoring!$C$10-0.000001,"Keep","Remove")</f>
        <v>Keep</v>
      </c>
      <c r="S226" s="8" t="s">
        <v>166</v>
      </c>
    </row>
    <row r="227" customFormat="false" ht="15" hidden="false" customHeight="false" outlineLevel="0" collapsed="false">
      <c r="A227" s="8" t="s">
        <v>1799</v>
      </c>
      <c r="B227" s="8" t="s">
        <v>1800</v>
      </c>
      <c r="C227" s="8" t="s">
        <v>178</v>
      </c>
      <c r="D227" s="8" t="s">
        <v>206</v>
      </c>
      <c r="E227" s="8" t="s">
        <v>122</v>
      </c>
      <c r="F227" s="8" t="s">
        <v>79</v>
      </c>
      <c r="G227" s="8" t="n">
        <v>2</v>
      </c>
      <c r="H227" s="13" t="n">
        <v>3</v>
      </c>
      <c r="I227" s="8" t="n">
        <v>4</v>
      </c>
      <c r="J227" s="20" t="s">
        <v>259</v>
      </c>
      <c r="K227" s="8"/>
      <c r="L227" s="20" t="s">
        <v>259</v>
      </c>
      <c r="M227" s="16" t="n">
        <f aca="false">H227*Scoring!$C$5</f>
        <v>3.9</v>
      </c>
      <c r="N227" s="16" t="n">
        <f aca="false">IF(I227&gt;=5,1,IF(I227=4,0.75,IF(I227=3,0.5,IF(I227=2,0.25,0))))*Scoring!$C$8</f>
        <v>0.75</v>
      </c>
      <c r="O227" s="16" t="n">
        <f aca="false">IF(J227="Yes",0,Scoring!$C$6)</f>
        <v>2</v>
      </c>
      <c r="P227" s="16" t="n">
        <f aca="false">IF(L227="Yes",0,Scoring!$C$7)</f>
        <v>0.5</v>
      </c>
      <c r="Q227" s="8" t="n">
        <f aca="false">ROUND(SUM(M227:P227),2)</f>
        <v>7.15</v>
      </c>
      <c r="R227" s="8" t="str">
        <f aca="false">IF(Q227&gt;=Scoring!$C$10-0.000001,"Keep","Remove")</f>
        <v>Keep</v>
      </c>
      <c r="S227" s="8" t="s">
        <v>166</v>
      </c>
    </row>
    <row r="228" customFormat="false" ht="15" hidden="false" customHeight="false" outlineLevel="0" collapsed="false">
      <c r="A228" s="8" t="s">
        <v>7672</v>
      </c>
      <c r="B228" s="8" t="s">
        <v>7673</v>
      </c>
      <c r="C228" s="8" t="s">
        <v>178</v>
      </c>
      <c r="D228" s="8" t="s">
        <v>206</v>
      </c>
      <c r="E228" s="8" t="s">
        <v>122</v>
      </c>
      <c r="F228" s="8" t="s">
        <v>78</v>
      </c>
      <c r="G228" s="8" t="n">
        <v>3</v>
      </c>
      <c r="H228" s="13" t="n">
        <v>2</v>
      </c>
      <c r="I228" s="8" t="n">
        <v>3</v>
      </c>
      <c r="J228" s="20" t="s">
        <v>259</v>
      </c>
      <c r="K228" s="8"/>
      <c r="L228" s="20" t="s">
        <v>259</v>
      </c>
      <c r="M228" s="16" t="n">
        <f aca="false">H228*Scoring!$C$5</f>
        <v>2.6</v>
      </c>
      <c r="N228" s="16" t="n">
        <f aca="false">IF(I228&gt;=5,1,IF(I228=4,0.75,IF(I228=3,0.5,IF(I228=2,0.25,0))))*Scoring!$C$8</f>
        <v>0.5</v>
      </c>
      <c r="O228" s="16" t="n">
        <f aca="false">IF(J228="Yes",0,Scoring!$C$6)</f>
        <v>2</v>
      </c>
      <c r="P228" s="16" t="n">
        <f aca="false">IF(L228="Yes",0,Scoring!$C$7)</f>
        <v>0.5</v>
      </c>
      <c r="Q228" s="8" t="n">
        <f aca="false">ROUND(SUM(M228:P228),2)</f>
        <v>5.6</v>
      </c>
      <c r="R228" s="8" t="str">
        <f aca="false">IF(Q228&gt;=Scoring!$C$10-0.000001,"Keep","Remove")</f>
        <v>Remove</v>
      </c>
      <c r="S228" s="8" t="s">
        <v>7243</v>
      </c>
    </row>
    <row r="229" customFormat="false" ht="15" hidden="false" customHeight="false" outlineLevel="0" collapsed="false">
      <c r="A229" s="8" t="s">
        <v>7462</v>
      </c>
      <c r="B229" s="8" t="s">
        <v>7463</v>
      </c>
      <c r="C229" s="8" t="s">
        <v>178</v>
      </c>
      <c r="D229" s="8" t="s">
        <v>206</v>
      </c>
      <c r="E229" s="8" t="s">
        <v>125</v>
      </c>
      <c r="F229" s="8" t="s">
        <v>86</v>
      </c>
      <c r="G229" s="8" t="n">
        <v>3</v>
      </c>
      <c r="H229" s="13" t="n">
        <v>2</v>
      </c>
      <c r="I229" s="8" t="n">
        <v>4</v>
      </c>
      <c r="J229" s="20" t="s">
        <v>259</v>
      </c>
      <c r="K229" s="8"/>
      <c r="L229" s="20" t="s">
        <v>259</v>
      </c>
      <c r="M229" s="16" t="n">
        <f aca="false">H229*Scoring!$C$5</f>
        <v>2.6</v>
      </c>
      <c r="N229" s="16" t="n">
        <f aca="false">IF(I229&gt;=5,1,IF(I229=4,0.75,IF(I229=3,0.5,IF(I229=2,0.25,0))))*Scoring!$C$8</f>
        <v>0.75</v>
      </c>
      <c r="O229" s="16" t="n">
        <f aca="false">IF(J229="Yes",0,Scoring!$C$6)</f>
        <v>2</v>
      </c>
      <c r="P229" s="16" t="n">
        <f aca="false">IF(L229="Yes",0,Scoring!$C$7)</f>
        <v>0.5</v>
      </c>
      <c r="Q229" s="8" t="n">
        <f aca="false">ROUND(SUM(M229:P229),2)</f>
        <v>5.85</v>
      </c>
      <c r="R229" s="8" t="str">
        <f aca="false">IF(Q229&gt;=Scoring!$C$10-0.000001,"Keep","Remove")</f>
        <v>Remove</v>
      </c>
      <c r="S229" s="8" t="s">
        <v>7243</v>
      </c>
    </row>
    <row r="230" customFormat="false" ht="15" hidden="false" customHeight="false" outlineLevel="0" collapsed="false">
      <c r="A230" s="8" t="s">
        <v>1807</v>
      </c>
      <c r="B230" s="8" t="s">
        <v>1808</v>
      </c>
      <c r="C230" s="8" t="s">
        <v>178</v>
      </c>
      <c r="D230" s="8" t="s">
        <v>206</v>
      </c>
      <c r="E230" s="8" t="s">
        <v>127</v>
      </c>
      <c r="F230" s="8" t="s">
        <v>78</v>
      </c>
      <c r="G230" s="8" t="n">
        <v>2</v>
      </c>
      <c r="H230" s="13" t="n">
        <v>3</v>
      </c>
      <c r="I230" s="8" t="n">
        <v>3</v>
      </c>
      <c r="J230" s="20" t="s">
        <v>259</v>
      </c>
      <c r="K230" s="8"/>
      <c r="L230" s="20" t="s">
        <v>259</v>
      </c>
      <c r="M230" s="16" t="n">
        <f aca="false">H230*Scoring!$C$5</f>
        <v>3.9</v>
      </c>
      <c r="N230" s="16" t="n">
        <f aca="false">IF(I230&gt;=5,1,IF(I230=4,0.75,IF(I230=3,0.5,IF(I230=2,0.25,0))))*Scoring!$C$8</f>
        <v>0.5</v>
      </c>
      <c r="O230" s="16" t="n">
        <f aca="false">IF(J230="Yes",0,Scoring!$C$6)</f>
        <v>2</v>
      </c>
      <c r="P230" s="16" t="n">
        <f aca="false">IF(L230="Yes",0,Scoring!$C$7)</f>
        <v>0.5</v>
      </c>
      <c r="Q230" s="8" t="n">
        <f aca="false">ROUND(SUM(M230:P230),2)</f>
        <v>6.9</v>
      </c>
      <c r="R230" s="8" t="str">
        <f aca="false">IF(Q230&gt;=Scoring!$C$10-0.000001,"Keep","Remove")</f>
        <v>Keep</v>
      </c>
      <c r="S230" s="8" t="s">
        <v>166</v>
      </c>
    </row>
    <row r="231" customFormat="false" ht="15" hidden="false" customHeight="false" outlineLevel="0" collapsed="false">
      <c r="A231" s="8" t="s">
        <v>7785</v>
      </c>
      <c r="B231" s="8" t="s">
        <v>7786</v>
      </c>
      <c r="C231" s="8" t="s">
        <v>178</v>
      </c>
      <c r="D231" s="8" t="s">
        <v>206</v>
      </c>
      <c r="E231" s="8" t="s">
        <v>128</v>
      </c>
      <c r="F231" s="8" t="s">
        <v>85</v>
      </c>
      <c r="G231" s="8" t="n">
        <v>3</v>
      </c>
      <c r="H231" s="13" t="n">
        <v>2</v>
      </c>
      <c r="I231" s="8" t="n">
        <v>2</v>
      </c>
      <c r="J231" s="20" t="s">
        <v>259</v>
      </c>
      <c r="K231" s="8"/>
      <c r="L231" s="20" t="s">
        <v>259</v>
      </c>
      <c r="M231" s="16" t="n">
        <f aca="false">H231*Scoring!$C$5</f>
        <v>2.6</v>
      </c>
      <c r="N231" s="16" t="n">
        <f aca="false">IF(I231&gt;=5,1,IF(I231=4,0.75,IF(I231=3,0.5,IF(I231=2,0.25,0))))*Scoring!$C$8</f>
        <v>0.25</v>
      </c>
      <c r="O231" s="16" t="n">
        <f aca="false">IF(J231="Yes",0,Scoring!$C$6)</f>
        <v>2</v>
      </c>
      <c r="P231" s="16" t="n">
        <f aca="false">IF(L231="Yes",0,Scoring!$C$7)</f>
        <v>0.5</v>
      </c>
      <c r="Q231" s="8" t="n">
        <f aca="false">ROUND(SUM(M231:P231),2)</f>
        <v>5.35</v>
      </c>
      <c r="R231" s="8" t="str">
        <f aca="false">IF(Q231&gt;=Scoring!$C$10-0.000001,"Keep","Remove")</f>
        <v>Remove</v>
      </c>
      <c r="S231" s="8" t="s">
        <v>7243</v>
      </c>
    </row>
    <row r="232" customFormat="false" ht="15" hidden="false" customHeight="false" outlineLevel="0" collapsed="false">
      <c r="A232" s="8" t="s">
        <v>7266</v>
      </c>
      <c r="B232" s="8" t="s">
        <v>7267</v>
      </c>
      <c r="C232" s="8" t="s">
        <v>178</v>
      </c>
      <c r="D232" s="8" t="s">
        <v>206</v>
      </c>
      <c r="E232" s="8" t="s">
        <v>129</v>
      </c>
      <c r="F232" s="8" t="s">
        <v>86</v>
      </c>
      <c r="G232" s="8" t="n">
        <v>3</v>
      </c>
      <c r="H232" s="13" t="n">
        <v>2</v>
      </c>
      <c r="I232" s="8" t="n">
        <v>5</v>
      </c>
      <c r="J232" s="20" t="s">
        <v>259</v>
      </c>
      <c r="K232" s="8"/>
      <c r="L232" s="20" t="s">
        <v>259</v>
      </c>
      <c r="M232" s="16" t="n">
        <f aca="false">H232*Scoring!$C$5</f>
        <v>2.6</v>
      </c>
      <c r="N232" s="16" t="n">
        <f aca="false">IF(I232&gt;=5,1,IF(I232=4,0.75,IF(I232=3,0.5,IF(I232=2,0.25,0))))*Scoring!$C$8</f>
        <v>1</v>
      </c>
      <c r="O232" s="16" t="n">
        <f aca="false">IF(J232="Yes",0,Scoring!$C$6)</f>
        <v>2</v>
      </c>
      <c r="P232" s="16" t="n">
        <f aca="false">IF(L232="Yes",0,Scoring!$C$7)</f>
        <v>0.5</v>
      </c>
      <c r="Q232" s="8" t="n">
        <f aca="false">ROUND(SUM(M232:P232),2)</f>
        <v>6.1</v>
      </c>
      <c r="R232" s="8" t="str">
        <f aca="false">IF(Q232&gt;=Scoring!$C$10-0.000001,"Keep","Remove")</f>
        <v>Remove</v>
      </c>
      <c r="S232" s="8" t="s">
        <v>7243</v>
      </c>
    </row>
    <row r="233" customFormat="false" ht="15" hidden="false" customHeight="false" outlineLevel="0" collapsed="false">
      <c r="A233" s="8" t="s">
        <v>7674</v>
      </c>
      <c r="B233" s="8" t="s">
        <v>7675</v>
      </c>
      <c r="C233" s="8" t="s">
        <v>178</v>
      </c>
      <c r="D233" s="8" t="s">
        <v>206</v>
      </c>
      <c r="E233" s="8" t="s">
        <v>125</v>
      </c>
      <c r="F233" s="8" t="s">
        <v>80</v>
      </c>
      <c r="G233" s="8" t="n">
        <v>3</v>
      </c>
      <c r="H233" s="13" t="n">
        <v>2</v>
      </c>
      <c r="I233" s="8" t="n">
        <v>3</v>
      </c>
      <c r="J233" s="20" t="s">
        <v>259</v>
      </c>
      <c r="K233" s="8"/>
      <c r="L233" s="20" t="s">
        <v>259</v>
      </c>
      <c r="M233" s="16" t="n">
        <f aca="false">H233*Scoring!$C$5</f>
        <v>2.6</v>
      </c>
      <c r="N233" s="16" t="n">
        <f aca="false">IF(I233&gt;=5,1,IF(I233=4,0.75,IF(I233=3,0.5,IF(I233=2,0.25,0))))*Scoring!$C$8</f>
        <v>0.5</v>
      </c>
      <c r="O233" s="16" t="n">
        <f aca="false">IF(J233="Yes",0,Scoring!$C$6)</f>
        <v>2</v>
      </c>
      <c r="P233" s="16" t="n">
        <f aca="false">IF(L233="Yes",0,Scoring!$C$7)</f>
        <v>0.5</v>
      </c>
      <c r="Q233" s="8" t="n">
        <f aca="false">ROUND(SUM(M233:P233),2)</f>
        <v>5.6</v>
      </c>
      <c r="R233" s="8" t="str">
        <f aca="false">IF(Q233&gt;=Scoring!$C$10-0.000001,"Keep","Remove")</f>
        <v>Remove</v>
      </c>
      <c r="S233" s="8" t="s">
        <v>7243</v>
      </c>
    </row>
    <row r="234" customFormat="false" ht="15" hidden="false" customHeight="false" outlineLevel="0" collapsed="false">
      <c r="A234" s="8" t="s">
        <v>7676</v>
      </c>
      <c r="B234" s="8" t="s">
        <v>7677</v>
      </c>
      <c r="C234" s="8" t="s">
        <v>178</v>
      </c>
      <c r="D234" s="8" t="s">
        <v>206</v>
      </c>
      <c r="E234" s="8" t="s">
        <v>130</v>
      </c>
      <c r="F234" s="8" t="s">
        <v>78</v>
      </c>
      <c r="G234" s="8" t="n">
        <v>3</v>
      </c>
      <c r="H234" s="13" t="n">
        <v>2</v>
      </c>
      <c r="I234" s="8" t="n">
        <v>3</v>
      </c>
      <c r="J234" s="20" t="s">
        <v>259</v>
      </c>
      <c r="K234" s="8"/>
      <c r="L234" s="20" t="s">
        <v>259</v>
      </c>
      <c r="M234" s="16" t="n">
        <f aca="false">H234*Scoring!$C$5</f>
        <v>2.6</v>
      </c>
      <c r="N234" s="16" t="n">
        <f aca="false">IF(I234&gt;=5,1,IF(I234=4,0.75,IF(I234=3,0.5,IF(I234=2,0.25,0))))*Scoring!$C$8</f>
        <v>0.5</v>
      </c>
      <c r="O234" s="16" t="n">
        <f aca="false">IF(J234="Yes",0,Scoring!$C$6)</f>
        <v>2</v>
      </c>
      <c r="P234" s="16" t="n">
        <f aca="false">IF(L234="Yes",0,Scoring!$C$7)</f>
        <v>0.5</v>
      </c>
      <c r="Q234" s="8" t="n">
        <f aca="false">ROUND(SUM(M234:P234),2)</f>
        <v>5.6</v>
      </c>
      <c r="R234" s="8" t="str">
        <f aca="false">IF(Q234&gt;=Scoring!$C$10-0.000001,"Keep","Remove")</f>
        <v>Remove</v>
      </c>
      <c r="S234" s="8" t="s">
        <v>7243</v>
      </c>
    </row>
    <row r="235" customFormat="false" ht="15" hidden="false" customHeight="false" outlineLevel="0" collapsed="false">
      <c r="A235" s="8" t="s">
        <v>7678</v>
      </c>
      <c r="B235" s="8" t="s">
        <v>7679</v>
      </c>
      <c r="C235" s="8" t="s">
        <v>178</v>
      </c>
      <c r="D235" s="8" t="s">
        <v>206</v>
      </c>
      <c r="E235" s="8" t="s">
        <v>131</v>
      </c>
      <c r="F235" s="8" t="s">
        <v>78</v>
      </c>
      <c r="G235" s="8" t="n">
        <v>3</v>
      </c>
      <c r="H235" s="13" t="n">
        <v>2</v>
      </c>
      <c r="I235" s="8" t="n">
        <v>3</v>
      </c>
      <c r="J235" s="20" t="s">
        <v>259</v>
      </c>
      <c r="K235" s="8"/>
      <c r="L235" s="20" t="s">
        <v>259</v>
      </c>
      <c r="M235" s="16" t="n">
        <f aca="false">H235*Scoring!$C$5</f>
        <v>2.6</v>
      </c>
      <c r="N235" s="16" t="n">
        <f aca="false">IF(I235&gt;=5,1,IF(I235=4,0.75,IF(I235=3,0.5,IF(I235=2,0.25,0))))*Scoring!$C$8</f>
        <v>0.5</v>
      </c>
      <c r="O235" s="16" t="n">
        <f aca="false">IF(J235="Yes",0,Scoring!$C$6)</f>
        <v>2</v>
      </c>
      <c r="P235" s="16" t="n">
        <f aca="false">IF(L235="Yes",0,Scoring!$C$7)</f>
        <v>0.5</v>
      </c>
      <c r="Q235" s="8" t="n">
        <f aca="false">ROUND(SUM(M235:P235),2)</f>
        <v>5.6</v>
      </c>
      <c r="R235" s="8" t="str">
        <f aca="false">IF(Q235&gt;=Scoring!$C$10-0.000001,"Keep","Remove")</f>
        <v>Remove</v>
      </c>
      <c r="S235" s="8" t="s">
        <v>7243</v>
      </c>
    </row>
    <row r="236" customFormat="false" ht="15" hidden="false" customHeight="false" outlineLevel="0" collapsed="false">
      <c r="A236" s="8" t="s">
        <v>1819</v>
      </c>
      <c r="B236" s="8" t="s">
        <v>1820</v>
      </c>
      <c r="C236" s="8" t="s">
        <v>178</v>
      </c>
      <c r="D236" s="8" t="s">
        <v>206</v>
      </c>
      <c r="E236" s="8" t="s">
        <v>117</v>
      </c>
      <c r="F236" s="8" t="s">
        <v>78</v>
      </c>
      <c r="G236" s="8" t="n">
        <v>1</v>
      </c>
      <c r="H236" s="13" t="n">
        <v>4</v>
      </c>
      <c r="I236" s="8" t="n">
        <v>6</v>
      </c>
      <c r="J236" s="20" t="s">
        <v>259</v>
      </c>
      <c r="K236" s="8"/>
      <c r="L236" s="20" t="s">
        <v>259</v>
      </c>
      <c r="M236" s="16" t="n">
        <f aca="false">H236*Scoring!$C$5</f>
        <v>5.2</v>
      </c>
      <c r="N236" s="16" t="n">
        <f aca="false">IF(I236&gt;=5,1,IF(I236=4,0.75,IF(I236=3,0.5,IF(I236=2,0.25,0))))*Scoring!$C$8</f>
        <v>1</v>
      </c>
      <c r="O236" s="16" t="n">
        <f aca="false">IF(J236="Yes",0,Scoring!$C$6)</f>
        <v>2</v>
      </c>
      <c r="P236" s="16" t="n">
        <f aca="false">IF(L236="Yes",0,Scoring!$C$7)</f>
        <v>0.5</v>
      </c>
      <c r="Q236" s="8" t="n">
        <f aca="false">ROUND(SUM(M236:P236),2)</f>
        <v>8.7</v>
      </c>
      <c r="R236" s="8" t="str">
        <f aca="false">IF(Q236&gt;=Scoring!$C$10-0.000001,"Keep","Remove")</f>
        <v>Keep</v>
      </c>
      <c r="S236" s="8" t="s">
        <v>166</v>
      </c>
    </row>
    <row r="237" customFormat="false" ht="15" hidden="false" customHeight="false" outlineLevel="0" collapsed="false">
      <c r="A237" s="8" t="s">
        <v>1828</v>
      </c>
      <c r="B237" s="8" t="s">
        <v>1829</v>
      </c>
      <c r="C237" s="8" t="s">
        <v>178</v>
      </c>
      <c r="D237" s="8" t="s">
        <v>206</v>
      </c>
      <c r="E237" s="8" t="s">
        <v>117</v>
      </c>
      <c r="F237" s="8" t="s">
        <v>78</v>
      </c>
      <c r="G237" s="8" t="n">
        <v>2</v>
      </c>
      <c r="H237" s="13" t="n">
        <v>3</v>
      </c>
      <c r="I237" s="8" t="n">
        <v>5</v>
      </c>
      <c r="J237" s="20" t="s">
        <v>259</v>
      </c>
      <c r="K237" s="8"/>
      <c r="L237" s="20" t="s">
        <v>259</v>
      </c>
      <c r="M237" s="16" t="n">
        <f aca="false">H237*Scoring!$C$5</f>
        <v>3.9</v>
      </c>
      <c r="N237" s="16" t="n">
        <f aca="false">IF(I237&gt;=5,1,IF(I237=4,0.75,IF(I237=3,0.5,IF(I237=2,0.25,0))))*Scoring!$C$8</f>
        <v>1</v>
      </c>
      <c r="O237" s="16" t="n">
        <f aca="false">IF(J237="Yes",0,Scoring!$C$6)</f>
        <v>2</v>
      </c>
      <c r="P237" s="16" t="n">
        <f aca="false">IF(L237="Yes",0,Scoring!$C$7)</f>
        <v>0.5</v>
      </c>
      <c r="Q237" s="8" t="n">
        <f aca="false">ROUND(SUM(M237:P237),2)</f>
        <v>7.4</v>
      </c>
      <c r="R237" s="8" t="str">
        <f aca="false">IF(Q237&gt;=Scoring!$C$10-0.000001,"Keep","Remove")</f>
        <v>Keep</v>
      </c>
      <c r="S237" s="8" t="s">
        <v>166</v>
      </c>
    </row>
    <row r="238" customFormat="false" ht="15" hidden="false" customHeight="false" outlineLevel="0" collapsed="false">
      <c r="A238" s="8" t="s">
        <v>1839</v>
      </c>
      <c r="B238" s="8" t="s">
        <v>1840</v>
      </c>
      <c r="C238" s="8" t="s">
        <v>178</v>
      </c>
      <c r="D238" s="8" t="s">
        <v>206</v>
      </c>
      <c r="E238" s="8" t="s">
        <v>117</v>
      </c>
      <c r="F238" s="8" t="s">
        <v>78</v>
      </c>
      <c r="G238" s="8" t="n">
        <v>2</v>
      </c>
      <c r="H238" s="13" t="n">
        <v>3</v>
      </c>
      <c r="I238" s="8" t="n">
        <v>5</v>
      </c>
      <c r="J238" s="20" t="s">
        <v>259</v>
      </c>
      <c r="K238" s="8"/>
      <c r="L238" s="20" t="s">
        <v>259</v>
      </c>
      <c r="M238" s="16" t="n">
        <f aca="false">H238*Scoring!$C$5</f>
        <v>3.9</v>
      </c>
      <c r="N238" s="16" t="n">
        <f aca="false">IF(I238&gt;=5,1,IF(I238=4,0.75,IF(I238=3,0.5,IF(I238=2,0.25,0))))*Scoring!$C$8</f>
        <v>1</v>
      </c>
      <c r="O238" s="16" t="n">
        <f aca="false">IF(J238="Yes",0,Scoring!$C$6)</f>
        <v>2</v>
      </c>
      <c r="P238" s="16" t="n">
        <f aca="false">IF(L238="Yes",0,Scoring!$C$7)</f>
        <v>0.5</v>
      </c>
      <c r="Q238" s="8" t="n">
        <f aca="false">ROUND(SUM(M238:P238),2)</f>
        <v>7.4</v>
      </c>
      <c r="R238" s="8" t="str">
        <f aca="false">IF(Q238&gt;=Scoring!$C$10-0.000001,"Keep","Remove")</f>
        <v>Keep</v>
      </c>
      <c r="S238" s="8" t="s">
        <v>166</v>
      </c>
    </row>
    <row r="239" customFormat="false" ht="15" hidden="false" customHeight="false" outlineLevel="0" collapsed="false">
      <c r="A239" s="8" t="s">
        <v>7464</v>
      </c>
      <c r="B239" s="8" t="s">
        <v>7465</v>
      </c>
      <c r="C239" s="8" t="s">
        <v>178</v>
      </c>
      <c r="D239" s="8" t="s">
        <v>206</v>
      </c>
      <c r="E239" s="8" t="s">
        <v>117</v>
      </c>
      <c r="F239" s="8" t="s">
        <v>78</v>
      </c>
      <c r="G239" s="8" t="n">
        <v>3</v>
      </c>
      <c r="H239" s="13" t="n">
        <v>2</v>
      </c>
      <c r="I239" s="8" t="n">
        <v>4</v>
      </c>
      <c r="J239" s="20" t="s">
        <v>259</v>
      </c>
      <c r="K239" s="8"/>
      <c r="L239" s="20" t="s">
        <v>259</v>
      </c>
      <c r="M239" s="16" t="n">
        <f aca="false">H239*Scoring!$C$5</f>
        <v>2.6</v>
      </c>
      <c r="N239" s="16" t="n">
        <f aca="false">IF(I239&gt;=5,1,IF(I239=4,0.75,IF(I239=3,0.5,IF(I239=2,0.25,0))))*Scoring!$C$8</f>
        <v>0.75</v>
      </c>
      <c r="O239" s="16" t="n">
        <f aca="false">IF(J239="Yes",0,Scoring!$C$6)</f>
        <v>2</v>
      </c>
      <c r="P239" s="16" t="n">
        <f aca="false">IF(L239="Yes",0,Scoring!$C$7)</f>
        <v>0.5</v>
      </c>
      <c r="Q239" s="8" t="n">
        <f aca="false">ROUND(SUM(M239:P239),2)</f>
        <v>5.85</v>
      </c>
      <c r="R239" s="8" t="str">
        <f aca="false">IF(Q239&gt;=Scoring!$C$10-0.000001,"Keep","Remove")</f>
        <v>Remove</v>
      </c>
      <c r="S239" s="8" t="s">
        <v>7243</v>
      </c>
    </row>
    <row r="240" customFormat="false" ht="15" hidden="false" customHeight="false" outlineLevel="0" collapsed="false">
      <c r="A240" s="8" t="s">
        <v>1848</v>
      </c>
      <c r="B240" s="8" t="s">
        <v>1849</v>
      </c>
      <c r="C240" s="8" t="s">
        <v>178</v>
      </c>
      <c r="D240" s="8" t="s">
        <v>206</v>
      </c>
      <c r="E240" s="8" t="s">
        <v>117</v>
      </c>
      <c r="F240" s="8" t="s">
        <v>78</v>
      </c>
      <c r="G240" s="8" t="n">
        <v>2</v>
      </c>
      <c r="H240" s="13" t="n">
        <v>3</v>
      </c>
      <c r="I240" s="8" t="n">
        <v>5</v>
      </c>
      <c r="J240" s="20" t="s">
        <v>259</v>
      </c>
      <c r="K240" s="8"/>
      <c r="L240" s="20" t="s">
        <v>259</v>
      </c>
      <c r="M240" s="16" t="n">
        <f aca="false">H240*Scoring!$C$5</f>
        <v>3.9</v>
      </c>
      <c r="N240" s="16" t="n">
        <f aca="false">IF(I240&gt;=5,1,IF(I240=4,0.75,IF(I240=3,0.5,IF(I240=2,0.25,0))))*Scoring!$C$8</f>
        <v>1</v>
      </c>
      <c r="O240" s="16" t="n">
        <f aca="false">IF(J240="Yes",0,Scoring!$C$6)</f>
        <v>2</v>
      </c>
      <c r="P240" s="16" t="n">
        <f aca="false">IF(L240="Yes",0,Scoring!$C$7)</f>
        <v>0.5</v>
      </c>
      <c r="Q240" s="8" t="n">
        <f aca="false">ROUND(SUM(M240:P240),2)</f>
        <v>7.4</v>
      </c>
      <c r="R240" s="8" t="str">
        <f aca="false">IF(Q240&gt;=Scoring!$C$10-0.000001,"Keep","Remove")</f>
        <v>Keep</v>
      </c>
      <c r="S240" s="8" t="s">
        <v>166</v>
      </c>
    </row>
    <row r="241" customFormat="false" ht="15" hidden="false" customHeight="false" outlineLevel="0" collapsed="false">
      <c r="A241" s="8" t="s">
        <v>7466</v>
      </c>
      <c r="B241" s="8" t="s">
        <v>7467</v>
      </c>
      <c r="C241" s="8" t="s">
        <v>178</v>
      </c>
      <c r="D241" s="8" t="s">
        <v>206</v>
      </c>
      <c r="E241" s="8" t="s">
        <v>117</v>
      </c>
      <c r="F241" s="8" t="s">
        <v>86</v>
      </c>
      <c r="G241" s="8" t="n">
        <v>3</v>
      </c>
      <c r="H241" s="13" t="n">
        <v>2</v>
      </c>
      <c r="I241" s="8" t="n">
        <v>4</v>
      </c>
      <c r="J241" s="20" t="s">
        <v>259</v>
      </c>
      <c r="K241" s="8"/>
      <c r="L241" s="20" t="s">
        <v>259</v>
      </c>
      <c r="M241" s="16" t="n">
        <f aca="false">H241*Scoring!$C$5</f>
        <v>2.6</v>
      </c>
      <c r="N241" s="16" t="n">
        <f aca="false">IF(I241&gt;=5,1,IF(I241=4,0.75,IF(I241=3,0.5,IF(I241=2,0.25,0))))*Scoring!$C$8</f>
        <v>0.75</v>
      </c>
      <c r="O241" s="16" t="n">
        <f aca="false">IF(J241="Yes",0,Scoring!$C$6)</f>
        <v>2</v>
      </c>
      <c r="P241" s="16" t="n">
        <f aca="false">IF(L241="Yes",0,Scoring!$C$7)</f>
        <v>0.5</v>
      </c>
      <c r="Q241" s="8" t="n">
        <f aca="false">ROUND(SUM(M241:P241),2)</f>
        <v>5.85</v>
      </c>
      <c r="R241" s="8" t="str">
        <f aca="false">IF(Q241&gt;=Scoring!$C$10-0.000001,"Keep","Remove")</f>
        <v>Remove</v>
      </c>
      <c r="S241" s="8" t="s">
        <v>7243</v>
      </c>
    </row>
    <row r="242" customFormat="false" ht="15" hidden="false" customHeight="false" outlineLevel="0" collapsed="false">
      <c r="A242" s="8" t="s">
        <v>7468</v>
      </c>
      <c r="B242" s="8" t="s">
        <v>7469</v>
      </c>
      <c r="C242" s="8" t="s">
        <v>178</v>
      </c>
      <c r="D242" s="8" t="s">
        <v>206</v>
      </c>
      <c r="E242" s="8" t="s">
        <v>117</v>
      </c>
      <c r="F242" s="8" t="s">
        <v>85</v>
      </c>
      <c r="G242" s="8" t="n">
        <v>3</v>
      </c>
      <c r="H242" s="13" t="n">
        <v>2</v>
      </c>
      <c r="I242" s="8" t="n">
        <v>4</v>
      </c>
      <c r="J242" s="20" t="s">
        <v>259</v>
      </c>
      <c r="K242" s="8"/>
      <c r="L242" s="20" t="s">
        <v>259</v>
      </c>
      <c r="M242" s="16" t="n">
        <f aca="false">H242*Scoring!$C$5</f>
        <v>2.6</v>
      </c>
      <c r="N242" s="16" t="n">
        <f aca="false">IF(I242&gt;=5,1,IF(I242=4,0.75,IF(I242=3,0.5,IF(I242=2,0.25,0))))*Scoring!$C$8</f>
        <v>0.75</v>
      </c>
      <c r="O242" s="16" t="n">
        <f aca="false">IF(J242="Yes",0,Scoring!$C$6)</f>
        <v>2</v>
      </c>
      <c r="P242" s="16" t="n">
        <f aca="false">IF(L242="Yes",0,Scoring!$C$7)</f>
        <v>0.5</v>
      </c>
      <c r="Q242" s="8" t="n">
        <f aca="false">ROUND(SUM(M242:P242),2)</f>
        <v>5.85</v>
      </c>
      <c r="R242" s="8" t="str">
        <f aca="false">IF(Q242&gt;=Scoring!$C$10-0.000001,"Keep","Remove")</f>
        <v>Remove</v>
      </c>
      <c r="S242" s="8" t="s">
        <v>7243</v>
      </c>
    </row>
    <row r="243" customFormat="false" ht="15" hidden="false" customHeight="false" outlineLevel="0" collapsed="false">
      <c r="A243" s="8" t="s">
        <v>1856</v>
      </c>
      <c r="B243" s="8" t="s">
        <v>1857</v>
      </c>
      <c r="C243" s="8" t="s">
        <v>178</v>
      </c>
      <c r="D243" s="8" t="s">
        <v>206</v>
      </c>
      <c r="E243" s="8" t="s">
        <v>124</v>
      </c>
      <c r="F243" s="8" t="s">
        <v>87</v>
      </c>
      <c r="G243" s="8" t="n">
        <v>2</v>
      </c>
      <c r="H243" s="13" t="n">
        <v>3</v>
      </c>
      <c r="I243" s="8" t="n">
        <v>3</v>
      </c>
      <c r="J243" s="20" t="s">
        <v>259</v>
      </c>
      <c r="K243" s="8"/>
      <c r="L243" s="20" t="s">
        <v>259</v>
      </c>
      <c r="M243" s="16" t="n">
        <f aca="false">H243*Scoring!$C$5</f>
        <v>3.9</v>
      </c>
      <c r="N243" s="16" t="n">
        <f aca="false">IF(I243&gt;=5,1,IF(I243=4,0.75,IF(I243=3,0.5,IF(I243=2,0.25,0))))*Scoring!$C$8</f>
        <v>0.5</v>
      </c>
      <c r="O243" s="16" t="n">
        <f aca="false">IF(J243="Yes",0,Scoring!$C$6)</f>
        <v>2</v>
      </c>
      <c r="P243" s="16" t="n">
        <f aca="false">IF(L243="Yes",0,Scoring!$C$7)</f>
        <v>0.5</v>
      </c>
      <c r="Q243" s="8" t="n">
        <f aca="false">ROUND(SUM(M243:P243),2)</f>
        <v>6.9</v>
      </c>
      <c r="R243" s="8" t="str">
        <f aca="false">IF(Q243&gt;=Scoring!$C$10-0.000001,"Keep","Remove")</f>
        <v>Keep</v>
      </c>
      <c r="S243" s="8" t="s">
        <v>166</v>
      </c>
    </row>
    <row r="244" customFormat="false" ht="15" hidden="false" customHeight="false" outlineLevel="0" collapsed="false">
      <c r="A244" s="8" t="s">
        <v>7470</v>
      </c>
      <c r="B244" s="8" t="s">
        <v>7471</v>
      </c>
      <c r="C244" s="8" t="s">
        <v>178</v>
      </c>
      <c r="D244" s="8" t="s">
        <v>206</v>
      </c>
      <c r="E244" s="8" t="s">
        <v>124</v>
      </c>
      <c r="F244" s="8" t="s">
        <v>78</v>
      </c>
      <c r="G244" s="8" t="n">
        <v>3</v>
      </c>
      <c r="H244" s="13" t="n">
        <v>2</v>
      </c>
      <c r="I244" s="8" t="n">
        <v>4</v>
      </c>
      <c r="J244" s="20" t="s">
        <v>259</v>
      </c>
      <c r="K244" s="8"/>
      <c r="L244" s="20" t="s">
        <v>259</v>
      </c>
      <c r="M244" s="16" t="n">
        <f aca="false">H244*Scoring!$C$5</f>
        <v>2.6</v>
      </c>
      <c r="N244" s="16" t="n">
        <f aca="false">IF(I244&gt;=5,1,IF(I244=4,0.75,IF(I244=3,0.5,IF(I244=2,0.25,0))))*Scoring!$C$8</f>
        <v>0.75</v>
      </c>
      <c r="O244" s="16" t="n">
        <f aca="false">IF(J244="Yes",0,Scoring!$C$6)</f>
        <v>2</v>
      </c>
      <c r="P244" s="16" t="n">
        <f aca="false">IF(L244="Yes",0,Scoring!$C$7)</f>
        <v>0.5</v>
      </c>
      <c r="Q244" s="8" t="n">
        <f aca="false">ROUND(SUM(M244:P244),2)</f>
        <v>5.85</v>
      </c>
      <c r="R244" s="8" t="str">
        <f aca="false">IF(Q244&gt;=Scoring!$C$10-0.000001,"Keep","Remove")</f>
        <v>Remove</v>
      </c>
      <c r="S244" s="8" t="s">
        <v>7243</v>
      </c>
    </row>
    <row r="245" customFormat="false" ht="15" hidden="false" customHeight="false" outlineLevel="0" collapsed="false">
      <c r="A245" s="8" t="s">
        <v>1866</v>
      </c>
      <c r="B245" s="8" t="s">
        <v>1867</v>
      </c>
      <c r="C245" s="8" t="s">
        <v>178</v>
      </c>
      <c r="D245" s="8" t="s">
        <v>206</v>
      </c>
      <c r="E245" s="8" t="s">
        <v>124</v>
      </c>
      <c r="F245" s="8" t="s">
        <v>78</v>
      </c>
      <c r="G245" s="8" t="n">
        <v>2</v>
      </c>
      <c r="H245" s="13" t="n">
        <v>3</v>
      </c>
      <c r="I245" s="8" t="n">
        <v>4</v>
      </c>
      <c r="J245" s="20" t="s">
        <v>259</v>
      </c>
      <c r="K245" s="8"/>
      <c r="L245" s="20" t="s">
        <v>259</v>
      </c>
      <c r="M245" s="16" t="n">
        <f aca="false">H245*Scoring!$C$5</f>
        <v>3.9</v>
      </c>
      <c r="N245" s="16" t="n">
        <f aca="false">IF(I245&gt;=5,1,IF(I245=4,0.75,IF(I245=3,0.5,IF(I245=2,0.25,0))))*Scoring!$C$8</f>
        <v>0.75</v>
      </c>
      <c r="O245" s="16" t="n">
        <f aca="false">IF(J245="Yes",0,Scoring!$C$6)</f>
        <v>2</v>
      </c>
      <c r="P245" s="16" t="n">
        <f aca="false">IF(L245="Yes",0,Scoring!$C$7)</f>
        <v>0.5</v>
      </c>
      <c r="Q245" s="8" t="n">
        <f aca="false">ROUND(SUM(M245:P245),2)</f>
        <v>7.15</v>
      </c>
      <c r="R245" s="8" t="str">
        <f aca="false">IF(Q245&gt;=Scoring!$C$10-0.000001,"Keep","Remove")</f>
        <v>Keep</v>
      </c>
      <c r="S245" s="8" t="s">
        <v>166</v>
      </c>
    </row>
    <row r="246" customFormat="false" ht="15" hidden="false" customHeight="false" outlineLevel="0" collapsed="false">
      <c r="A246" s="8" t="s">
        <v>7680</v>
      </c>
      <c r="B246" s="8" t="s">
        <v>7681</v>
      </c>
      <c r="C246" s="8" t="s">
        <v>178</v>
      </c>
      <c r="D246" s="8" t="s">
        <v>206</v>
      </c>
      <c r="E246" s="8" t="s">
        <v>123</v>
      </c>
      <c r="F246" s="8" t="s">
        <v>86</v>
      </c>
      <c r="G246" s="8" t="n">
        <v>3</v>
      </c>
      <c r="H246" s="13" t="n">
        <v>2</v>
      </c>
      <c r="I246" s="8" t="n">
        <v>3</v>
      </c>
      <c r="J246" s="20" t="s">
        <v>259</v>
      </c>
      <c r="K246" s="8"/>
      <c r="L246" s="20" t="s">
        <v>259</v>
      </c>
      <c r="M246" s="16" t="n">
        <f aca="false">H246*Scoring!$C$5</f>
        <v>2.6</v>
      </c>
      <c r="N246" s="16" t="n">
        <f aca="false">IF(I246&gt;=5,1,IF(I246=4,0.75,IF(I246=3,0.5,IF(I246=2,0.25,0))))*Scoring!$C$8</f>
        <v>0.5</v>
      </c>
      <c r="O246" s="16" t="n">
        <f aca="false">IF(J246="Yes",0,Scoring!$C$6)</f>
        <v>2</v>
      </c>
      <c r="P246" s="16" t="n">
        <f aca="false">IF(L246="Yes",0,Scoring!$C$7)</f>
        <v>0.5</v>
      </c>
      <c r="Q246" s="8" t="n">
        <f aca="false">ROUND(SUM(M246:P246),2)</f>
        <v>5.6</v>
      </c>
      <c r="R246" s="8" t="str">
        <f aca="false">IF(Q246&gt;=Scoring!$C$10-0.000001,"Keep","Remove")</f>
        <v>Remove</v>
      </c>
      <c r="S246" s="8" t="s">
        <v>7243</v>
      </c>
    </row>
    <row r="247" customFormat="false" ht="15" hidden="false" customHeight="false" outlineLevel="0" collapsed="false">
      <c r="A247" s="8" t="s">
        <v>1875</v>
      </c>
      <c r="B247" s="8" t="s">
        <v>1876</v>
      </c>
      <c r="C247" s="8" t="s">
        <v>178</v>
      </c>
      <c r="D247" s="8" t="s">
        <v>206</v>
      </c>
      <c r="E247" s="8" t="s">
        <v>123</v>
      </c>
      <c r="F247" s="8" t="s">
        <v>84</v>
      </c>
      <c r="G247" s="8" t="n">
        <v>2</v>
      </c>
      <c r="H247" s="13" t="n">
        <v>3</v>
      </c>
      <c r="I247" s="8" t="n">
        <v>4</v>
      </c>
      <c r="J247" s="20" t="s">
        <v>259</v>
      </c>
      <c r="K247" s="8"/>
      <c r="L247" s="20" t="s">
        <v>259</v>
      </c>
      <c r="M247" s="16" t="n">
        <f aca="false">H247*Scoring!$C$5</f>
        <v>3.9</v>
      </c>
      <c r="N247" s="16" t="n">
        <f aca="false">IF(I247&gt;=5,1,IF(I247=4,0.75,IF(I247=3,0.5,IF(I247=2,0.25,0))))*Scoring!$C$8</f>
        <v>0.75</v>
      </c>
      <c r="O247" s="16" t="n">
        <f aca="false">IF(J247="Yes",0,Scoring!$C$6)</f>
        <v>2</v>
      </c>
      <c r="P247" s="16" t="n">
        <f aca="false">IF(L247="Yes",0,Scoring!$C$7)</f>
        <v>0.5</v>
      </c>
      <c r="Q247" s="8" t="n">
        <f aca="false">ROUND(SUM(M247:P247),2)</f>
        <v>7.15</v>
      </c>
      <c r="R247" s="8" t="str">
        <f aca="false">IF(Q247&gt;=Scoring!$C$10-0.000001,"Keep","Remove")</f>
        <v>Keep</v>
      </c>
      <c r="S247" s="8" t="s">
        <v>166</v>
      </c>
    </row>
    <row r="248" customFormat="false" ht="15" hidden="false" customHeight="false" outlineLevel="0" collapsed="false">
      <c r="A248" s="8" t="s">
        <v>7472</v>
      </c>
      <c r="B248" s="8" t="s">
        <v>7473</v>
      </c>
      <c r="C248" s="8" t="s">
        <v>178</v>
      </c>
      <c r="D248" s="8" t="s">
        <v>206</v>
      </c>
      <c r="E248" s="8" t="s">
        <v>123</v>
      </c>
      <c r="F248" s="8" t="s">
        <v>78</v>
      </c>
      <c r="G248" s="8" t="n">
        <v>3</v>
      </c>
      <c r="H248" s="13" t="n">
        <v>2</v>
      </c>
      <c r="I248" s="8" t="n">
        <v>4</v>
      </c>
      <c r="J248" s="20" t="s">
        <v>259</v>
      </c>
      <c r="K248" s="8"/>
      <c r="L248" s="20" t="s">
        <v>259</v>
      </c>
      <c r="M248" s="16" t="n">
        <f aca="false">H248*Scoring!$C$5</f>
        <v>2.6</v>
      </c>
      <c r="N248" s="16" t="n">
        <f aca="false">IF(I248&gt;=5,1,IF(I248=4,0.75,IF(I248=3,0.5,IF(I248=2,0.25,0))))*Scoring!$C$8</f>
        <v>0.75</v>
      </c>
      <c r="O248" s="16" t="n">
        <f aca="false">IF(J248="Yes",0,Scoring!$C$6)</f>
        <v>2</v>
      </c>
      <c r="P248" s="16" t="n">
        <f aca="false">IF(L248="Yes",0,Scoring!$C$7)</f>
        <v>0.5</v>
      </c>
      <c r="Q248" s="8" t="n">
        <f aca="false">ROUND(SUM(M248:P248),2)</f>
        <v>5.85</v>
      </c>
      <c r="R248" s="8" t="str">
        <f aca="false">IF(Q248&gt;=Scoring!$C$10-0.000001,"Keep","Remove")</f>
        <v>Remove</v>
      </c>
      <c r="S248" s="8" t="s">
        <v>7243</v>
      </c>
    </row>
    <row r="249" customFormat="false" ht="15" hidden="false" customHeight="false" outlineLevel="0" collapsed="false">
      <c r="A249" s="8" t="s">
        <v>7682</v>
      </c>
      <c r="B249" s="8" t="s">
        <v>7683</v>
      </c>
      <c r="C249" s="8" t="s">
        <v>178</v>
      </c>
      <c r="D249" s="8" t="s">
        <v>206</v>
      </c>
      <c r="E249" s="8" t="s">
        <v>123</v>
      </c>
      <c r="F249" s="8" t="s">
        <v>78</v>
      </c>
      <c r="G249" s="8" t="n">
        <v>3</v>
      </c>
      <c r="H249" s="13" t="n">
        <v>2</v>
      </c>
      <c r="I249" s="8" t="n">
        <v>3</v>
      </c>
      <c r="J249" s="20" t="s">
        <v>259</v>
      </c>
      <c r="K249" s="8"/>
      <c r="L249" s="20" t="s">
        <v>259</v>
      </c>
      <c r="M249" s="16" t="n">
        <f aca="false">H249*Scoring!$C$5</f>
        <v>2.6</v>
      </c>
      <c r="N249" s="16" t="n">
        <f aca="false">IF(I249&gt;=5,1,IF(I249=4,0.75,IF(I249=3,0.5,IF(I249=2,0.25,0))))*Scoring!$C$8</f>
        <v>0.5</v>
      </c>
      <c r="O249" s="16" t="n">
        <f aca="false">IF(J249="Yes",0,Scoring!$C$6)</f>
        <v>2</v>
      </c>
      <c r="P249" s="16" t="n">
        <f aca="false">IF(L249="Yes",0,Scoring!$C$7)</f>
        <v>0.5</v>
      </c>
      <c r="Q249" s="8" t="n">
        <f aca="false">ROUND(SUM(M249:P249),2)</f>
        <v>5.6</v>
      </c>
      <c r="R249" s="8" t="str">
        <f aca="false">IF(Q249&gt;=Scoring!$C$10-0.000001,"Keep","Remove")</f>
        <v>Remove</v>
      </c>
      <c r="S249" s="8" t="s">
        <v>7243</v>
      </c>
    </row>
    <row r="250" customFormat="false" ht="15" hidden="false" customHeight="false" outlineLevel="0" collapsed="false">
      <c r="A250" s="8" t="s">
        <v>1884</v>
      </c>
      <c r="B250" s="8" t="s">
        <v>1885</v>
      </c>
      <c r="C250" s="8" t="s">
        <v>178</v>
      </c>
      <c r="D250" s="8" t="s">
        <v>206</v>
      </c>
      <c r="E250" s="8" t="s">
        <v>120</v>
      </c>
      <c r="F250" s="8" t="s">
        <v>82</v>
      </c>
      <c r="G250" s="8" t="n">
        <v>2</v>
      </c>
      <c r="H250" s="13" t="n">
        <v>3</v>
      </c>
      <c r="I250" s="8" t="n">
        <v>5</v>
      </c>
      <c r="J250" s="20" t="s">
        <v>259</v>
      </c>
      <c r="K250" s="8"/>
      <c r="L250" s="20" t="s">
        <v>259</v>
      </c>
      <c r="M250" s="16" t="n">
        <f aca="false">H250*Scoring!$C$5</f>
        <v>3.9</v>
      </c>
      <c r="N250" s="16" t="n">
        <f aca="false">IF(I250&gt;=5,1,IF(I250=4,0.75,IF(I250=3,0.5,IF(I250=2,0.25,0))))*Scoring!$C$8</f>
        <v>1</v>
      </c>
      <c r="O250" s="16" t="n">
        <f aca="false">IF(J250="Yes",0,Scoring!$C$6)</f>
        <v>2</v>
      </c>
      <c r="P250" s="16" t="n">
        <f aca="false">IF(L250="Yes",0,Scoring!$C$7)</f>
        <v>0.5</v>
      </c>
      <c r="Q250" s="8" t="n">
        <f aca="false">ROUND(SUM(M250:P250),2)</f>
        <v>7.4</v>
      </c>
      <c r="R250" s="8" t="str">
        <f aca="false">IF(Q250&gt;=Scoring!$C$10-0.000001,"Keep","Remove")</f>
        <v>Keep</v>
      </c>
      <c r="S250" s="8" t="s">
        <v>166</v>
      </c>
    </row>
    <row r="251" customFormat="false" ht="15" hidden="false" customHeight="false" outlineLevel="0" collapsed="false">
      <c r="A251" s="8" t="s">
        <v>7474</v>
      </c>
      <c r="B251" s="8" t="s">
        <v>7475</v>
      </c>
      <c r="C251" s="8" t="s">
        <v>178</v>
      </c>
      <c r="D251" s="8" t="s">
        <v>206</v>
      </c>
      <c r="E251" s="8" t="s">
        <v>120</v>
      </c>
      <c r="F251" s="8" t="s">
        <v>81</v>
      </c>
      <c r="G251" s="8" t="n">
        <v>3</v>
      </c>
      <c r="H251" s="13" t="n">
        <v>2</v>
      </c>
      <c r="I251" s="8" t="n">
        <v>4</v>
      </c>
      <c r="J251" s="20" t="s">
        <v>259</v>
      </c>
      <c r="K251" s="8"/>
      <c r="L251" s="20" t="s">
        <v>259</v>
      </c>
      <c r="M251" s="16" t="n">
        <f aca="false">H251*Scoring!$C$5</f>
        <v>2.6</v>
      </c>
      <c r="N251" s="16" t="n">
        <f aca="false">IF(I251&gt;=5,1,IF(I251=4,0.75,IF(I251=3,0.5,IF(I251=2,0.25,0))))*Scoring!$C$8</f>
        <v>0.75</v>
      </c>
      <c r="O251" s="16" t="n">
        <f aca="false">IF(J251="Yes",0,Scoring!$C$6)</f>
        <v>2</v>
      </c>
      <c r="P251" s="16" t="n">
        <f aca="false">IF(L251="Yes",0,Scoring!$C$7)</f>
        <v>0.5</v>
      </c>
      <c r="Q251" s="8" t="n">
        <f aca="false">ROUND(SUM(M251:P251),2)</f>
        <v>5.85</v>
      </c>
      <c r="R251" s="8" t="str">
        <f aca="false">IF(Q251&gt;=Scoring!$C$10-0.000001,"Keep","Remove")</f>
        <v>Remove</v>
      </c>
      <c r="S251" s="8" t="s">
        <v>7243</v>
      </c>
    </row>
    <row r="252" customFormat="false" ht="15" hidden="false" customHeight="false" outlineLevel="0" collapsed="false">
      <c r="A252" s="8" t="s">
        <v>1894</v>
      </c>
      <c r="B252" s="8" t="s">
        <v>1895</v>
      </c>
      <c r="C252" s="8" t="s">
        <v>178</v>
      </c>
      <c r="D252" s="8" t="s">
        <v>206</v>
      </c>
      <c r="E252" s="8" t="s">
        <v>120</v>
      </c>
      <c r="F252" s="8" t="s">
        <v>78</v>
      </c>
      <c r="G252" s="8" t="n">
        <v>2</v>
      </c>
      <c r="H252" s="13" t="n">
        <v>3</v>
      </c>
      <c r="I252" s="8" t="n">
        <v>3</v>
      </c>
      <c r="J252" s="20" t="s">
        <v>259</v>
      </c>
      <c r="K252" s="8"/>
      <c r="L252" s="20" t="s">
        <v>259</v>
      </c>
      <c r="M252" s="16" t="n">
        <f aca="false">H252*Scoring!$C$5</f>
        <v>3.9</v>
      </c>
      <c r="N252" s="16" t="n">
        <f aca="false">IF(I252&gt;=5,1,IF(I252=4,0.75,IF(I252=3,0.5,IF(I252=2,0.25,0))))*Scoring!$C$8</f>
        <v>0.5</v>
      </c>
      <c r="O252" s="16" t="n">
        <f aca="false">IF(J252="Yes",0,Scoring!$C$6)</f>
        <v>2</v>
      </c>
      <c r="P252" s="16" t="n">
        <f aca="false">IF(L252="Yes",0,Scoring!$C$7)</f>
        <v>0.5</v>
      </c>
      <c r="Q252" s="8" t="n">
        <f aca="false">ROUND(SUM(M252:P252),2)</f>
        <v>6.9</v>
      </c>
      <c r="R252" s="8" t="str">
        <f aca="false">IF(Q252&gt;=Scoring!$C$10-0.000001,"Keep","Remove")</f>
        <v>Keep</v>
      </c>
      <c r="S252" s="8" t="s">
        <v>166</v>
      </c>
    </row>
    <row r="253" customFormat="false" ht="15" hidden="false" customHeight="false" outlineLevel="0" collapsed="false">
      <c r="A253" s="8" t="s">
        <v>7884</v>
      </c>
      <c r="B253" s="8" t="s">
        <v>7885</v>
      </c>
      <c r="C253" s="8" t="s">
        <v>178</v>
      </c>
      <c r="D253" s="8" t="s">
        <v>206</v>
      </c>
      <c r="E253" s="8" t="s">
        <v>120</v>
      </c>
      <c r="F253" s="8" t="s">
        <v>79</v>
      </c>
      <c r="G253" s="8" t="n">
        <v>3</v>
      </c>
      <c r="H253" s="13" t="n">
        <v>2</v>
      </c>
      <c r="I253" s="8" t="n">
        <v>3</v>
      </c>
      <c r="J253" s="20" t="s">
        <v>218</v>
      </c>
      <c r="K253" s="8" t="s">
        <v>8156</v>
      </c>
      <c r="L253" s="20" t="s">
        <v>259</v>
      </c>
      <c r="M253" s="16" t="n">
        <f aca="false">H253*Scoring!$C$5</f>
        <v>2.6</v>
      </c>
      <c r="N253" s="16" t="n">
        <f aca="false">IF(I253&gt;=5,1,IF(I253=4,0.75,IF(I253=3,0.5,IF(I253=2,0.25,0))))*Scoring!$C$8</f>
        <v>0.5</v>
      </c>
      <c r="O253" s="16" t="n">
        <f aca="false">IF(J253="Yes",0,Scoring!$C$6)</f>
        <v>0</v>
      </c>
      <c r="P253" s="16" t="n">
        <f aca="false">IF(L253="Yes",0,Scoring!$C$7)</f>
        <v>0.5</v>
      </c>
      <c r="Q253" s="8" t="n">
        <f aca="false">ROUND(SUM(M253:P253),2)</f>
        <v>3.6</v>
      </c>
      <c r="R253" s="8" t="str">
        <f aca="false">IF(Q253&gt;=Scoring!$C$10-0.000001,"Keep","Remove")</f>
        <v>Remove</v>
      </c>
      <c r="S253" s="8" t="s">
        <v>7886</v>
      </c>
    </row>
    <row r="254" customFormat="false" ht="15" hidden="false" customHeight="false" outlineLevel="0" collapsed="false">
      <c r="A254" s="8" t="s">
        <v>7476</v>
      </c>
      <c r="B254" s="8" t="s">
        <v>7477</v>
      </c>
      <c r="C254" s="8" t="s">
        <v>178</v>
      </c>
      <c r="D254" s="8" t="s">
        <v>206</v>
      </c>
      <c r="E254" s="8" t="s">
        <v>120</v>
      </c>
      <c r="F254" s="8" t="s">
        <v>84</v>
      </c>
      <c r="G254" s="8" t="n">
        <v>3</v>
      </c>
      <c r="H254" s="13" t="n">
        <v>2</v>
      </c>
      <c r="I254" s="8" t="n">
        <v>4</v>
      </c>
      <c r="J254" s="20" t="s">
        <v>259</v>
      </c>
      <c r="K254" s="8"/>
      <c r="L254" s="20" t="s">
        <v>259</v>
      </c>
      <c r="M254" s="16" t="n">
        <f aca="false">H254*Scoring!$C$5</f>
        <v>2.6</v>
      </c>
      <c r="N254" s="16" t="n">
        <f aca="false">IF(I254&gt;=5,1,IF(I254=4,0.75,IF(I254=3,0.5,IF(I254=2,0.25,0))))*Scoring!$C$8</f>
        <v>0.75</v>
      </c>
      <c r="O254" s="16" t="n">
        <f aca="false">IF(J254="Yes",0,Scoring!$C$6)</f>
        <v>2</v>
      </c>
      <c r="P254" s="16" t="n">
        <f aca="false">IF(L254="Yes",0,Scoring!$C$7)</f>
        <v>0.5</v>
      </c>
      <c r="Q254" s="8" t="n">
        <f aca="false">ROUND(SUM(M254:P254),2)</f>
        <v>5.85</v>
      </c>
      <c r="R254" s="8" t="str">
        <f aca="false">IF(Q254&gt;=Scoring!$C$10-0.000001,"Keep","Remove")</f>
        <v>Remove</v>
      </c>
      <c r="S254" s="8" t="s">
        <v>7243</v>
      </c>
    </row>
    <row r="255" customFormat="false" ht="15" hidden="false" customHeight="false" outlineLevel="0" collapsed="false">
      <c r="A255" s="8" t="s">
        <v>1903</v>
      </c>
      <c r="B255" s="8" t="s">
        <v>1904</v>
      </c>
      <c r="C255" s="8" t="s">
        <v>178</v>
      </c>
      <c r="D255" s="8" t="s">
        <v>206</v>
      </c>
      <c r="E255" s="8" t="s">
        <v>126</v>
      </c>
      <c r="F255" s="8" t="s">
        <v>82</v>
      </c>
      <c r="G255" s="8" t="n">
        <v>2</v>
      </c>
      <c r="H255" s="13" t="n">
        <v>3</v>
      </c>
      <c r="I255" s="8" t="n">
        <v>2</v>
      </c>
      <c r="J255" s="20" t="s">
        <v>259</v>
      </c>
      <c r="K255" s="8"/>
      <c r="L255" s="20" t="s">
        <v>259</v>
      </c>
      <c r="M255" s="16" t="n">
        <f aca="false">H255*Scoring!$C$5</f>
        <v>3.9</v>
      </c>
      <c r="N255" s="16" t="n">
        <f aca="false">IF(I255&gt;=5,1,IF(I255=4,0.75,IF(I255=3,0.5,IF(I255=2,0.25,0))))*Scoring!$C$8</f>
        <v>0.25</v>
      </c>
      <c r="O255" s="16" t="n">
        <f aca="false">IF(J255="Yes",0,Scoring!$C$6)</f>
        <v>2</v>
      </c>
      <c r="P255" s="16" t="n">
        <f aca="false">IF(L255="Yes",0,Scoring!$C$7)</f>
        <v>0.5</v>
      </c>
      <c r="Q255" s="8" t="n">
        <f aca="false">ROUND(SUM(M255:P255),2)</f>
        <v>6.65</v>
      </c>
      <c r="R255" s="8" t="str">
        <f aca="false">IF(Q255&gt;=Scoring!$C$10-0.000001,"Keep","Remove")</f>
        <v>Keep</v>
      </c>
      <c r="S255" s="8" t="s">
        <v>166</v>
      </c>
    </row>
    <row r="256" customFormat="false" ht="15" hidden="false" customHeight="false" outlineLevel="0" collapsed="false">
      <c r="A256" s="8" t="s">
        <v>7268</v>
      </c>
      <c r="B256" s="8" t="s">
        <v>7269</v>
      </c>
      <c r="C256" s="8" t="s">
        <v>178</v>
      </c>
      <c r="D256" s="8" t="s">
        <v>206</v>
      </c>
      <c r="E256" s="8" t="s">
        <v>126</v>
      </c>
      <c r="F256" s="8" t="s">
        <v>79</v>
      </c>
      <c r="G256" s="8" t="n">
        <v>3</v>
      </c>
      <c r="H256" s="13" t="n">
        <v>2</v>
      </c>
      <c r="I256" s="8" t="n">
        <v>5</v>
      </c>
      <c r="J256" s="20" t="s">
        <v>259</v>
      </c>
      <c r="K256" s="8"/>
      <c r="L256" s="20" t="s">
        <v>259</v>
      </c>
      <c r="M256" s="16" t="n">
        <f aca="false">H256*Scoring!$C$5</f>
        <v>2.6</v>
      </c>
      <c r="N256" s="16" t="n">
        <f aca="false">IF(I256&gt;=5,1,IF(I256=4,0.75,IF(I256=3,0.5,IF(I256=2,0.25,0))))*Scoring!$C$8</f>
        <v>1</v>
      </c>
      <c r="O256" s="16" t="n">
        <f aca="false">IF(J256="Yes",0,Scoring!$C$6)</f>
        <v>2</v>
      </c>
      <c r="P256" s="16" t="n">
        <f aca="false">IF(L256="Yes",0,Scoring!$C$7)</f>
        <v>0.5</v>
      </c>
      <c r="Q256" s="8" t="n">
        <f aca="false">ROUND(SUM(M256:P256),2)</f>
        <v>6.1</v>
      </c>
      <c r="R256" s="8" t="str">
        <f aca="false">IF(Q256&gt;=Scoring!$C$10-0.000001,"Keep","Remove")</f>
        <v>Remove</v>
      </c>
      <c r="S256" s="8" t="s">
        <v>7243</v>
      </c>
    </row>
    <row r="257" customFormat="false" ht="15" hidden="false" customHeight="false" outlineLevel="0" collapsed="false">
      <c r="A257" s="8" t="s">
        <v>1912</v>
      </c>
      <c r="B257" s="8" t="s">
        <v>1913</v>
      </c>
      <c r="C257" s="8" t="s">
        <v>178</v>
      </c>
      <c r="D257" s="8" t="s">
        <v>206</v>
      </c>
      <c r="E257" s="8" t="s">
        <v>103</v>
      </c>
      <c r="F257" s="8" t="s">
        <v>78</v>
      </c>
      <c r="G257" s="8" t="n">
        <v>1</v>
      </c>
      <c r="H257" s="13" t="n">
        <v>5</v>
      </c>
      <c r="I257" s="8" t="n">
        <v>2</v>
      </c>
      <c r="J257" s="20" t="s">
        <v>259</v>
      </c>
      <c r="K257" s="8"/>
      <c r="L257" s="20" t="s">
        <v>259</v>
      </c>
      <c r="M257" s="16" t="n">
        <f aca="false">H257*Scoring!$C$5</f>
        <v>6.5</v>
      </c>
      <c r="N257" s="16" t="n">
        <f aca="false">IF(I257&gt;=5,1,IF(I257=4,0.75,IF(I257=3,0.5,IF(I257=2,0.25,0))))*Scoring!$C$8</f>
        <v>0.25</v>
      </c>
      <c r="O257" s="16" t="n">
        <f aca="false">IF(J257="Yes",0,Scoring!$C$6)</f>
        <v>2</v>
      </c>
      <c r="P257" s="16" t="n">
        <f aca="false">IF(L257="Yes",0,Scoring!$C$7)</f>
        <v>0.5</v>
      </c>
      <c r="Q257" s="8" t="n">
        <f aca="false">ROUND(SUM(M257:P257),2)</f>
        <v>9.25</v>
      </c>
      <c r="R257" s="8" t="str">
        <f aca="false">IF(Q257&gt;=Scoring!$C$10-0.000001,"Keep","Remove")</f>
        <v>Keep</v>
      </c>
      <c r="S257" s="8" t="s">
        <v>166</v>
      </c>
    </row>
    <row r="258" customFormat="false" ht="15" hidden="false" customHeight="false" outlineLevel="0" collapsed="false">
      <c r="A258" s="8" t="s">
        <v>1920</v>
      </c>
      <c r="B258" s="8" t="s">
        <v>1921</v>
      </c>
      <c r="C258" s="8" t="s">
        <v>178</v>
      </c>
      <c r="D258" s="8" t="s">
        <v>206</v>
      </c>
      <c r="E258" s="8" t="s">
        <v>103</v>
      </c>
      <c r="F258" s="8" t="s">
        <v>85</v>
      </c>
      <c r="G258" s="8" t="n">
        <v>1</v>
      </c>
      <c r="H258" s="13" t="n">
        <v>3</v>
      </c>
      <c r="I258" s="8" t="n">
        <v>2</v>
      </c>
      <c r="J258" s="20" t="s">
        <v>259</v>
      </c>
      <c r="K258" s="8"/>
      <c r="L258" s="20" t="s">
        <v>259</v>
      </c>
      <c r="M258" s="16" t="n">
        <f aca="false">H258*Scoring!$C$5</f>
        <v>3.9</v>
      </c>
      <c r="N258" s="16" t="n">
        <f aca="false">IF(I258&gt;=5,1,IF(I258=4,0.75,IF(I258=3,0.5,IF(I258=2,0.25,0))))*Scoring!$C$8</f>
        <v>0.25</v>
      </c>
      <c r="O258" s="16" t="n">
        <f aca="false">IF(J258="Yes",0,Scoring!$C$6)</f>
        <v>2</v>
      </c>
      <c r="P258" s="16" t="n">
        <f aca="false">IF(L258="Yes",0,Scoring!$C$7)</f>
        <v>0.5</v>
      </c>
      <c r="Q258" s="8" t="n">
        <f aca="false">ROUND(SUM(M258:P258),2)</f>
        <v>6.65</v>
      </c>
      <c r="R258" s="8" t="str">
        <f aca="false">IF(Q258&gt;=Scoring!$C$10-0.000001,"Keep","Remove")</f>
        <v>Keep</v>
      </c>
      <c r="S258" s="8" t="s">
        <v>166</v>
      </c>
    </row>
    <row r="259" customFormat="false" ht="15" hidden="false" customHeight="false" outlineLevel="0" collapsed="false">
      <c r="A259" s="8" t="s">
        <v>1931</v>
      </c>
      <c r="B259" s="8" t="s">
        <v>1932</v>
      </c>
      <c r="C259" s="8" t="s">
        <v>178</v>
      </c>
      <c r="D259" s="8" t="s">
        <v>206</v>
      </c>
      <c r="E259" s="8" t="s">
        <v>103</v>
      </c>
      <c r="F259" s="8" t="s">
        <v>85</v>
      </c>
      <c r="G259" s="8" t="n">
        <v>1</v>
      </c>
      <c r="H259" s="13" t="n">
        <v>3</v>
      </c>
      <c r="I259" s="8" t="n">
        <v>4</v>
      </c>
      <c r="J259" s="20" t="s">
        <v>259</v>
      </c>
      <c r="K259" s="8"/>
      <c r="L259" s="20" t="s">
        <v>259</v>
      </c>
      <c r="M259" s="16" t="n">
        <f aca="false">H259*Scoring!$C$5</f>
        <v>3.9</v>
      </c>
      <c r="N259" s="16" t="n">
        <f aca="false">IF(I259&gt;=5,1,IF(I259=4,0.75,IF(I259=3,0.5,IF(I259=2,0.25,0))))*Scoring!$C$8</f>
        <v>0.75</v>
      </c>
      <c r="O259" s="16" t="n">
        <f aca="false">IF(J259="Yes",0,Scoring!$C$6)</f>
        <v>2</v>
      </c>
      <c r="P259" s="16" t="n">
        <f aca="false">IF(L259="Yes",0,Scoring!$C$7)</f>
        <v>0.5</v>
      </c>
      <c r="Q259" s="8" t="n">
        <f aca="false">ROUND(SUM(M259:P259),2)</f>
        <v>7.15</v>
      </c>
      <c r="R259" s="8" t="str">
        <f aca="false">IF(Q259&gt;=Scoring!$C$10-0.000001,"Keep","Remove")</f>
        <v>Keep</v>
      </c>
      <c r="S259" s="8" t="s">
        <v>166</v>
      </c>
    </row>
    <row r="260" customFormat="false" ht="15" hidden="false" customHeight="false" outlineLevel="0" collapsed="false">
      <c r="A260" s="8" t="s">
        <v>1940</v>
      </c>
      <c r="B260" s="8" t="s">
        <v>1941</v>
      </c>
      <c r="C260" s="8" t="s">
        <v>178</v>
      </c>
      <c r="D260" s="8" t="s">
        <v>206</v>
      </c>
      <c r="E260" s="8" t="s">
        <v>103</v>
      </c>
      <c r="F260" s="8" t="s">
        <v>78</v>
      </c>
      <c r="G260" s="8" t="n">
        <v>1</v>
      </c>
      <c r="H260" s="13" t="n">
        <v>4</v>
      </c>
      <c r="I260" s="8" t="n">
        <v>2</v>
      </c>
      <c r="J260" s="20" t="s">
        <v>259</v>
      </c>
      <c r="K260" s="8"/>
      <c r="L260" s="20" t="s">
        <v>259</v>
      </c>
      <c r="M260" s="16" t="n">
        <f aca="false">H260*Scoring!$C$5</f>
        <v>5.2</v>
      </c>
      <c r="N260" s="16" t="n">
        <f aca="false">IF(I260&gt;=5,1,IF(I260=4,0.75,IF(I260=3,0.5,IF(I260=2,0.25,0))))*Scoring!$C$8</f>
        <v>0.25</v>
      </c>
      <c r="O260" s="16" t="n">
        <f aca="false">IF(J260="Yes",0,Scoring!$C$6)</f>
        <v>2</v>
      </c>
      <c r="P260" s="16" t="n">
        <f aca="false">IF(L260="Yes",0,Scoring!$C$7)</f>
        <v>0.5</v>
      </c>
      <c r="Q260" s="8" t="n">
        <f aca="false">ROUND(SUM(M260:P260),2)</f>
        <v>7.95</v>
      </c>
      <c r="R260" s="8" t="str">
        <f aca="false">IF(Q260&gt;=Scoring!$C$10-0.000001,"Keep","Remove")</f>
        <v>Keep</v>
      </c>
      <c r="S260" s="8" t="s">
        <v>166</v>
      </c>
    </row>
    <row r="261" customFormat="false" ht="15" hidden="false" customHeight="false" outlineLevel="0" collapsed="false">
      <c r="A261" s="8" t="s">
        <v>1950</v>
      </c>
      <c r="B261" s="8" t="s">
        <v>1951</v>
      </c>
      <c r="C261" s="8" t="s">
        <v>178</v>
      </c>
      <c r="D261" s="8" t="s">
        <v>206</v>
      </c>
      <c r="E261" s="8" t="s">
        <v>103</v>
      </c>
      <c r="F261" s="8" t="s">
        <v>78</v>
      </c>
      <c r="G261" s="8" t="n">
        <v>1</v>
      </c>
      <c r="H261" s="13" t="n">
        <v>4</v>
      </c>
      <c r="I261" s="8" t="n">
        <v>3</v>
      </c>
      <c r="J261" s="20" t="s">
        <v>259</v>
      </c>
      <c r="K261" s="8"/>
      <c r="L261" s="20" t="s">
        <v>259</v>
      </c>
      <c r="M261" s="16" t="n">
        <f aca="false">H261*Scoring!$C$5</f>
        <v>5.2</v>
      </c>
      <c r="N261" s="16" t="n">
        <f aca="false">IF(I261&gt;=5,1,IF(I261=4,0.75,IF(I261=3,0.5,IF(I261=2,0.25,0))))*Scoring!$C$8</f>
        <v>0.5</v>
      </c>
      <c r="O261" s="16" t="n">
        <f aca="false">IF(J261="Yes",0,Scoring!$C$6)</f>
        <v>2</v>
      </c>
      <c r="P261" s="16" t="n">
        <f aca="false">IF(L261="Yes",0,Scoring!$C$7)</f>
        <v>0.5</v>
      </c>
      <c r="Q261" s="8" t="n">
        <f aca="false">ROUND(SUM(M261:P261),2)</f>
        <v>8.2</v>
      </c>
      <c r="R261" s="8" t="str">
        <f aca="false">IF(Q261&gt;=Scoring!$C$10-0.000001,"Keep","Remove")</f>
        <v>Keep</v>
      </c>
      <c r="S261" s="8" t="s">
        <v>166</v>
      </c>
    </row>
    <row r="262" customFormat="false" ht="15" hidden="false" customHeight="false" outlineLevel="0" collapsed="false">
      <c r="A262" s="8" t="s">
        <v>1958</v>
      </c>
      <c r="B262" s="8" t="s">
        <v>1959</v>
      </c>
      <c r="C262" s="8" t="s">
        <v>178</v>
      </c>
      <c r="D262" s="8" t="s">
        <v>206</v>
      </c>
      <c r="E262" s="8" t="s">
        <v>103</v>
      </c>
      <c r="F262" s="8" t="s">
        <v>78</v>
      </c>
      <c r="G262" s="8" t="n">
        <v>1</v>
      </c>
      <c r="H262" s="13" t="n">
        <v>4</v>
      </c>
      <c r="I262" s="8" t="n">
        <v>3</v>
      </c>
      <c r="J262" s="20" t="s">
        <v>259</v>
      </c>
      <c r="K262" s="8"/>
      <c r="L262" s="20" t="s">
        <v>259</v>
      </c>
      <c r="M262" s="16" t="n">
        <f aca="false">H262*Scoring!$C$5</f>
        <v>5.2</v>
      </c>
      <c r="N262" s="16" t="n">
        <f aca="false">IF(I262&gt;=5,1,IF(I262=4,0.75,IF(I262=3,0.5,IF(I262=2,0.25,0))))*Scoring!$C$8</f>
        <v>0.5</v>
      </c>
      <c r="O262" s="16" t="n">
        <f aca="false">IF(J262="Yes",0,Scoring!$C$6)</f>
        <v>2</v>
      </c>
      <c r="P262" s="16" t="n">
        <f aca="false">IF(L262="Yes",0,Scoring!$C$7)</f>
        <v>0.5</v>
      </c>
      <c r="Q262" s="8" t="n">
        <f aca="false">ROUND(SUM(M262:P262),2)</f>
        <v>8.2</v>
      </c>
      <c r="R262" s="8" t="str">
        <f aca="false">IF(Q262&gt;=Scoring!$C$10-0.000001,"Keep","Remove")</f>
        <v>Keep</v>
      </c>
      <c r="S262" s="8" t="s">
        <v>166</v>
      </c>
    </row>
    <row r="263" customFormat="false" ht="15" hidden="false" customHeight="false" outlineLevel="0" collapsed="false">
      <c r="A263" s="8" t="s">
        <v>1967</v>
      </c>
      <c r="B263" s="8" t="s">
        <v>1968</v>
      </c>
      <c r="C263" s="8" t="s">
        <v>178</v>
      </c>
      <c r="D263" s="8" t="s">
        <v>206</v>
      </c>
      <c r="E263" s="8" t="s">
        <v>103</v>
      </c>
      <c r="F263" s="8" t="s">
        <v>78</v>
      </c>
      <c r="G263" s="8" t="n">
        <v>1</v>
      </c>
      <c r="H263" s="13" t="n">
        <v>5</v>
      </c>
      <c r="I263" s="8" t="n">
        <v>3</v>
      </c>
      <c r="J263" s="20" t="s">
        <v>259</v>
      </c>
      <c r="K263" s="8"/>
      <c r="L263" s="20" t="s">
        <v>259</v>
      </c>
      <c r="M263" s="16" t="n">
        <f aca="false">H263*Scoring!$C$5</f>
        <v>6.5</v>
      </c>
      <c r="N263" s="16" t="n">
        <f aca="false">IF(I263&gt;=5,1,IF(I263=4,0.75,IF(I263=3,0.5,IF(I263=2,0.25,0))))*Scoring!$C$8</f>
        <v>0.5</v>
      </c>
      <c r="O263" s="16" t="n">
        <f aca="false">IF(J263="Yes",0,Scoring!$C$6)</f>
        <v>2</v>
      </c>
      <c r="P263" s="16" t="n">
        <f aca="false">IF(L263="Yes",0,Scoring!$C$7)</f>
        <v>0.5</v>
      </c>
      <c r="Q263" s="8" t="n">
        <f aca="false">ROUND(SUM(M263:P263),2)</f>
        <v>9.5</v>
      </c>
      <c r="R263" s="8" t="str">
        <f aca="false">IF(Q263&gt;=Scoring!$C$10-0.000001,"Keep","Remove")</f>
        <v>Keep</v>
      </c>
      <c r="S263" s="8" t="s">
        <v>166</v>
      </c>
    </row>
    <row r="264" customFormat="false" ht="15" hidden="false" customHeight="false" outlineLevel="0" collapsed="false">
      <c r="A264" s="8" t="s">
        <v>1977</v>
      </c>
      <c r="B264" s="8" t="s">
        <v>1978</v>
      </c>
      <c r="C264" s="8" t="s">
        <v>178</v>
      </c>
      <c r="D264" s="8" t="s">
        <v>206</v>
      </c>
      <c r="E264" s="8" t="s">
        <v>103</v>
      </c>
      <c r="F264" s="8" t="s">
        <v>78</v>
      </c>
      <c r="G264" s="8" t="n">
        <v>1</v>
      </c>
      <c r="H264" s="13" t="n">
        <v>4</v>
      </c>
      <c r="I264" s="8" t="n">
        <v>3</v>
      </c>
      <c r="J264" s="20" t="s">
        <v>259</v>
      </c>
      <c r="K264" s="8"/>
      <c r="L264" s="20" t="s">
        <v>259</v>
      </c>
      <c r="M264" s="16" t="n">
        <f aca="false">H264*Scoring!$C$5</f>
        <v>5.2</v>
      </c>
      <c r="N264" s="16" t="n">
        <f aca="false">IF(I264&gt;=5,1,IF(I264=4,0.75,IF(I264=3,0.5,IF(I264=2,0.25,0))))*Scoring!$C$8</f>
        <v>0.5</v>
      </c>
      <c r="O264" s="16" t="n">
        <f aca="false">IF(J264="Yes",0,Scoring!$C$6)</f>
        <v>2</v>
      </c>
      <c r="P264" s="16" t="n">
        <f aca="false">IF(L264="Yes",0,Scoring!$C$7)</f>
        <v>0.5</v>
      </c>
      <c r="Q264" s="8" t="n">
        <f aca="false">ROUND(SUM(M264:P264),2)</f>
        <v>8.2</v>
      </c>
      <c r="R264" s="8" t="str">
        <f aca="false">IF(Q264&gt;=Scoring!$C$10-0.000001,"Keep","Remove")</f>
        <v>Keep</v>
      </c>
      <c r="S264" s="8" t="s">
        <v>166</v>
      </c>
    </row>
    <row r="265" customFormat="false" ht="15" hidden="false" customHeight="false" outlineLevel="0" collapsed="false">
      <c r="A265" s="8" t="s">
        <v>1987</v>
      </c>
      <c r="B265" s="8" t="s">
        <v>1988</v>
      </c>
      <c r="C265" s="8" t="s">
        <v>178</v>
      </c>
      <c r="D265" s="8" t="s">
        <v>206</v>
      </c>
      <c r="E265" s="8" t="s">
        <v>103</v>
      </c>
      <c r="F265" s="8" t="s">
        <v>78</v>
      </c>
      <c r="G265" s="8" t="n">
        <v>1</v>
      </c>
      <c r="H265" s="13" t="n">
        <v>4</v>
      </c>
      <c r="I265" s="8" t="n">
        <v>3</v>
      </c>
      <c r="J265" s="20" t="s">
        <v>259</v>
      </c>
      <c r="K265" s="8"/>
      <c r="L265" s="20" t="s">
        <v>259</v>
      </c>
      <c r="M265" s="16" t="n">
        <f aca="false">H265*Scoring!$C$5</f>
        <v>5.2</v>
      </c>
      <c r="N265" s="16" t="n">
        <f aca="false">IF(I265&gt;=5,1,IF(I265=4,0.75,IF(I265=3,0.5,IF(I265=2,0.25,0))))*Scoring!$C$8</f>
        <v>0.5</v>
      </c>
      <c r="O265" s="16" t="n">
        <f aca="false">IF(J265="Yes",0,Scoring!$C$6)</f>
        <v>2</v>
      </c>
      <c r="P265" s="16" t="n">
        <f aca="false">IF(L265="Yes",0,Scoring!$C$7)</f>
        <v>0.5</v>
      </c>
      <c r="Q265" s="8" t="n">
        <f aca="false">ROUND(SUM(M265:P265),2)</f>
        <v>8.2</v>
      </c>
      <c r="R265" s="8" t="str">
        <f aca="false">IF(Q265&gt;=Scoring!$C$10-0.000001,"Keep","Remove")</f>
        <v>Keep</v>
      </c>
      <c r="S265" s="8" t="s">
        <v>166</v>
      </c>
    </row>
    <row r="266" customFormat="false" ht="15" hidden="false" customHeight="false" outlineLevel="0" collapsed="false">
      <c r="A266" s="8" t="s">
        <v>1994</v>
      </c>
      <c r="B266" s="8" t="s">
        <v>1995</v>
      </c>
      <c r="C266" s="8" t="s">
        <v>178</v>
      </c>
      <c r="D266" s="8" t="s">
        <v>206</v>
      </c>
      <c r="E266" s="8" t="s">
        <v>103</v>
      </c>
      <c r="F266" s="8" t="s">
        <v>78</v>
      </c>
      <c r="G266" s="8" t="n">
        <v>1</v>
      </c>
      <c r="H266" s="13" t="n">
        <v>4</v>
      </c>
      <c r="I266" s="8" t="n">
        <v>2</v>
      </c>
      <c r="J266" s="20" t="s">
        <v>259</v>
      </c>
      <c r="K266" s="8"/>
      <c r="L266" s="20" t="s">
        <v>259</v>
      </c>
      <c r="M266" s="16" t="n">
        <f aca="false">H266*Scoring!$C$5</f>
        <v>5.2</v>
      </c>
      <c r="N266" s="16" t="n">
        <f aca="false">IF(I266&gt;=5,1,IF(I266=4,0.75,IF(I266=3,0.5,IF(I266=2,0.25,0))))*Scoring!$C$8</f>
        <v>0.25</v>
      </c>
      <c r="O266" s="16" t="n">
        <f aca="false">IF(J266="Yes",0,Scoring!$C$6)</f>
        <v>2</v>
      </c>
      <c r="P266" s="16" t="n">
        <f aca="false">IF(L266="Yes",0,Scoring!$C$7)</f>
        <v>0.5</v>
      </c>
      <c r="Q266" s="8" t="n">
        <f aca="false">ROUND(SUM(M266:P266),2)</f>
        <v>7.95</v>
      </c>
      <c r="R266" s="8" t="str">
        <f aca="false">IF(Q266&gt;=Scoring!$C$10-0.000001,"Keep","Remove")</f>
        <v>Keep</v>
      </c>
      <c r="S266" s="8" t="s">
        <v>166</v>
      </c>
    </row>
    <row r="267" customFormat="false" ht="15" hidden="false" customHeight="false" outlineLevel="0" collapsed="false">
      <c r="A267" s="8" t="s">
        <v>7896</v>
      </c>
      <c r="B267" s="8" t="s">
        <v>7897</v>
      </c>
      <c r="C267" s="8" t="s">
        <v>178</v>
      </c>
      <c r="D267" s="8" t="s">
        <v>206</v>
      </c>
      <c r="E267" s="8" t="s">
        <v>103</v>
      </c>
      <c r="F267" s="8" t="s">
        <v>78</v>
      </c>
      <c r="G267" s="8" t="n">
        <v>2</v>
      </c>
      <c r="H267" s="13" t="n">
        <v>2</v>
      </c>
      <c r="I267" s="8" t="n">
        <v>2</v>
      </c>
      <c r="J267" s="20" t="s">
        <v>218</v>
      </c>
      <c r="K267" s="8" t="s">
        <v>8157</v>
      </c>
      <c r="L267" s="20" t="s">
        <v>259</v>
      </c>
      <c r="M267" s="16" t="n">
        <f aca="false">H267*Scoring!$C$5</f>
        <v>2.6</v>
      </c>
      <c r="N267" s="16" t="n">
        <f aca="false">IF(I267&gt;=5,1,IF(I267=4,0.75,IF(I267=3,0.5,IF(I267=2,0.25,0))))*Scoring!$C$8</f>
        <v>0.25</v>
      </c>
      <c r="O267" s="16" t="n">
        <f aca="false">IF(J267="Yes",0,Scoring!$C$6)</f>
        <v>0</v>
      </c>
      <c r="P267" s="16" t="n">
        <f aca="false">IF(L267="Yes",0,Scoring!$C$7)</f>
        <v>0.5</v>
      </c>
      <c r="Q267" s="8" t="n">
        <f aca="false">ROUND(SUM(M267:P267),2)</f>
        <v>3.35</v>
      </c>
      <c r="R267" s="8" t="str">
        <f aca="false">IF(Q267&gt;=Scoring!$C$10-0.000001,"Keep","Remove")</f>
        <v>Remove</v>
      </c>
      <c r="S267" s="8" t="s">
        <v>7898</v>
      </c>
    </row>
    <row r="268" customFormat="false" ht="15" hidden="false" customHeight="false" outlineLevel="0" collapsed="false">
      <c r="A268" s="8" t="s">
        <v>2005</v>
      </c>
      <c r="B268" s="8" t="s">
        <v>2006</v>
      </c>
      <c r="C268" s="8" t="s">
        <v>178</v>
      </c>
      <c r="D268" s="8" t="s">
        <v>206</v>
      </c>
      <c r="E268" s="8" t="s">
        <v>103</v>
      </c>
      <c r="F268" s="8" t="s">
        <v>78</v>
      </c>
      <c r="G268" s="8" t="n">
        <v>1</v>
      </c>
      <c r="H268" s="13" t="n">
        <v>4</v>
      </c>
      <c r="I268" s="8" t="n">
        <v>2</v>
      </c>
      <c r="J268" s="20" t="s">
        <v>259</v>
      </c>
      <c r="K268" s="8"/>
      <c r="L268" s="20" t="s">
        <v>259</v>
      </c>
      <c r="M268" s="16" t="n">
        <f aca="false">H268*Scoring!$C$5</f>
        <v>5.2</v>
      </c>
      <c r="N268" s="16" t="n">
        <f aca="false">IF(I268&gt;=5,1,IF(I268=4,0.75,IF(I268=3,0.5,IF(I268=2,0.25,0))))*Scoring!$C$8</f>
        <v>0.25</v>
      </c>
      <c r="O268" s="16" t="n">
        <f aca="false">IF(J268="Yes",0,Scoring!$C$6)</f>
        <v>2</v>
      </c>
      <c r="P268" s="16" t="n">
        <f aca="false">IF(L268="Yes",0,Scoring!$C$7)</f>
        <v>0.5</v>
      </c>
      <c r="Q268" s="8" t="n">
        <f aca="false">ROUND(SUM(M268:P268),2)</f>
        <v>7.95</v>
      </c>
      <c r="R268" s="8" t="str">
        <f aca="false">IF(Q268&gt;=Scoring!$C$10-0.000001,"Keep","Remove")</f>
        <v>Keep</v>
      </c>
      <c r="S268" s="8" t="s">
        <v>166</v>
      </c>
    </row>
    <row r="269" customFormat="false" ht="15" hidden="false" customHeight="false" outlineLevel="0" collapsed="false">
      <c r="A269" s="8" t="s">
        <v>2013</v>
      </c>
      <c r="B269" s="8" t="s">
        <v>2014</v>
      </c>
      <c r="C269" s="8" t="s">
        <v>178</v>
      </c>
      <c r="D269" s="8" t="s">
        <v>206</v>
      </c>
      <c r="E269" s="8" t="s">
        <v>103</v>
      </c>
      <c r="F269" s="8" t="s">
        <v>78</v>
      </c>
      <c r="G269" s="8" t="n">
        <v>1</v>
      </c>
      <c r="H269" s="13" t="n">
        <v>3</v>
      </c>
      <c r="I269" s="8" t="n">
        <v>3</v>
      </c>
      <c r="J269" s="20" t="s">
        <v>259</v>
      </c>
      <c r="K269" s="8"/>
      <c r="L269" s="20" t="s">
        <v>259</v>
      </c>
      <c r="M269" s="16" t="n">
        <f aca="false">H269*Scoring!$C$5</f>
        <v>3.9</v>
      </c>
      <c r="N269" s="16" t="n">
        <f aca="false">IF(I269&gt;=5,1,IF(I269=4,0.75,IF(I269=3,0.5,IF(I269=2,0.25,0))))*Scoring!$C$8</f>
        <v>0.5</v>
      </c>
      <c r="O269" s="16" t="n">
        <f aca="false">IF(J269="Yes",0,Scoring!$C$6)</f>
        <v>2</v>
      </c>
      <c r="P269" s="16" t="n">
        <f aca="false">IF(L269="Yes",0,Scoring!$C$7)</f>
        <v>0.5</v>
      </c>
      <c r="Q269" s="8" t="n">
        <f aca="false">ROUND(SUM(M269:P269),2)</f>
        <v>6.9</v>
      </c>
      <c r="R269" s="8" t="str">
        <f aca="false">IF(Q269&gt;=Scoring!$C$10-0.000001,"Keep","Remove")</f>
        <v>Keep</v>
      </c>
      <c r="S269" s="8" t="s">
        <v>166</v>
      </c>
    </row>
    <row r="270" customFormat="false" ht="15" hidden="false" customHeight="false" outlineLevel="0" collapsed="false">
      <c r="A270" s="8" t="s">
        <v>7887</v>
      </c>
      <c r="B270" s="8" t="s">
        <v>7888</v>
      </c>
      <c r="C270" s="8" t="s">
        <v>178</v>
      </c>
      <c r="D270" s="8" t="s">
        <v>206</v>
      </c>
      <c r="E270" s="8" t="s">
        <v>103</v>
      </c>
      <c r="F270" s="8" t="s">
        <v>79</v>
      </c>
      <c r="G270" s="8" t="n">
        <v>2</v>
      </c>
      <c r="H270" s="13" t="n">
        <v>2</v>
      </c>
      <c r="I270" s="8" t="n">
        <v>3</v>
      </c>
      <c r="J270" s="20" t="s">
        <v>218</v>
      </c>
      <c r="K270" s="8" t="s">
        <v>8158</v>
      </c>
      <c r="L270" s="20" t="s">
        <v>259</v>
      </c>
      <c r="M270" s="16" t="n">
        <f aca="false">H270*Scoring!$C$5</f>
        <v>2.6</v>
      </c>
      <c r="N270" s="16" t="n">
        <f aca="false">IF(I270&gt;=5,1,IF(I270=4,0.75,IF(I270=3,0.5,IF(I270=2,0.25,0))))*Scoring!$C$8</f>
        <v>0.5</v>
      </c>
      <c r="O270" s="16" t="n">
        <f aca="false">IF(J270="Yes",0,Scoring!$C$6)</f>
        <v>0</v>
      </c>
      <c r="P270" s="16" t="n">
        <f aca="false">IF(L270="Yes",0,Scoring!$C$7)</f>
        <v>0.5</v>
      </c>
      <c r="Q270" s="8" t="n">
        <f aca="false">ROUND(SUM(M270:P270),2)</f>
        <v>3.6</v>
      </c>
      <c r="R270" s="8" t="str">
        <f aca="false">IF(Q270&gt;=Scoring!$C$10-0.000001,"Keep","Remove")</f>
        <v>Remove</v>
      </c>
      <c r="S270" s="8" t="s">
        <v>7889</v>
      </c>
    </row>
    <row r="271" customFormat="false" ht="15" hidden="false" customHeight="false" outlineLevel="0" collapsed="false">
      <c r="A271" s="8" t="s">
        <v>2021</v>
      </c>
      <c r="B271" s="8" t="s">
        <v>2022</v>
      </c>
      <c r="C271" s="8" t="s">
        <v>178</v>
      </c>
      <c r="D271" s="8" t="s">
        <v>206</v>
      </c>
      <c r="E271" s="8" t="s">
        <v>103</v>
      </c>
      <c r="F271" s="8" t="s">
        <v>78</v>
      </c>
      <c r="G271" s="8" t="n">
        <v>2</v>
      </c>
      <c r="H271" s="13" t="n">
        <v>3</v>
      </c>
      <c r="I271" s="8" t="n">
        <v>3</v>
      </c>
      <c r="J271" s="20" t="s">
        <v>259</v>
      </c>
      <c r="K271" s="8"/>
      <c r="L271" s="20" t="s">
        <v>259</v>
      </c>
      <c r="M271" s="16" t="n">
        <f aca="false">H271*Scoring!$C$5</f>
        <v>3.9</v>
      </c>
      <c r="N271" s="16" t="n">
        <f aca="false">IF(I271&gt;=5,1,IF(I271=4,0.75,IF(I271=3,0.5,IF(I271=2,0.25,0))))*Scoring!$C$8</f>
        <v>0.5</v>
      </c>
      <c r="O271" s="16" t="n">
        <f aca="false">IF(J271="Yes",0,Scoring!$C$6)</f>
        <v>2</v>
      </c>
      <c r="P271" s="16" t="n">
        <f aca="false">IF(L271="Yes",0,Scoring!$C$7)</f>
        <v>0.5</v>
      </c>
      <c r="Q271" s="8" t="n">
        <f aca="false">ROUND(SUM(M271:P271),2)</f>
        <v>6.9</v>
      </c>
      <c r="R271" s="8" t="str">
        <f aca="false">IF(Q271&gt;=Scoring!$C$10-0.000001,"Keep","Remove")</f>
        <v>Keep</v>
      </c>
      <c r="S271" s="8" t="s">
        <v>166</v>
      </c>
    </row>
    <row r="272" customFormat="false" ht="15" hidden="false" customHeight="false" outlineLevel="0" collapsed="false">
      <c r="A272" s="8" t="s">
        <v>2027</v>
      </c>
      <c r="B272" s="8" t="s">
        <v>2028</v>
      </c>
      <c r="C272" s="8" t="s">
        <v>178</v>
      </c>
      <c r="D272" s="8" t="s">
        <v>206</v>
      </c>
      <c r="E272" s="8" t="s">
        <v>103</v>
      </c>
      <c r="F272" s="8" t="s">
        <v>78</v>
      </c>
      <c r="G272" s="8" t="n">
        <v>2</v>
      </c>
      <c r="H272" s="13" t="n">
        <v>3</v>
      </c>
      <c r="I272" s="8" t="n">
        <v>3</v>
      </c>
      <c r="J272" s="20" t="s">
        <v>259</v>
      </c>
      <c r="K272" s="8"/>
      <c r="L272" s="20" t="s">
        <v>259</v>
      </c>
      <c r="M272" s="16" t="n">
        <f aca="false">H272*Scoring!$C$5</f>
        <v>3.9</v>
      </c>
      <c r="N272" s="16" t="n">
        <f aca="false">IF(I272&gt;=5,1,IF(I272=4,0.75,IF(I272=3,0.5,IF(I272=2,0.25,0))))*Scoring!$C$8</f>
        <v>0.5</v>
      </c>
      <c r="O272" s="16" t="n">
        <f aca="false">IF(J272="Yes",0,Scoring!$C$6)</f>
        <v>2</v>
      </c>
      <c r="P272" s="16" t="n">
        <f aca="false">IF(L272="Yes",0,Scoring!$C$7)</f>
        <v>0.5</v>
      </c>
      <c r="Q272" s="8" t="n">
        <f aca="false">ROUND(SUM(M272:P272),2)</f>
        <v>6.9</v>
      </c>
      <c r="R272" s="8" t="str">
        <f aca="false">IF(Q272&gt;=Scoring!$C$10-0.000001,"Keep","Remove")</f>
        <v>Keep</v>
      </c>
      <c r="S272" s="8" t="s">
        <v>166</v>
      </c>
    </row>
    <row r="273" customFormat="false" ht="15" hidden="false" customHeight="false" outlineLevel="0" collapsed="false">
      <c r="A273" s="8" t="s">
        <v>2037</v>
      </c>
      <c r="B273" s="8" t="s">
        <v>2038</v>
      </c>
      <c r="C273" s="8" t="s">
        <v>178</v>
      </c>
      <c r="D273" s="8" t="s">
        <v>206</v>
      </c>
      <c r="E273" s="8" t="s">
        <v>103</v>
      </c>
      <c r="F273" s="8" t="s">
        <v>78</v>
      </c>
      <c r="G273" s="8" t="n">
        <v>2</v>
      </c>
      <c r="H273" s="13" t="n">
        <v>3</v>
      </c>
      <c r="I273" s="8" t="n">
        <v>3</v>
      </c>
      <c r="J273" s="20" t="s">
        <v>259</v>
      </c>
      <c r="K273" s="8"/>
      <c r="L273" s="20" t="s">
        <v>259</v>
      </c>
      <c r="M273" s="16" t="n">
        <f aca="false">H273*Scoring!$C$5</f>
        <v>3.9</v>
      </c>
      <c r="N273" s="16" t="n">
        <f aca="false">IF(I273&gt;=5,1,IF(I273=4,0.75,IF(I273=3,0.5,IF(I273=2,0.25,0))))*Scoring!$C$8</f>
        <v>0.5</v>
      </c>
      <c r="O273" s="16" t="n">
        <f aca="false">IF(J273="Yes",0,Scoring!$C$6)</f>
        <v>2</v>
      </c>
      <c r="P273" s="16" t="n">
        <f aca="false">IF(L273="Yes",0,Scoring!$C$7)</f>
        <v>0.5</v>
      </c>
      <c r="Q273" s="8" t="n">
        <f aca="false">ROUND(SUM(M273:P273),2)</f>
        <v>6.9</v>
      </c>
      <c r="R273" s="8" t="str">
        <f aca="false">IF(Q273&gt;=Scoring!$C$10-0.000001,"Keep","Remove")</f>
        <v>Keep</v>
      </c>
      <c r="S273" s="8" t="s">
        <v>166</v>
      </c>
    </row>
    <row r="274" customFormat="false" ht="15" hidden="false" customHeight="false" outlineLevel="0" collapsed="false">
      <c r="A274" s="8" t="s">
        <v>7270</v>
      </c>
      <c r="B274" s="8" t="s">
        <v>7271</v>
      </c>
      <c r="C274" s="8" t="s">
        <v>178</v>
      </c>
      <c r="D274" s="8" t="s">
        <v>206</v>
      </c>
      <c r="E274" s="8" t="s">
        <v>103</v>
      </c>
      <c r="F274" s="8" t="s">
        <v>78</v>
      </c>
      <c r="G274" s="8" t="n">
        <v>2</v>
      </c>
      <c r="H274" s="13" t="n">
        <v>2</v>
      </c>
      <c r="I274" s="8" t="n">
        <v>5</v>
      </c>
      <c r="J274" s="20" t="s">
        <v>259</v>
      </c>
      <c r="K274" s="8"/>
      <c r="L274" s="20" t="s">
        <v>259</v>
      </c>
      <c r="M274" s="16" t="n">
        <f aca="false">H274*Scoring!$C$5</f>
        <v>2.6</v>
      </c>
      <c r="N274" s="16" t="n">
        <f aca="false">IF(I274&gt;=5,1,IF(I274=4,0.75,IF(I274=3,0.5,IF(I274=2,0.25,0))))*Scoring!$C$8</f>
        <v>1</v>
      </c>
      <c r="O274" s="16" t="n">
        <f aca="false">IF(J274="Yes",0,Scoring!$C$6)</f>
        <v>2</v>
      </c>
      <c r="P274" s="16" t="n">
        <f aca="false">IF(L274="Yes",0,Scoring!$C$7)</f>
        <v>0.5</v>
      </c>
      <c r="Q274" s="8" t="n">
        <f aca="false">ROUND(SUM(M274:P274),2)</f>
        <v>6.1</v>
      </c>
      <c r="R274" s="8" t="str">
        <f aca="false">IF(Q274&gt;=Scoring!$C$10-0.000001,"Keep","Remove")</f>
        <v>Remove</v>
      </c>
      <c r="S274" s="8" t="s">
        <v>7243</v>
      </c>
    </row>
    <row r="275" customFormat="false" ht="15" hidden="false" customHeight="false" outlineLevel="0" collapsed="false">
      <c r="A275" s="8" t="s">
        <v>2044</v>
      </c>
      <c r="B275" s="8" t="s">
        <v>2045</v>
      </c>
      <c r="C275" s="8" t="s">
        <v>178</v>
      </c>
      <c r="D275" s="8" t="s">
        <v>206</v>
      </c>
      <c r="E275" s="8" t="s">
        <v>103</v>
      </c>
      <c r="F275" s="8" t="s">
        <v>86</v>
      </c>
      <c r="G275" s="8" t="n">
        <v>1</v>
      </c>
      <c r="H275" s="13" t="n">
        <v>3</v>
      </c>
      <c r="I275" s="8" t="n">
        <v>4</v>
      </c>
      <c r="J275" s="20" t="s">
        <v>259</v>
      </c>
      <c r="K275" s="8"/>
      <c r="L275" s="20" t="s">
        <v>259</v>
      </c>
      <c r="M275" s="16" t="n">
        <f aca="false">H275*Scoring!$C$5</f>
        <v>3.9</v>
      </c>
      <c r="N275" s="16" t="n">
        <f aca="false">IF(I275&gt;=5,1,IF(I275=4,0.75,IF(I275=3,0.5,IF(I275=2,0.25,0))))*Scoring!$C$8</f>
        <v>0.75</v>
      </c>
      <c r="O275" s="16" t="n">
        <f aca="false">IF(J275="Yes",0,Scoring!$C$6)</f>
        <v>2</v>
      </c>
      <c r="P275" s="16" t="n">
        <f aca="false">IF(L275="Yes",0,Scoring!$C$7)</f>
        <v>0.5</v>
      </c>
      <c r="Q275" s="8" t="n">
        <f aca="false">ROUND(SUM(M275:P275),2)</f>
        <v>7.15</v>
      </c>
      <c r="R275" s="8" t="str">
        <f aca="false">IF(Q275&gt;=Scoring!$C$10-0.000001,"Keep","Remove")</f>
        <v>Keep</v>
      </c>
      <c r="S275" s="8" t="s">
        <v>166</v>
      </c>
    </row>
    <row r="276" customFormat="false" ht="15" hidden="false" customHeight="false" outlineLevel="0" collapsed="false">
      <c r="A276" s="8" t="s">
        <v>7684</v>
      </c>
      <c r="B276" s="8" t="s">
        <v>7685</v>
      </c>
      <c r="C276" s="8" t="s">
        <v>178</v>
      </c>
      <c r="D276" s="8" t="s">
        <v>206</v>
      </c>
      <c r="E276" s="8" t="s">
        <v>103</v>
      </c>
      <c r="F276" s="8" t="s">
        <v>86</v>
      </c>
      <c r="G276" s="8" t="n">
        <v>2</v>
      </c>
      <c r="H276" s="13" t="n">
        <v>2</v>
      </c>
      <c r="I276" s="8" t="n">
        <v>3</v>
      </c>
      <c r="J276" s="20" t="s">
        <v>259</v>
      </c>
      <c r="K276" s="8"/>
      <c r="L276" s="20" t="s">
        <v>259</v>
      </c>
      <c r="M276" s="16" t="n">
        <f aca="false">H276*Scoring!$C$5</f>
        <v>2.6</v>
      </c>
      <c r="N276" s="16" t="n">
        <f aca="false">IF(I276&gt;=5,1,IF(I276=4,0.75,IF(I276=3,0.5,IF(I276=2,0.25,0))))*Scoring!$C$8</f>
        <v>0.5</v>
      </c>
      <c r="O276" s="16" t="n">
        <f aca="false">IF(J276="Yes",0,Scoring!$C$6)</f>
        <v>2</v>
      </c>
      <c r="P276" s="16" t="n">
        <f aca="false">IF(L276="Yes",0,Scoring!$C$7)</f>
        <v>0.5</v>
      </c>
      <c r="Q276" s="8" t="n">
        <f aca="false">ROUND(SUM(M276:P276),2)</f>
        <v>5.6</v>
      </c>
      <c r="R276" s="8" t="str">
        <f aca="false">IF(Q276&gt;=Scoring!$C$10-0.000001,"Keep","Remove")</f>
        <v>Remove</v>
      </c>
      <c r="S276" s="8" t="s">
        <v>7243</v>
      </c>
    </row>
    <row r="277" customFormat="false" ht="15" hidden="false" customHeight="false" outlineLevel="0" collapsed="false">
      <c r="A277" s="8" t="s">
        <v>2053</v>
      </c>
      <c r="B277" s="8" t="s">
        <v>2054</v>
      </c>
      <c r="C277" s="8" t="s">
        <v>178</v>
      </c>
      <c r="D277" s="8" t="s">
        <v>206</v>
      </c>
      <c r="E277" s="8" t="s">
        <v>103</v>
      </c>
      <c r="F277" s="8" t="s">
        <v>87</v>
      </c>
      <c r="G277" s="8" t="n">
        <v>1</v>
      </c>
      <c r="H277" s="13" t="n">
        <v>5</v>
      </c>
      <c r="I277" s="8" t="n">
        <v>3</v>
      </c>
      <c r="J277" s="20" t="s">
        <v>259</v>
      </c>
      <c r="K277" s="8"/>
      <c r="L277" s="20" t="s">
        <v>259</v>
      </c>
      <c r="M277" s="16" t="n">
        <f aca="false">H277*Scoring!$C$5</f>
        <v>6.5</v>
      </c>
      <c r="N277" s="16" t="n">
        <f aca="false">IF(I277&gt;=5,1,IF(I277=4,0.75,IF(I277=3,0.5,IF(I277=2,0.25,0))))*Scoring!$C$8</f>
        <v>0.5</v>
      </c>
      <c r="O277" s="16" t="n">
        <f aca="false">IF(J277="Yes",0,Scoring!$C$6)</f>
        <v>2</v>
      </c>
      <c r="P277" s="16" t="n">
        <f aca="false">IF(L277="Yes",0,Scoring!$C$7)</f>
        <v>0.5</v>
      </c>
      <c r="Q277" s="8" t="n">
        <f aca="false">ROUND(SUM(M277:P277),2)</f>
        <v>9.5</v>
      </c>
      <c r="R277" s="8" t="str">
        <f aca="false">IF(Q277&gt;=Scoring!$C$10-0.000001,"Keep","Remove")</f>
        <v>Keep</v>
      </c>
      <c r="S277" s="8" t="s">
        <v>166</v>
      </c>
    </row>
    <row r="278" customFormat="false" ht="15" hidden="false" customHeight="false" outlineLevel="0" collapsed="false">
      <c r="A278" s="8" t="s">
        <v>7822</v>
      </c>
      <c r="B278" s="8" t="s">
        <v>7823</v>
      </c>
      <c r="C278" s="8" t="s">
        <v>178</v>
      </c>
      <c r="D278" s="8" t="s">
        <v>206</v>
      </c>
      <c r="E278" s="8" t="s">
        <v>103</v>
      </c>
      <c r="F278" s="8" t="s">
        <v>87</v>
      </c>
      <c r="G278" s="8" t="n">
        <v>1</v>
      </c>
      <c r="H278" s="13" t="n">
        <v>2</v>
      </c>
      <c r="I278" s="8" t="n">
        <v>1</v>
      </c>
      <c r="J278" s="20" t="s">
        <v>259</v>
      </c>
      <c r="K278" s="8"/>
      <c r="L278" s="20" t="s">
        <v>259</v>
      </c>
      <c r="M278" s="16" t="n">
        <f aca="false">H278*Scoring!$C$5</f>
        <v>2.6</v>
      </c>
      <c r="N278" s="16" t="n">
        <f aca="false">IF(I278&gt;=5,1,IF(I278=4,0.75,IF(I278=3,0.5,IF(I278=2,0.25,0))))*Scoring!$C$8</f>
        <v>0</v>
      </c>
      <c r="O278" s="16" t="n">
        <f aca="false">IF(J278="Yes",0,Scoring!$C$6)</f>
        <v>2</v>
      </c>
      <c r="P278" s="16" t="n">
        <f aca="false">IF(L278="Yes",0,Scoring!$C$7)</f>
        <v>0.5</v>
      </c>
      <c r="Q278" s="8" t="n">
        <f aca="false">ROUND(SUM(M278:P278),2)</f>
        <v>5.1</v>
      </c>
      <c r="R278" s="8" t="str">
        <f aca="false">IF(Q278&gt;=Scoring!$C$10-0.000001,"Keep","Remove")</f>
        <v>Remove</v>
      </c>
      <c r="S278" s="8" t="s">
        <v>7243</v>
      </c>
    </row>
    <row r="279" customFormat="false" ht="15" hidden="false" customHeight="false" outlineLevel="0" collapsed="false">
      <c r="A279" s="8" t="s">
        <v>2061</v>
      </c>
      <c r="B279" s="8" t="s">
        <v>2062</v>
      </c>
      <c r="C279" s="8" t="s">
        <v>178</v>
      </c>
      <c r="D279" s="8" t="s">
        <v>206</v>
      </c>
      <c r="E279" s="8" t="s">
        <v>103</v>
      </c>
      <c r="F279" s="8" t="s">
        <v>87</v>
      </c>
      <c r="G279" s="8" t="n">
        <v>1</v>
      </c>
      <c r="H279" s="13" t="n">
        <v>3</v>
      </c>
      <c r="I279" s="8" t="n">
        <v>2</v>
      </c>
      <c r="J279" s="20" t="s">
        <v>259</v>
      </c>
      <c r="K279" s="8"/>
      <c r="L279" s="20" t="s">
        <v>259</v>
      </c>
      <c r="M279" s="16" t="n">
        <f aca="false">H279*Scoring!$C$5</f>
        <v>3.9</v>
      </c>
      <c r="N279" s="16" t="n">
        <f aca="false">IF(I279&gt;=5,1,IF(I279=4,0.75,IF(I279=3,0.5,IF(I279=2,0.25,0))))*Scoring!$C$8</f>
        <v>0.25</v>
      </c>
      <c r="O279" s="16" t="n">
        <f aca="false">IF(J279="Yes",0,Scoring!$C$6)</f>
        <v>2</v>
      </c>
      <c r="P279" s="16" t="n">
        <f aca="false">IF(L279="Yes",0,Scoring!$C$7)</f>
        <v>0.5</v>
      </c>
      <c r="Q279" s="8" t="n">
        <f aca="false">ROUND(SUM(M279:P279),2)</f>
        <v>6.65</v>
      </c>
      <c r="R279" s="8" t="str">
        <f aca="false">IF(Q279&gt;=Scoring!$C$10-0.000001,"Keep","Remove")</f>
        <v>Keep</v>
      </c>
      <c r="S279" s="8" t="s">
        <v>166</v>
      </c>
    </row>
    <row r="280" customFormat="false" ht="15" hidden="false" customHeight="false" outlineLevel="0" collapsed="false">
      <c r="A280" s="8" t="s">
        <v>2070</v>
      </c>
      <c r="B280" s="8" t="s">
        <v>2071</v>
      </c>
      <c r="C280" s="8" t="s">
        <v>178</v>
      </c>
      <c r="D280" s="8" t="s">
        <v>206</v>
      </c>
      <c r="E280" s="8" t="s">
        <v>103</v>
      </c>
      <c r="F280" s="8" t="s">
        <v>87</v>
      </c>
      <c r="G280" s="8" t="n">
        <v>2</v>
      </c>
      <c r="H280" s="13" t="n">
        <v>3</v>
      </c>
      <c r="I280" s="8" t="n">
        <v>4</v>
      </c>
      <c r="J280" s="20" t="s">
        <v>259</v>
      </c>
      <c r="K280" s="8"/>
      <c r="L280" s="20" t="s">
        <v>259</v>
      </c>
      <c r="M280" s="16" t="n">
        <f aca="false">H280*Scoring!$C$5</f>
        <v>3.9</v>
      </c>
      <c r="N280" s="16" t="n">
        <f aca="false">IF(I280&gt;=5,1,IF(I280=4,0.75,IF(I280=3,0.5,IF(I280=2,0.25,0))))*Scoring!$C$8</f>
        <v>0.75</v>
      </c>
      <c r="O280" s="16" t="n">
        <f aca="false">IF(J280="Yes",0,Scoring!$C$6)</f>
        <v>2</v>
      </c>
      <c r="P280" s="16" t="n">
        <f aca="false">IF(L280="Yes",0,Scoring!$C$7)</f>
        <v>0.5</v>
      </c>
      <c r="Q280" s="8" t="n">
        <f aca="false">ROUND(SUM(M280:P280),2)</f>
        <v>7.15</v>
      </c>
      <c r="R280" s="8" t="str">
        <f aca="false">IF(Q280&gt;=Scoring!$C$10-0.000001,"Keep","Remove")</f>
        <v>Keep</v>
      </c>
      <c r="S280" s="8" t="s">
        <v>166</v>
      </c>
    </row>
    <row r="281" customFormat="false" ht="15" hidden="false" customHeight="false" outlineLevel="0" collapsed="false">
      <c r="A281" s="8" t="s">
        <v>2077</v>
      </c>
      <c r="B281" s="8" t="s">
        <v>2078</v>
      </c>
      <c r="C281" s="8" t="s">
        <v>178</v>
      </c>
      <c r="D281" s="8" t="s">
        <v>206</v>
      </c>
      <c r="E281" s="8" t="s">
        <v>103</v>
      </c>
      <c r="F281" s="8" t="s">
        <v>87</v>
      </c>
      <c r="G281" s="8" t="n">
        <v>2</v>
      </c>
      <c r="H281" s="13" t="n">
        <v>3</v>
      </c>
      <c r="I281" s="8" t="n">
        <v>2</v>
      </c>
      <c r="J281" s="20" t="s">
        <v>259</v>
      </c>
      <c r="K281" s="8"/>
      <c r="L281" s="20" t="s">
        <v>259</v>
      </c>
      <c r="M281" s="16" t="n">
        <f aca="false">H281*Scoring!$C$5</f>
        <v>3.9</v>
      </c>
      <c r="N281" s="16" t="n">
        <f aca="false">IF(I281&gt;=5,1,IF(I281=4,0.75,IF(I281=3,0.5,IF(I281=2,0.25,0))))*Scoring!$C$8</f>
        <v>0.25</v>
      </c>
      <c r="O281" s="16" t="n">
        <f aca="false">IF(J281="Yes",0,Scoring!$C$6)</f>
        <v>2</v>
      </c>
      <c r="P281" s="16" t="n">
        <f aca="false">IF(L281="Yes",0,Scoring!$C$7)</f>
        <v>0.5</v>
      </c>
      <c r="Q281" s="8" t="n">
        <f aca="false">ROUND(SUM(M281:P281),2)</f>
        <v>6.65</v>
      </c>
      <c r="R281" s="8" t="str">
        <f aca="false">IF(Q281&gt;=Scoring!$C$10-0.000001,"Keep","Remove")</f>
        <v>Keep</v>
      </c>
      <c r="S281" s="8" t="s">
        <v>166</v>
      </c>
    </row>
    <row r="282" customFormat="false" ht="15" hidden="false" customHeight="false" outlineLevel="0" collapsed="false">
      <c r="A282" s="8" t="s">
        <v>2084</v>
      </c>
      <c r="B282" s="8" t="s">
        <v>2085</v>
      </c>
      <c r="C282" s="8" t="s">
        <v>178</v>
      </c>
      <c r="D282" s="8" t="s">
        <v>206</v>
      </c>
      <c r="E282" s="8" t="s">
        <v>103</v>
      </c>
      <c r="F282" s="8" t="s">
        <v>87</v>
      </c>
      <c r="G282" s="8" t="n">
        <v>2</v>
      </c>
      <c r="H282" s="13" t="n">
        <v>3</v>
      </c>
      <c r="I282" s="8" t="n">
        <v>2</v>
      </c>
      <c r="J282" s="20" t="s">
        <v>259</v>
      </c>
      <c r="K282" s="8"/>
      <c r="L282" s="20" t="s">
        <v>259</v>
      </c>
      <c r="M282" s="16" t="n">
        <f aca="false">H282*Scoring!$C$5</f>
        <v>3.9</v>
      </c>
      <c r="N282" s="16" t="n">
        <f aca="false">IF(I282&gt;=5,1,IF(I282=4,0.75,IF(I282=3,0.5,IF(I282=2,0.25,0))))*Scoring!$C$8</f>
        <v>0.25</v>
      </c>
      <c r="O282" s="16" t="n">
        <f aca="false">IF(J282="Yes",0,Scoring!$C$6)</f>
        <v>2</v>
      </c>
      <c r="P282" s="16" t="n">
        <f aca="false">IF(L282="Yes",0,Scoring!$C$7)</f>
        <v>0.5</v>
      </c>
      <c r="Q282" s="8" t="n">
        <f aca="false">ROUND(SUM(M282:P282),2)</f>
        <v>6.65</v>
      </c>
      <c r="R282" s="8" t="str">
        <f aca="false">IF(Q282&gt;=Scoring!$C$10-0.000001,"Keep","Remove")</f>
        <v>Keep</v>
      </c>
      <c r="S282" s="8" t="s">
        <v>166</v>
      </c>
    </row>
    <row r="283" customFormat="false" ht="15" hidden="false" customHeight="false" outlineLevel="0" collapsed="false">
      <c r="A283" s="8" t="s">
        <v>2093</v>
      </c>
      <c r="B283" s="8" t="s">
        <v>2094</v>
      </c>
      <c r="C283" s="8" t="s">
        <v>178</v>
      </c>
      <c r="D283" s="8" t="s">
        <v>206</v>
      </c>
      <c r="E283" s="8" t="s">
        <v>103</v>
      </c>
      <c r="F283" s="8" t="s">
        <v>79</v>
      </c>
      <c r="G283" s="8" t="n">
        <v>1</v>
      </c>
      <c r="H283" s="13" t="n">
        <v>5</v>
      </c>
      <c r="I283" s="8" t="n">
        <v>4</v>
      </c>
      <c r="J283" s="20" t="s">
        <v>259</v>
      </c>
      <c r="K283" s="8"/>
      <c r="L283" s="20" t="s">
        <v>259</v>
      </c>
      <c r="M283" s="16" t="n">
        <f aca="false">H283*Scoring!$C$5</f>
        <v>6.5</v>
      </c>
      <c r="N283" s="16" t="n">
        <f aca="false">IF(I283&gt;=5,1,IF(I283=4,0.75,IF(I283=3,0.5,IF(I283=2,0.25,0))))*Scoring!$C$8</f>
        <v>0.75</v>
      </c>
      <c r="O283" s="16" t="n">
        <f aca="false">IF(J283="Yes",0,Scoring!$C$6)</f>
        <v>2</v>
      </c>
      <c r="P283" s="16" t="n">
        <f aca="false">IF(L283="Yes",0,Scoring!$C$7)</f>
        <v>0.5</v>
      </c>
      <c r="Q283" s="8" t="n">
        <f aca="false">ROUND(SUM(M283:P283),2)</f>
        <v>9.75</v>
      </c>
      <c r="R283" s="8" t="str">
        <f aca="false">IF(Q283&gt;=Scoring!$C$10-0.000001,"Keep","Remove")</f>
        <v>Keep</v>
      </c>
      <c r="S283" s="8" t="s">
        <v>166</v>
      </c>
    </row>
    <row r="284" customFormat="false" ht="15" hidden="false" customHeight="false" outlineLevel="0" collapsed="false">
      <c r="A284" s="8" t="s">
        <v>2103</v>
      </c>
      <c r="B284" s="8" t="s">
        <v>2104</v>
      </c>
      <c r="C284" s="8" t="s">
        <v>178</v>
      </c>
      <c r="D284" s="8" t="s">
        <v>206</v>
      </c>
      <c r="E284" s="8" t="s">
        <v>103</v>
      </c>
      <c r="F284" s="8" t="s">
        <v>79</v>
      </c>
      <c r="G284" s="8" t="n">
        <v>1</v>
      </c>
      <c r="H284" s="13" t="n">
        <v>4</v>
      </c>
      <c r="I284" s="8" t="n">
        <v>3</v>
      </c>
      <c r="J284" s="20" t="s">
        <v>259</v>
      </c>
      <c r="K284" s="8"/>
      <c r="L284" s="20" t="s">
        <v>259</v>
      </c>
      <c r="M284" s="16" t="n">
        <f aca="false">H284*Scoring!$C$5</f>
        <v>5.2</v>
      </c>
      <c r="N284" s="16" t="n">
        <f aca="false">IF(I284&gt;=5,1,IF(I284=4,0.75,IF(I284=3,0.5,IF(I284=2,0.25,0))))*Scoring!$C$8</f>
        <v>0.5</v>
      </c>
      <c r="O284" s="16" t="n">
        <f aca="false">IF(J284="Yes",0,Scoring!$C$6)</f>
        <v>2</v>
      </c>
      <c r="P284" s="16" t="n">
        <f aca="false">IF(L284="Yes",0,Scoring!$C$7)</f>
        <v>0.5</v>
      </c>
      <c r="Q284" s="8" t="n">
        <f aca="false">ROUND(SUM(M284:P284),2)</f>
        <v>8.2</v>
      </c>
      <c r="R284" s="8" t="str">
        <f aca="false">IF(Q284&gt;=Scoring!$C$10-0.000001,"Keep","Remove")</f>
        <v>Keep</v>
      </c>
      <c r="S284" s="8" t="s">
        <v>166</v>
      </c>
    </row>
    <row r="285" customFormat="false" ht="15" hidden="false" customHeight="false" outlineLevel="0" collapsed="false">
      <c r="A285" s="8" t="s">
        <v>7756</v>
      </c>
      <c r="B285" s="8" t="s">
        <v>7757</v>
      </c>
      <c r="C285" s="8" t="s">
        <v>178</v>
      </c>
      <c r="D285" s="8" t="s">
        <v>206</v>
      </c>
      <c r="E285" s="8" t="s">
        <v>103</v>
      </c>
      <c r="F285" s="8" t="s">
        <v>79</v>
      </c>
      <c r="G285" s="8" t="n">
        <v>2</v>
      </c>
      <c r="H285" s="13" t="n">
        <v>3</v>
      </c>
      <c r="I285" s="8" t="n">
        <v>5</v>
      </c>
      <c r="J285" s="20" t="s">
        <v>218</v>
      </c>
      <c r="K285" s="8" t="s">
        <v>8159</v>
      </c>
      <c r="L285" s="20" t="s">
        <v>259</v>
      </c>
      <c r="M285" s="16" t="n">
        <f aca="false">H285*Scoring!$C$5</f>
        <v>3.9</v>
      </c>
      <c r="N285" s="16" t="n">
        <f aca="false">IF(I285&gt;=5,1,IF(I285=4,0.75,IF(I285=3,0.5,IF(I285=2,0.25,0))))*Scoring!$C$8</f>
        <v>1</v>
      </c>
      <c r="O285" s="16" t="n">
        <f aca="false">IF(J285="Yes",0,Scoring!$C$6)</f>
        <v>0</v>
      </c>
      <c r="P285" s="16" t="n">
        <f aca="false">IF(L285="Yes",0,Scoring!$C$7)</f>
        <v>0.5</v>
      </c>
      <c r="Q285" s="8" t="n">
        <f aca="false">ROUND(SUM(M285:P285),2)</f>
        <v>5.4</v>
      </c>
      <c r="R285" s="8" t="str">
        <f aca="false">IF(Q285&gt;=Scoring!$C$10-0.000001,"Keep","Remove")</f>
        <v>Remove</v>
      </c>
      <c r="S285" s="8" t="s">
        <v>7758</v>
      </c>
    </row>
    <row r="286" customFormat="false" ht="15" hidden="false" customHeight="false" outlineLevel="0" collapsed="false">
      <c r="A286" s="8" t="s">
        <v>2111</v>
      </c>
      <c r="B286" s="8" t="s">
        <v>2112</v>
      </c>
      <c r="C286" s="8" t="s">
        <v>178</v>
      </c>
      <c r="D286" s="8" t="s">
        <v>206</v>
      </c>
      <c r="E286" s="8" t="s">
        <v>103</v>
      </c>
      <c r="F286" s="8" t="s">
        <v>82</v>
      </c>
      <c r="G286" s="8" t="n">
        <v>1</v>
      </c>
      <c r="H286" s="13" t="n">
        <v>5</v>
      </c>
      <c r="I286" s="8" t="n">
        <v>4</v>
      </c>
      <c r="J286" s="20" t="s">
        <v>259</v>
      </c>
      <c r="K286" s="8"/>
      <c r="L286" s="20" t="s">
        <v>259</v>
      </c>
      <c r="M286" s="16" t="n">
        <f aca="false">H286*Scoring!$C$5</f>
        <v>6.5</v>
      </c>
      <c r="N286" s="16" t="n">
        <f aca="false">IF(I286&gt;=5,1,IF(I286=4,0.75,IF(I286=3,0.5,IF(I286=2,0.25,0))))*Scoring!$C$8</f>
        <v>0.75</v>
      </c>
      <c r="O286" s="16" t="n">
        <f aca="false">IF(J286="Yes",0,Scoring!$C$6)</f>
        <v>2</v>
      </c>
      <c r="P286" s="16" t="n">
        <f aca="false">IF(L286="Yes",0,Scoring!$C$7)</f>
        <v>0.5</v>
      </c>
      <c r="Q286" s="8" t="n">
        <f aca="false">ROUND(SUM(M286:P286),2)</f>
        <v>9.75</v>
      </c>
      <c r="R286" s="8" t="str">
        <f aca="false">IF(Q286&gt;=Scoring!$C$10-0.000001,"Keep","Remove")</f>
        <v>Keep</v>
      </c>
      <c r="S286" s="8" t="s">
        <v>166</v>
      </c>
    </row>
    <row r="287" customFormat="false" ht="15" hidden="false" customHeight="false" outlineLevel="0" collapsed="false">
      <c r="A287" s="8" t="s">
        <v>2117</v>
      </c>
      <c r="B287" s="8" t="s">
        <v>2118</v>
      </c>
      <c r="C287" s="8" t="s">
        <v>178</v>
      </c>
      <c r="D287" s="8" t="s">
        <v>206</v>
      </c>
      <c r="E287" s="8" t="s">
        <v>103</v>
      </c>
      <c r="F287" s="8" t="s">
        <v>82</v>
      </c>
      <c r="G287" s="8" t="n">
        <v>2</v>
      </c>
      <c r="H287" s="13" t="n">
        <v>3</v>
      </c>
      <c r="I287" s="8" t="n">
        <v>3</v>
      </c>
      <c r="J287" s="20" t="s">
        <v>259</v>
      </c>
      <c r="K287" s="8"/>
      <c r="L287" s="20" t="s">
        <v>259</v>
      </c>
      <c r="M287" s="16" t="n">
        <f aca="false">H287*Scoring!$C$5</f>
        <v>3.9</v>
      </c>
      <c r="N287" s="16" t="n">
        <f aca="false">IF(I287&gt;=5,1,IF(I287=4,0.75,IF(I287=3,0.5,IF(I287=2,0.25,0))))*Scoring!$C$8</f>
        <v>0.5</v>
      </c>
      <c r="O287" s="16" t="n">
        <f aca="false">IF(J287="Yes",0,Scoring!$C$6)</f>
        <v>2</v>
      </c>
      <c r="P287" s="16" t="n">
        <f aca="false">IF(L287="Yes",0,Scoring!$C$7)</f>
        <v>0.5</v>
      </c>
      <c r="Q287" s="8" t="n">
        <f aca="false">ROUND(SUM(M287:P287),2)</f>
        <v>6.9</v>
      </c>
      <c r="R287" s="8" t="str">
        <f aca="false">IF(Q287&gt;=Scoring!$C$10-0.000001,"Keep","Remove")</f>
        <v>Keep</v>
      </c>
      <c r="S287" s="8" t="s">
        <v>166</v>
      </c>
    </row>
    <row r="288" customFormat="false" ht="15" hidden="false" customHeight="false" outlineLevel="0" collapsed="false">
      <c r="A288" s="8" t="s">
        <v>2124</v>
      </c>
      <c r="B288" s="8" t="s">
        <v>2125</v>
      </c>
      <c r="C288" s="8" t="s">
        <v>178</v>
      </c>
      <c r="D288" s="8" t="s">
        <v>206</v>
      </c>
      <c r="E288" s="8" t="s">
        <v>103</v>
      </c>
      <c r="F288" s="8" t="s">
        <v>84</v>
      </c>
      <c r="G288" s="8" t="n">
        <v>1</v>
      </c>
      <c r="H288" s="13" t="n">
        <v>5</v>
      </c>
      <c r="I288" s="8" t="n">
        <v>4</v>
      </c>
      <c r="J288" s="20" t="s">
        <v>259</v>
      </c>
      <c r="K288" s="8"/>
      <c r="L288" s="20" t="s">
        <v>259</v>
      </c>
      <c r="M288" s="16" t="n">
        <f aca="false">H288*Scoring!$C$5</f>
        <v>6.5</v>
      </c>
      <c r="N288" s="16" t="n">
        <f aca="false">IF(I288&gt;=5,1,IF(I288=4,0.75,IF(I288=3,0.5,IF(I288=2,0.25,0))))*Scoring!$C$8</f>
        <v>0.75</v>
      </c>
      <c r="O288" s="16" t="n">
        <f aca="false">IF(J288="Yes",0,Scoring!$C$6)</f>
        <v>2</v>
      </c>
      <c r="P288" s="16" t="n">
        <f aca="false">IF(L288="Yes",0,Scoring!$C$7)</f>
        <v>0.5</v>
      </c>
      <c r="Q288" s="8" t="n">
        <f aca="false">ROUND(SUM(M288:P288),2)</f>
        <v>9.75</v>
      </c>
      <c r="R288" s="8" t="str">
        <f aca="false">IF(Q288&gt;=Scoring!$C$10-0.000001,"Keep","Remove")</f>
        <v>Keep</v>
      </c>
      <c r="S288" s="8" t="s">
        <v>166</v>
      </c>
    </row>
    <row r="289" customFormat="false" ht="15" hidden="false" customHeight="false" outlineLevel="0" collapsed="false">
      <c r="A289" s="8" t="s">
        <v>2133</v>
      </c>
      <c r="B289" s="8" t="s">
        <v>2134</v>
      </c>
      <c r="C289" s="8" t="s">
        <v>178</v>
      </c>
      <c r="D289" s="8" t="s">
        <v>206</v>
      </c>
      <c r="E289" s="8" t="s">
        <v>103</v>
      </c>
      <c r="F289" s="8" t="s">
        <v>84</v>
      </c>
      <c r="G289" s="8" t="n">
        <v>1</v>
      </c>
      <c r="H289" s="13" t="n">
        <v>5</v>
      </c>
      <c r="I289" s="8" t="n">
        <v>5</v>
      </c>
      <c r="J289" s="20" t="s">
        <v>259</v>
      </c>
      <c r="K289" s="8"/>
      <c r="L289" s="20" t="s">
        <v>259</v>
      </c>
      <c r="M289" s="16" t="n">
        <f aca="false">H289*Scoring!$C$5</f>
        <v>6.5</v>
      </c>
      <c r="N289" s="16" t="n">
        <f aca="false">IF(I289&gt;=5,1,IF(I289=4,0.75,IF(I289=3,0.5,IF(I289=2,0.25,0))))*Scoring!$C$8</f>
        <v>1</v>
      </c>
      <c r="O289" s="16" t="n">
        <f aca="false">IF(J289="Yes",0,Scoring!$C$6)</f>
        <v>2</v>
      </c>
      <c r="P289" s="16" t="n">
        <f aca="false">IF(L289="Yes",0,Scoring!$C$7)</f>
        <v>0.5</v>
      </c>
      <c r="Q289" s="8" t="n">
        <f aca="false">ROUND(SUM(M289:P289),2)</f>
        <v>10</v>
      </c>
      <c r="R289" s="8" t="str">
        <f aca="false">IF(Q289&gt;=Scoring!$C$10-0.000001,"Keep","Remove")</f>
        <v>Keep</v>
      </c>
      <c r="S289" s="8" t="s">
        <v>166</v>
      </c>
    </row>
    <row r="290" customFormat="false" ht="15" hidden="false" customHeight="false" outlineLevel="0" collapsed="false">
      <c r="A290" s="8" t="s">
        <v>2144</v>
      </c>
      <c r="B290" s="8" t="s">
        <v>2145</v>
      </c>
      <c r="C290" s="8" t="s">
        <v>178</v>
      </c>
      <c r="D290" s="8" t="s">
        <v>206</v>
      </c>
      <c r="E290" s="8" t="s">
        <v>103</v>
      </c>
      <c r="F290" s="8" t="s">
        <v>80</v>
      </c>
      <c r="G290" s="8" t="n">
        <v>1</v>
      </c>
      <c r="H290" s="13" t="n">
        <v>5</v>
      </c>
      <c r="I290" s="8" t="n">
        <v>4</v>
      </c>
      <c r="J290" s="20" t="s">
        <v>259</v>
      </c>
      <c r="K290" s="8"/>
      <c r="L290" s="20" t="s">
        <v>259</v>
      </c>
      <c r="M290" s="16" t="n">
        <f aca="false">H290*Scoring!$C$5</f>
        <v>6.5</v>
      </c>
      <c r="N290" s="16" t="n">
        <f aca="false">IF(I290&gt;=5,1,IF(I290=4,0.75,IF(I290=3,0.5,IF(I290=2,0.25,0))))*Scoring!$C$8</f>
        <v>0.75</v>
      </c>
      <c r="O290" s="16" t="n">
        <f aca="false">IF(J290="Yes",0,Scoring!$C$6)</f>
        <v>2</v>
      </c>
      <c r="P290" s="16" t="n">
        <f aca="false">IF(L290="Yes",0,Scoring!$C$7)</f>
        <v>0.5</v>
      </c>
      <c r="Q290" s="8" t="n">
        <f aca="false">ROUND(SUM(M290:P290),2)</f>
        <v>9.75</v>
      </c>
      <c r="R290" s="8" t="str">
        <f aca="false">IF(Q290&gt;=Scoring!$C$10-0.000001,"Keep","Remove")</f>
        <v>Keep</v>
      </c>
      <c r="S290" s="8" t="s">
        <v>166</v>
      </c>
    </row>
    <row r="291" customFormat="false" ht="15" hidden="false" customHeight="false" outlineLevel="0" collapsed="false">
      <c r="A291" s="8" t="s">
        <v>2153</v>
      </c>
      <c r="B291" s="8" t="s">
        <v>2154</v>
      </c>
      <c r="C291" s="8" t="s">
        <v>178</v>
      </c>
      <c r="D291" s="8" t="s">
        <v>206</v>
      </c>
      <c r="E291" s="8" t="s">
        <v>103</v>
      </c>
      <c r="F291" s="8" t="s">
        <v>80</v>
      </c>
      <c r="G291" s="8" t="n">
        <v>1</v>
      </c>
      <c r="H291" s="13" t="n">
        <v>5</v>
      </c>
      <c r="I291" s="8" t="n">
        <v>3</v>
      </c>
      <c r="J291" s="20" t="s">
        <v>259</v>
      </c>
      <c r="K291" s="8"/>
      <c r="L291" s="20" t="s">
        <v>259</v>
      </c>
      <c r="M291" s="16" t="n">
        <f aca="false">H291*Scoring!$C$5</f>
        <v>6.5</v>
      </c>
      <c r="N291" s="16" t="n">
        <f aca="false">IF(I291&gt;=5,1,IF(I291=4,0.75,IF(I291=3,0.5,IF(I291=2,0.25,0))))*Scoring!$C$8</f>
        <v>0.5</v>
      </c>
      <c r="O291" s="16" t="n">
        <f aca="false">IF(J291="Yes",0,Scoring!$C$6)</f>
        <v>2</v>
      </c>
      <c r="P291" s="16" t="n">
        <f aca="false">IF(L291="Yes",0,Scoring!$C$7)</f>
        <v>0.5</v>
      </c>
      <c r="Q291" s="8" t="n">
        <f aca="false">ROUND(SUM(M291:P291),2)</f>
        <v>9.5</v>
      </c>
      <c r="R291" s="8" t="str">
        <f aca="false">IF(Q291&gt;=Scoring!$C$10-0.000001,"Keep","Remove")</f>
        <v>Keep</v>
      </c>
      <c r="S291" s="8" t="s">
        <v>166</v>
      </c>
    </row>
    <row r="292" customFormat="false" ht="15" hidden="false" customHeight="false" outlineLevel="0" collapsed="false">
      <c r="A292" s="8" t="s">
        <v>2162</v>
      </c>
      <c r="B292" s="8" t="s">
        <v>2163</v>
      </c>
      <c r="C292" s="8" t="s">
        <v>178</v>
      </c>
      <c r="D292" s="8" t="s">
        <v>206</v>
      </c>
      <c r="E292" s="8" t="s">
        <v>103</v>
      </c>
      <c r="F292" s="8" t="s">
        <v>80</v>
      </c>
      <c r="G292" s="8" t="n">
        <v>2</v>
      </c>
      <c r="H292" s="13" t="n">
        <v>3</v>
      </c>
      <c r="I292" s="8" t="n">
        <v>2</v>
      </c>
      <c r="J292" s="20" t="s">
        <v>259</v>
      </c>
      <c r="K292" s="8"/>
      <c r="L292" s="20" t="s">
        <v>259</v>
      </c>
      <c r="M292" s="16" t="n">
        <f aca="false">H292*Scoring!$C$5</f>
        <v>3.9</v>
      </c>
      <c r="N292" s="16" t="n">
        <f aca="false">IF(I292&gt;=5,1,IF(I292=4,0.75,IF(I292=3,0.5,IF(I292=2,0.25,0))))*Scoring!$C$8</f>
        <v>0.25</v>
      </c>
      <c r="O292" s="16" t="n">
        <f aca="false">IF(J292="Yes",0,Scoring!$C$6)</f>
        <v>2</v>
      </c>
      <c r="P292" s="16" t="n">
        <f aca="false">IF(L292="Yes",0,Scoring!$C$7)</f>
        <v>0.5</v>
      </c>
      <c r="Q292" s="8" t="n">
        <f aca="false">ROUND(SUM(M292:P292),2)</f>
        <v>6.65</v>
      </c>
      <c r="R292" s="8" t="str">
        <f aca="false">IF(Q292&gt;=Scoring!$C$10-0.000001,"Keep","Remove")</f>
        <v>Keep</v>
      </c>
      <c r="S292" s="8" t="s">
        <v>166</v>
      </c>
    </row>
    <row r="293" customFormat="false" ht="15" hidden="false" customHeight="false" outlineLevel="0" collapsed="false">
      <c r="A293" s="8" t="s">
        <v>2169</v>
      </c>
      <c r="B293" s="8" t="s">
        <v>2170</v>
      </c>
      <c r="C293" s="8" t="s">
        <v>178</v>
      </c>
      <c r="D293" s="8" t="s">
        <v>206</v>
      </c>
      <c r="E293" s="8" t="s">
        <v>103</v>
      </c>
      <c r="F293" s="8" t="s">
        <v>80</v>
      </c>
      <c r="G293" s="8" t="n">
        <v>2</v>
      </c>
      <c r="H293" s="13" t="n">
        <v>3</v>
      </c>
      <c r="I293" s="8" t="n">
        <v>3</v>
      </c>
      <c r="J293" s="20" t="s">
        <v>259</v>
      </c>
      <c r="K293" s="8"/>
      <c r="L293" s="20" t="s">
        <v>259</v>
      </c>
      <c r="M293" s="16" t="n">
        <f aca="false">H293*Scoring!$C$5</f>
        <v>3.9</v>
      </c>
      <c r="N293" s="16" t="n">
        <f aca="false">IF(I293&gt;=5,1,IF(I293=4,0.75,IF(I293=3,0.5,IF(I293=2,0.25,0))))*Scoring!$C$8</f>
        <v>0.5</v>
      </c>
      <c r="O293" s="16" t="n">
        <f aca="false">IF(J293="Yes",0,Scoring!$C$6)</f>
        <v>2</v>
      </c>
      <c r="P293" s="16" t="n">
        <f aca="false">IF(L293="Yes",0,Scoring!$C$7)</f>
        <v>0.5</v>
      </c>
      <c r="Q293" s="8" t="n">
        <f aca="false">ROUND(SUM(M293:P293),2)</f>
        <v>6.9</v>
      </c>
      <c r="R293" s="8" t="str">
        <f aca="false">IF(Q293&gt;=Scoring!$C$10-0.000001,"Keep","Remove")</f>
        <v>Keep</v>
      </c>
      <c r="S293" s="8" t="s">
        <v>166</v>
      </c>
    </row>
    <row r="294" customFormat="false" ht="15" hidden="false" customHeight="false" outlineLevel="0" collapsed="false">
      <c r="A294" s="8" t="s">
        <v>2176</v>
      </c>
      <c r="B294" s="8" t="s">
        <v>2177</v>
      </c>
      <c r="C294" s="8" t="s">
        <v>178</v>
      </c>
      <c r="D294" s="8" t="s">
        <v>206</v>
      </c>
      <c r="E294" s="8" t="s">
        <v>103</v>
      </c>
      <c r="F294" s="8" t="s">
        <v>84</v>
      </c>
      <c r="G294" s="8" t="n">
        <v>1</v>
      </c>
      <c r="H294" s="13" t="n">
        <v>5</v>
      </c>
      <c r="I294" s="8" t="n">
        <v>3</v>
      </c>
      <c r="J294" s="20" t="s">
        <v>259</v>
      </c>
      <c r="K294" s="8"/>
      <c r="L294" s="20" t="s">
        <v>259</v>
      </c>
      <c r="M294" s="16" t="n">
        <f aca="false">H294*Scoring!$C$5</f>
        <v>6.5</v>
      </c>
      <c r="N294" s="16" t="n">
        <f aca="false">IF(I294&gt;=5,1,IF(I294=4,0.75,IF(I294=3,0.5,IF(I294=2,0.25,0))))*Scoring!$C$8</f>
        <v>0.5</v>
      </c>
      <c r="O294" s="16" t="n">
        <f aca="false">IF(J294="Yes",0,Scoring!$C$6)</f>
        <v>2</v>
      </c>
      <c r="P294" s="16" t="n">
        <f aca="false">IF(L294="Yes",0,Scoring!$C$7)</f>
        <v>0.5</v>
      </c>
      <c r="Q294" s="8" t="n">
        <f aca="false">ROUND(SUM(M294:P294),2)</f>
        <v>9.5</v>
      </c>
      <c r="R294" s="8" t="str">
        <f aca="false">IF(Q294&gt;=Scoring!$C$10-0.000001,"Keep","Remove")</f>
        <v>Keep</v>
      </c>
      <c r="S294" s="8" t="s">
        <v>166</v>
      </c>
    </row>
    <row r="295" customFormat="false" ht="15" hidden="false" customHeight="false" outlineLevel="0" collapsed="false">
      <c r="A295" s="8" t="s">
        <v>2185</v>
      </c>
      <c r="B295" s="8" t="s">
        <v>2186</v>
      </c>
      <c r="C295" s="8" t="s">
        <v>178</v>
      </c>
      <c r="D295" s="8" t="s">
        <v>206</v>
      </c>
      <c r="E295" s="8" t="s">
        <v>103</v>
      </c>
      <c r="F295" s="8" t="s">
        <v>84</v>
      </c>
      <c r="G295" s="8" t="n">
        <v>1</v>
      </c>
      <c r="H295" s="13" t="n">
        <v>4</v>
      </c>
      <c r="I295" s="8" t="n">
        <v>2</v>
      </c>
      <c r="J295" s="20" t="s">
        <v>259</v>
      </c>
      <c r="K295" s="8"/>
      <c r="L295" s="20" t="s">
        <v>259</v>
      </c>
      <c r="M295" s="16" t="n">
        <f aca="false">H295*Scoring!$C$5</f>
        <v>5.2</v>
      </c>
      <c r="N295" s="16" t="n">
        <f aca="false">IF(I295&gt;=5,1,IF(I295=4,0.75,IF(I295=3,0.5,IF(I295=2,0.25,0))))*Scoring!$C$8</f>
        <v>0.25</v>
      </c>
      <c r="O295" s="16" t="n">
        <f aca="false">IF(J295="Yes",0,Scoring!$C$6)</f>
        <v>2</v>
      </c>
      <c r="P295" s="16" t="n">
        <f aca="false">IF(L295="Yes",0,Scoring!$C$7)</f>
        <v>0.5</v>
      </c>
      <c r="Q295" s="8" t="n">
        <f aca="false">ROUND(SUM(M295:P295),2)</f>
        <v>7.95</v>
      </c>
      <c r="R295" s="8" t="str">
        <f aca="false">IF(Q295&gt;=Scoring!$C$10-0.000001,"Keep","Remove")</f>
        <v>Keep</v>
      </c>
      <c r="S295" s="8" t="s">
        <v>166</v>
      </c>
    </row>
    <row r="296" customFormat="false" ht="15" hidden="false" customHeight="false" outlineLevel="0" collapsed="false">
      <c r="A296" s="8" t="s">
        <v>2195</v>
      </c>
      <c r="B296" s="8" t="s">
        <v>2196</v>
      </c>
      <c r="C296" s="8" t="s">
        <v>178</v>
      </c>
      <c r="D296" s="8" t="s">
        <v>206</v>
      </c>
      <c r="E296" s="8" t="s">
        <v>103</v>
      </c>
      <c r="F296" s="8" t="s">
        <v>84</v>
      </c>
      <c r="G296" s="8" t="n">
        <v>1</v>
      </c>
      <c r="H296" s="13" t="n">
        <v>4</v>
      </c>
      <c r="I296" s="8" t="n">
        <v>3</v>
      </c>
      <c r="J296" s="20" t="s">
        <v>259</v>
      </c>
      <c r="K296" s="8"/>
      <c r="L296" s="20" t="s">
        <v>259</v>
      </c>
      <c r="M296" s="16" t="n">
        <f aca="false">H296*Scoring!$C$5</f>
        <v>5.2</v>
      </c>
      <c r="N296" s="16" t="n">
        <f aca="false">IF(I296&gt;=5,1,IF(I296=4,0.75,IF(I296=3,0.5,IF(I296=2,0.25,0))))*Scoring!$C$8</f>
        <v>0.5</v>
      </c>
      <c r="O296" s="16" t="n">
        <f aca="false">IF(J296="Yes",0,Scoring!$C$6)</f>
        <v>2</v>
      </c>
      <c r="P296" s="16" t="n">
        <f aca="false">IF(L296="Yes",0,Scoring!$C$7)</f>
        <v>0.5</v>
      </c>
      <c r="Q296" s="8" t="n">
        <f aca="false">ROUND(SUM(M296:P296),2)</f>
        <v>8.2</v>
      </c>
      <c r="R296" s="8" t="str">
        <f aca="false">IF(Q296&gt;=Scoring!$C$10-0.000001,"Keep","Remove")</f>
        <v>Keep</v>
      </c>
      <c r="S296" s="8" t="s">
        <v>166</v>
      </c>
    </row>
    <row r="297" customFormat="false" ht="15" hidden="false" customHeight="false" outlineLevel="0" collapsed="false">
      <c r="A297" s="8" t="s">
        <v>2204</v>
      </c>
      <c r="B297" s="8" t="s">
        <v>2205</v>
      </c>
      <c r="C297" s="8" t="s">
        <v>178</v>
      </c>
      <c r="D297" s="8" t="s">
        <v>206</v>
      </c>
      <c r="E297" s="8" t="s">
        <v>103</v>
      </c>
      <c r="F297" s="8" t="s">
        <v>84</v>
      </c>
      <c r="G297" s="8" t="n">
        <v>1</v>
      </c>
      <c r="H297" s="13" t="n">
        <v>4</v>
      </c>
      <c r="I297" s="8" t="n">
        <v>3</v>
      </c>
      <c r="J297" s="20" t="s">
        <v>259</v>
      </c>
      <c r="K297" s="8"/>
      <c r="L297" s="20" t="s">
        <v>259</v>
      </c>
      <c r="M297" s="16" t="n">
        <f aca="false">H297*Scoring!$C$5</f>
        <v>5.2</v>
      </c>
      <c r="N297" s="16" t="n">
        <f aca="false">IF(I297&gt;=5,1,IF(I297=4,0.75,IF(I297=3,0.5,IF(I297=2,0.25,0))))*Scoring!$C$8</f>
        <v>0.5</v>
      </c>
      <c r="O297" s="16" t="n">
        <f aca="false">IF(J297="Yes",0,Scoring!$C$6)</f>
        <v>2</v>
      </c>
      <c r="P297" s="16" t="n">
        <f aca="false">IF(L297="Yes",0,Scoring!$C$7)</f>
        <v>0.5</v>
      </c>
      <c r="Q297" s="8" t="n">
        <f aca="false">ROUND(SUM(M297:P297),2)</f>
        <v>8.2</v>
      </c>
      <c r="R297" s="8" t="str">
        <f aca="false">IF(Q297&gt;=Scoring!$C$10-0.000001,"Keep","Remove")</f>
        <v>Keep</v>
      </c>
      <c r="S297" s="8" t="s">
        <v>166</v>
      </c>
    </row>
    <row r="298" customFormat="false" ht="15" hidden="false" customHeight="false" outlineLevel="0" collapsed="false">
      <c r="A298" s="8" t="s">
        <v>2212</v>
      </c>
      <c r="B298" s="8" t="s">
        <v>2213</v>
      </c>
      <c r="C298" s="8" t="s">
        <v>178</v>
      </c>
      <c r="D298" s="8" t="s">
        <v>206</v>
      </c>
      <c r="E298" s="8" t="s">
        <v>103</v>
      </c>
      <c r="F298" s="8" t="s">
        <v>84</v>
      </c>
      <c r="G298" s="8" t="n">
        <v>2</v>
      </c>
      <c r="H298" s="13" t="n">
        <v>3</v>
      </c>
      <c r="I298" s="8" t="n">
        <v>4</v>
      </c>
      <c r="J298" s="20" t="s">
        <v>259</v>
      </c>
      <c r="K298" s="8"/>
      <c r="L298" s="20" t="s">
        <v>259</v>
      </c>
      <c r="M298" s="16" t="n">
        <f aca="false">H298*Scoring!$C$5</f>
        <v>3.9</v>
      </c>
      <c r="N298" s="16" t="n">
        <f aca="false">IF(I298&gt;=5,1,IF(I298=4,0.75,IF(I298=3,0.5,IF(I298=2,0.25,0))))*Scoring!$C$8</f>
        <v>0.75</v>
      </c>
      <c r="O298" s="16" t="n">
        <f aca="false">IF(J298="Yes",0,Scoring!$C$6)</f>
        <v>2</v>
      </c>
      <c r="P298" s="16" t="n">
        <f aca="false">IF(L298="Yes",0,Scoring!$C$7)</f>
        <v>0.5</v>
      </c>
      <c r="Q298" s="8" t="n">
        <f aca="false">ROUND(SUM(M298:P298),2)</f>
        <v>7.15</v>
      </c>
      <c r="R298" s="8" t="str">
        <f aca="false">IF(Q298&gt;=Scoring!$C$10-0.000001,"Keep","Remove")</f>
        <v>Keep</v>
      </c>
      <c r="S298" s="8" t="s">
        <v>166</v>
      </c>
    </row>
    <row r="299" customFormat="false" ht="15" hidden="false" customHeight="false" outlineLevel="0" collapsed="false">
      <c r="A299" s="8" t="s">
        <v>2219</v>
      </c>
      <c r="B299" s="8" t="s">
        <v>2220</v>
      </c>
      <c r="C299" s="8" t="s">
        <v>178</v>
      </c>
      <c r="D299" s="8" t="s">
        <v>206</v>
      </c>
      <c r="E299" s="8" t="s">
        <v>103</v>
      </c>
      <c r="F299" s="8" t="s">
        <v>84</v>
      </c>
      <c r="G299" s="8" t="n">
        <v>2</v>
      </c>
      <c r="H299" s="13" t="n">
        <v>3</v>
      </c>
      <c r="I299" s="8" t="n">
        <v>3</v>
      </c>
      <c r="J299" s="20" t="s">
        <v>259</v>
      </c>
      <c r="K299" s="8"/>
      <c r="L299" s="20" t="s">
        <v>259</v>
      </c>
      <c r="M299" s="16" t="n">
        <f aca="false">H299*Scoring!$C$5</f>
        <v>3.9</v>
      </c>
      <c r="N299" s="16" t="n">
        <f aca="false">IF(I299&gt;=5,1,IF(I299=4,0.75,IF(I299=3,0.5,IF(I299=2,0.25,0))))*Scoring!$C$8</f>
        <v>0.5</v>
      </c>
      <c r="O299" s="16" t="n">
        <f aca="false">IF(J299="Yes",0,Scoring!$C$6)</f>
        <v>2</v>
      </c>
      <c r="P299" s="16" t="n">
        <f aca="false">IF(L299="Yes",0,Scoring!$C$7)</f>
        <v>0.5</v>
      </c>
      <c r="Q299" s="8" t="n">
        <f aca="false">ROUND(SUM(M299:P299),2)</f>
        <v>6.9</v>
      </c>
      <c r="R299" s="8" t="str">
        <f aca="false">IF(Q299&gt;=Scoring!$C$10-0.000001,"Keep","Remove")</f>
        <v>Keep</v>
      </c>
      <c r="S299" s="8" t="s">
        <v>166</v>
      </c>
    </row>
    <row r="300" customFormat="false" ht="15" hidden="false" customHeight="false" outlineLevel="0" collapsed="false">
      <c r="A300" s="8" t="s">
        <v>2228</v>
      </c>
      <c r="B300" s="8" t="s">
        <v>2229</v>
      </c>
      <c r="C300" s="8" t="s">
        <v>178</v>
      </c>
      <c r="D300" s="8" t="s">
        <v>206</v>
      </c>
      <c r="E300" s="8" t="s">
        <v>103</v>
      </c>
      <c r="F300" s="8" t="s">
        <v>80</v>
      </c>
      <c r="G300" s="8" t="n">
        <v>2</v>
      </c>
      <c r="H300" s="13" t="n">
        <v>3</v>
      </c>
      <c r="I300" s="8" t="n">
        <v>5</v>
      </c>
      <c r="J300" s="20" t="s">
        <v>259</v>
      </c>
      <c r="K300" s="8"/>
      <c r="L300" s="20" t="s">
        <v>259</v>
      </c>
      <c r="M300" s="16" t="n">
        <f aca="false">H300*Scoring!$C$5</f>
        <v>3.9</v>
      </c>
      <c r="N300" s="16" t="n">
        <f aca="false">IF(I300&gt;=5,1,IF(I300=4,0.75,IF(I300=3,0.5,IF(I300=2,0.25,0))))*Scoring!$C$8</f>
        <v>1</v>
      </c>
      <c r="O300" s="16" t="n">
        <f aca="false">IF(J300="Yes",0,Scoring!$C$6)</f>
        <v>2</v>
      </c>
      <c r="P300" s="16" t="n">
        <f aca="false">IF(L300="Yes",0,Scoring!$C$7)</f>
        <v>0.5</v>
      </c>
      <c r="Q300" s="8" t="n">
        <f aca="false">ROUND(SUM(M300:P300),2)</f>
        <v>7.4</v>
      </c>
      <c r="R300" s="8" t="str">
        <f aca="false">IF(Q300&gt;=Scoring!$C$10-0.000001,"Keep","Remove")</f>
        <v>Keep</v>
      </c>
      <c r="S300" s="8" t="s">
        <v>166</v>
      </c>
    </row>
    <row r="301" customFormat="false" ht="15" hidden="false" customHeight="false" outlineLevel="0" collapsed="false">
      <c r="A301" s="8" t="s">
        <v>2237</v>
      </c>
      <c r="B301" s="8" t="s">
        <v>2238</v>
      </c>
      <c r="C301" s="8" t="s">
        <v>178</v>
      </c>
      <c r="D301" s="8" t="s">
        <v>206</v>
      </c>
      <c r="E301" s="8" t="s">
        <v>103</v>
      </c>
      <c r="F301" s="8" t="s">
        <v>80</v>
      </c>
      <c r="G301" s="8" t="n">
        <v>2</v>
      </c>
      <c r="H301" s="13" t="n">
        <v>3</v>
      </c>
      <c r="I301" s="8" t="n">
        <v>5</v>
      </c>
      <c r="J301" s="20" t="s">
        <v>259</v>
      </c>
      <c r="K301" s="8"/>
      <c r="L301" s="20" t="s">
        <v>259</v>
      </c>
      <c r="M301" s="16" t="n">
        <f aca="false">H301*Scoring!$C$5</f>
        <v>3.9</v>
      </c>
      <c r="N301" s="16" t="n">
        <f aca="false">IF(I301&gt;=5,1,IF(I301=4,0.75,IF(I301=3,0.5,IF(I301=2,0.25,0))))*Scoring!$C$8</f>
        <v>1</v>
      </c>
      <c r="O301" s="16" t="n">
        <f aca="false">IF(J301="Yes",0,Scoring!$C$6)</f>
        <v>2</v>
      </c>
      <c r="P301" s="16" t="n">
        <f aca="false">IF(L301="Yes",0,Scoring!$C$7)</f>
        <v>0.5</v>
      </c>
      <c r="Q301" s="8" t="n">
        <f aca="false">ROUND(SUM(M301:P301),2)</f>
        <v>7.4</v>
      </c>
      <c r="R301" s="8" t="str">
        <f aca="false">IF(Q301&gt;=Scoring!$C$10-0.000001,"Keep","Remove")</f>
        <v>Keep</v>
      </c>
      <c r="S301" s="8" t="s">
        <v>166</v>
      </c>
    </row>
    <row r="302" customFormat="false" ht="15" hidden="false" customHeight="false" outlineLevel="0" collapsed="false">
      <c r="A302" s="8" t="s">
        <v>2245</v>
      </c>
      <c r="B302" s="8" t="s">
        <v>2246</v>
      </c>
      <c r="C302" s="8" t="s">
        <v>178</v>
      </c>
      <c r="D302" s="8" t="s">
        <v>206</v>
      </c>
      <c r="E302" s="8" t="s">
        <v>103</v>
      </c>
      <c r="F302" s="8" t="s">
        <v>84</v>
      </c>
      <c r="G302" s="8" t="n">
        <v>2</v>
      </c>
      <c r="H302" s="13" t="n">
        <v>3</v>
      </c>
      <c r="I302" s="8" t="n">
        <v>4</v>
      </c>
      <c r="J302" s="20" t="s">
        <v>259</v>
      </c>
      <c r="K302" s="8"/>
      <c r="L302" s="20" t="s">
        <v>259</v>
      </c>
      <c r="M302" s="16" t="n">
        <f aca="false">H302*Scoring!$C$5</f>
        <v>3.9</v>
      </c>
      <c r="N302" s="16" t="n">
        <f aca="false">IF(I302&gt;=5,1,IF(I302=4,0.75,IF(I302=3,0.5,IF(I302=2,0.25,0))))*Scoring!$C$8</f>
        <v>0.75</v>
      </c>
      <c r="O302" s="16" t="n">
        <f aca="false">IF(J302="Yes",0,Scoring!$C$6)</f>
        <v>2</v>
      </c>
      <c r="P302" s="16" t="n">
        <f aca="false">IF(L302="Yes",0,Scoring!$C$7)</f>
        <v>0.5</v>
      </c>
      <c r="Q302" s="8" t="n">
        <f aca="false">ROUND(SUM(M302:P302),2)</f>
        <v>7.15</v>
      </c>
      <c r="R302" s="8" t="str">
        <f aca="false">IF(Q302&gt;=Scoring!$C$10-0.000001,"Keep","Remove")</f>
        <v>Keep</v>
      </c>
      <c r="S302" s="8" t="s">
        <v>166</v>
      </c>
    </row>
    <row r="303" customFormat="false" ht="15" hidden="false" customHeight="false" outlineLevel="0" collapsed="false">
      <c r="A303" s="8" t="s">
        <v>7787</v>
      </c>
      <c r="B303" s="8" t="s">
        <v>7788</v>
      </c>
      <c r="C303" s="8" t="s">
        <v>178</v>
      </c>
      <c r="D303" s="8" t="s">
        <v>206</v>
      </c>
      <c r="E303" s="8" t="s">
        <v>103</v>
      </c>
      <c r="F303" s="8" t="s">
        <v>79</v>
      </c>
      <c r="G303" s="8" t="n">
        <v>3</v>
      </c>
      <c r="H303" s="13" t="n">
        <v>2</v>
      </c>
      <c r="I303" s="8" t="n">
        <v>2</v>
      </c>
      <c r="J303" s="20" t="s">
        <v>259</v>
      </c>
      <c r="K303" s="8"/>
      <c r="L303" s="20" t="s">
        <v>259</v>
      </c>
      <c r="M303" s="16" t="n">
        <f aca="false">H303*Scoring!$C$5</f>
        <v>2.6</v>
      </c>
      <c r="N303" s="16" t="n">
        <f aca="false">IF(I303&gt;=5,1,IF(I303=4,0.75,IF(I303=3,0.5,IF(I303=2,0.25,0))))*Scoring!$C$8</f>
        <v>0.25</v>
      </c>
      <c r="O303" s="16" t="n">
        <f aca="false">IF(J303="Yes",0,Scoring!$C$6)</f>
        <v>2</v>
      </c>
      <c r="P303" s="16" t="n">
        <f aca="false">IF(L303="Yes",0,Scoring!$C$7)</f>
        <v>0.5</v>
      </c>
      <c r="Q303" s="8" t="n">
        <f aca="false">ROUND(SUM(M303:P303),2)</f>
        <v>5.35</v>
      </c>
      <c r="R303" s="8" t="str">
        <f aca="false">IF(Q303&gt;=Scoring!$C$10-0.000001,"Keep","Remove")</f>
        <v>Remove</v>
      </c>
      <c r="S303" s="8" t="s">
        <v>7243</v>
      </c>
    </row>
    <row r="304" customFormat="false" ht="15" hidden="false" customHeight="false" outlineLevel="0" collapsed="false">
      <c r="A304" s="8" t="s">
        <v>7810</v>
      </c>
      <c r="B304" s="8" t="s">
        <v>7811</v>
      </c>
      <c r="C304" s="8" t="s">
        <v>178</v>
      </c>
      <c r="D304" s="8" t="s">
        <v>206</v>
      </c>
      <c r="E304" s="8" t="s">
        <v>104</v>
      </c>
      <c r="F304" s="8" t="s">
        <v>79</v>
      </c>
      <c r="G304" s="8" t="n">
        <v>2</v>
      </c>
      <c r="H304" s="13" t="n">
        <v>3</v>
      </c>
      <c r="I304" s="8" t="n">
        <v>4</v>
      </c>
      <c r="J304" s="20" t="s">
        <v>218</v>
      </c>
      <c r="K304" s="8" t="s">
        <v>8160</v>
      </c>
      <c r="L304" s="20" t="s">
        <v>259</v>
      </c>
      <c r="M304" s="16" t="n">
        <f aca="false">H304*Scoring!$C$5</f>
        <v>3.9</v>
      </c>
      <c r="N304" s="16" t="n">
        <f aca="false">IF(I304&gt;=5,1,IF(I304=4,0.75,IF(I304=3,0.5,IF(I304=2,0.25,0))))*Scoring!$C$8</f>
        <v>0.75</v>
      </c>
      <c r="O304" s="16" t="n">
        <f aca="false">IF(J304="Yes",0,Scoring!$C$6)</f>
        <v>0</v>
      </c>
      <c r="P304" s="16" t="n">
        <f aca="false">IF(L304="Yes",0,Scoring!$C$7)</f>
        <v>0.5</v>
      </c>
      <c r="Q304" s="8" t="n">
        <f aca="false">ROUND(SUM(M304:P304),2)</f>
        <v>5.15</v>
      </c>
      <c r="R304" s="8" t="str">
        <f aca="false">IF(Q304&gt;=Scoring!$C$10-0.000001,"Keep","Remove")</f>
        <v>Remove</v>
      </c>
      <c r="S304" s="8" t="s">
        <v>7812</v>
      </c>
    </row>
    <row r="305" customFormat="false" ht="15" hidden="false" customHeight="false" outlineLevel="0" collapsed="false">
      <c r="A305" s="8" t="s">
        <v>2254</v>
      </c>
      <c r="B305" s="8" t="s">
        <v>2255</v>
      </c>
      <c r="C305" s="8" t="s">
        <v>178</v>
      </c>
      <c r="D305" s="8" t="s">
        <v>206</v>
      </c>
      <c r="E305" s="8" t="s">
        <v>103</v>
      </c>
      <c r="F305" s="8" t="s">
        <v>80</v>
      </c>
      <c r="G305" s="8" t="n">
        <v>2</v>
      </c>
      <c r="H305" s="13" t="n">
        <v>3</v>
      </c>
      <c r="I305" s="8" t="n">
        <v>5</v>
      </c>
      <c r="J305" s="20" t="s">
        <v>259</v>
      </c>
      <c r="K305" s="8"/>
      <c r="L305" s="20" t="s">
        <v>259</v>
      </c>
      <c r="M305" s="16" t="n">
        <f aca="false">H305*Scoring!$C$5</f>
        <v>3.9</v>
      </c>
      <c r="N305" s="16" t="n">
        <f aca="false">IF(I305&gt;=5,1,IF(I305=4,0.75,IF(I305=3,0.5,IF(I305=2,0.25,0))))*Scoring!$C$8</f>
        <v>1</v>
      </c>
      <c r="O305" s="16" t="n">
        <f aca="false">IF(J305="Yes",0,Scoring!$C$6)</f>
        <v>2</v>
      </c>
      <c r="P305" s="16" t="n">
        <f aca="false">IF(L305="Yes",0,Scoring!$C$7)</f>
        <v>0.5</v>
      </c>
      <c r="Q305" s="8" t="n">
        <f aca="false">ROUND(SUM(M305:P305),2)</f>
        <v>7.4</v>
      </c>
      <c r="R305" s="8" t="str">
        <f aca="false">IF(Q305&gt;=Scoring!$C$10-0.000001,"Keep","Remove")</f>
        <v>Keep</v>
      </c>
      <c r="S305" s="8" t="s">
        <v>166</v>
      </c>
    </row>
    <row r="306" customFormat="false" ht="15" hidden="false" customHeight="false" outlineLevel="0" collapsed="false">
      <c r="A306" s="8" t="s">
        <v>2264</v>
      </c>
      <c r="B306" s="8" t="s">
        <v>2265</v>
      </c>
      <c r="C306" s="8" t="s">
        <v>178</v>
      </c>
      <c r="D306" s="8" t="s">
        <v>206</v>
      </c>
      <c r="E306" s="8" t="s">
        <v>103</v>
      </c>
      <c r="F306" s="8" t="s">
        <v>85</v>
      </c>
      <c r="G306" s="8" t="n">
        <v>1</v>
      </c>
      <c r="H306" s="13" t="n">
        <v>5</v>
      </c>
      <c r="I306" s="8" t="n">
        <v>6</v>
      </c>
      <c r="J306" s="20" t="s">
        <v>259</v>
      </c>
      <c r="K306" s="8"/>
      <c r="L306" s="20" t="s">
        <v>259</v>
      </c>
      <c r="M306" s="16" t="n">
        <f aca="false">H306*Scoring!$C$5</f>
        <v>6.5</v>
      </c>
      <c r="N306" s="16" t="n">
        <f aca="false">IF(I306&gt;=5,1,IF(I306=4,0.75,IF(I306=3,0.5,IF(I306=2,0.25,0))))*Scoring!$C$8</f>
        <v>1</v>
      </c>
      <c r="O306" s="16" t="n">
        <f aca="false">IF(J306="Yes",0,Scoring!$C$6)</f>
        <v>2</v>
      </c>
      <c r="P306" s="16" t="n">
        <f aca="false">IF(L306="Yes",0,Scoring!$C$7)</f>
        <v>0.5</v>
      </c>
      <c r="Q306" s="8" t="n">
        <f aca="false">ROUND(SUM(M306:P306),2)</f>
        <v>10</v>
      </c>
      <c r="R306" s="8" t="str">
        <f aca="false">IF(Q306&gt;=Scoring!$C$10-0.000001,"Keep","Remove")</f>
        <v>Keep</v>
      </c>
      <c r="S306" s="8" t="s">
        <v>166</v>
      </c>
    </row>
    <row r="307" customFormat="false" ht="15" hidden="false" customHeight="false" outlineLevel="0" collapsed="false">
      <c r="A307" s="8" t="s">
        <v>2271</v>
      </c>
      <c r="B307" s="8" t="s">
        <v>2272</v>
      </c>
      <c r="C307" s="8" t="s">
        <v>178</v>
      </c>
      <c r="D307" s="8" t="s">
        <v>206</v>
      </c>
      <c r="E307" s="8" t="s">
        <v>103</v>
      </c>
      <c r="F307" s="8" t="s">
        <v>85</v>
      </c>
      <c r="G307" s="8" t="n">
        <v>2</v>
      </c>
      <c r="H307" s="13" t="n">
        <v>3</v>
      </c>
      <c r="I307" s="8" t="n">
        <v>5</v>
      </c>
      <c r="J307" s="20" t="s">
        <v>259</v>
      </c>
      <c r="K307" s="8"/>
      <c r="L307" s="20" t="s">
        <v>259</v>
      </c>
      <c r="M307" s="16" t="n">
        <f aca="false">H307*Scoring!$C$5</f>
        <v>3.9</v>
      </c>
      <c r="N307" s="16" t="n">
        <f aca="false">IF(I307&gt;=5,1,IF(I307=4,0.75,IF(I307=3,0.5,IF(I307=2,0.25,0))))*Scoring!$C$8</f>
        <v>1</v>
      </c>
      <c r="O307" s="16" t="n">
        <f aca="false">IF(J307="Yes",0,Scoring!$C$6)</f>
        <v>2</v>
      </c>
      <c r="P307" s="16" t="n">
        <f aca="false">IF(L307="Yes",0,Scoring!$C$7)</f>
        <v>0.5</v>
      </c>
      <c r="Q307" s="8" t="n">
        <f aca="false">ROUND(SUM(M307:P307),2)</f>
        <v>7.4</v>
      </c>
      <c r="R307" s="8" t="str">
        <f aca="false">IF(Q307&gt;=Scoring!$C$10-0.000001,"Keep","Remove")</f>
        <v>Keep</v>
      </c>
      <c r="S307" s="8" t="s">
        <v>166</v>
      </c>
    </row>
    <row r="308" customFormat="false" ht="15" hidden="false" customHeight="false" outlineLevel="0" collapsed="false">
      <c r="A308" s="8" t="s">
        <v>2279</v>
      </c>
      <c r="B308" s="8" t="s">
        <v>2280</v>
      </c>
      <c r="C308" s="8" t="s">
        <v>178</v>
      </c>
      <c r="D308" s="8" t="s">
        <v>206</v>
      </c>
      <c r="E308" s="8" t="s">
        <v>103</v>
      </c>
      <c r="F308" s="8" t="s">
        <v>85</v>
      </c>
      <c r="G308" s="8" t="n">
        <v>2</v>
      </c>
      <c r="H308" s="13" t="n">
        <v>3</v>
      </c>
      <c r="I308" s="8" t="n">
        <v>5</v>
      </c>
      <c r="J308" s="20" t="s">
        <v>259</v>
      </c>
      <c r="K308" s="8"/>
      <c r="L308" s="20" t="s">
        <v>259</v>
      </c>
      <c r="M308" s="16" t="n">
        <f aca="false">H308*Scoring!$C$5</f>
        <v>3.9</v>
      </c>
      <c r="N308" s="16" t="n">
        <f aca="false">IF(I308&gt;=5,1,IF(I308=4,0.75,IF(I308=3,0.5,IF(I308=2,0.25,0))))*Scoring!$C$8</f>
        <v>1</v>
      </c>
      <c r="O308" s="16" t="n">
        <f aca="false">IF(J308="Yes",0,Scoring!$C$6)</f>
        <v>2</v>
      </c>
      <c r="P308" s="16" t="n">
        <f aca="false">IF(L308="Yes",0,Scoring!$C$7)</f>
        <v>0.5</v>
      </c>
      <c r="Q308" s="8" t="n">
        <f aca="false">ROUND(SUM(M308:P308),2)</f>
        <v>7.4</v>
      </c>
      <c r="R308" s="8" t="str">
        <f aca="false">IF(Q308&gt;=Scoring!$C$10-0.000001,"Keep","Remove")</f>
        <v>Keep</v>
      </c>
      <c r="S308" s="8" t="s">
        <v>166</v>
      </c>
    </row>
    <row r="309" customFormat="false" ht="15" hidden="false" customHeight="false" outlineLevel="0" collapsed="false">
      <c r="A309" s="8" t="s">
        <v>7824</v>
      </c>
      <c r="B309" s="8" t="s">
        <v>7825</v>
      </c>
      <c r="C309" s="8" t="s">
        <v>178</v>
      </c>
      <c r="D309" s="8" t="s">
        <v>206</v>
      </c>
      <c r="E309" s="8" t="s">
        <v>103</v>
      </c>
      <c r="F309" s="8" t="s">
        <v>87</v>
      </c>
      <c r="G309" s="8" t="n">
        <v>2</v>
      </c>
      <c r="H309" s="13" t="n">
        <v>2</v>
      </c>
      <c r="I309" s="8" t="n">
        <v>1</v>
      </c>
      <c r="J309" s="20" t="s">
        <v>259</v>
      </c>
      <c r="K309" s="8"/>
      <c r="L309" s="20" t="s">
        <v>259</v>
      </c>
      <c r="M309" s="16" t="n">
        <f aca="false">H309*Scoring!$C$5</f>
        <v>2.6</v>
      </c>
      <c r="N309" s="16" t="n">
        <f aca="false">IF(I309&gt;=5,1,IF(I309=4,0.75,IF(I309=3,0.5,IF(I309=2,0.25,0))))*Scoring!$C$8</f>
        <v>0</v>
      </c>
      <c r="O309" s="16" t="n">
        <f aca="false">IF(J309="Yes",0,Scoring!$C$6)</f>
        <v>2</v>
      </c>
      <c r="P309" s="16" t="n">
        <f aca="false">IF(L309="Yes",0,Scoring!$C$7)</f>
        <v>0.5</v>
      </c>
      <c r="Q309" s="8" t="n">
        <f aca="false">ROUND(SUM(M309:P309),2)</f>
        <v>5.1</v>
      </c>
      <c r="R309" s="8" t="str">
        <f aca="false">IF(Q309&gt;=Scoring!$C$10-0.000001,"Keep","Remove")</f>
        <v>Remove</v>
      </c>
      <c r="S309" s="8" t="s">
        <v>7243</v>
      </c>
    </row>
    <row r="310" customFormat="false" ht="15" hidden="false" customHeight="false" outlineLevel="0" collapsed="false">
      <c r="A310" s="8" t="s">
        <v>2285</v>
      </c>
      <c r="B310" s="8" t="s">
        <v>2286</v>
      </c>
      <c r="C310" s="8" t="s">
        <v>178</v>
      </c>
      <c r="D310" s="8" t="s">
        <v>206</v>
      </c>
      <c r="E310" s="8" t="s">
        <v>103</v>
      </c>
      <c r="F310" s="8" t="s">
        <v>78</v>
      </c>
      <c r="G310" s="8" t="n">
        <v>2</v>
      </c>
      <c r="H310" s="13" t="n">
        <v>3</v>
      </c>
      <c r="I310" s="8" t="n">
        <v>5</v>
      </c>
      <c r="J310" s="20" t="s">
        <v>259</v>
      </c>
      <c r="K310" s="8"/>
      <c r="L310" s="20" t="s">
        <v>259</v>
      </c>
      <c r="M310" s="16" t="n">
        <f aca="false">H310*Scoring!$C$5</f>
        <v>3.9</v>
      </c>
      <c r="N310" s="16" t="n">
        <f aca="false">IF(I310&gt;=5,1,IF(I310=4,0.75,IF(I310=3,0.5,IF(I310=2,0.25,0))))*Scoring!$C$8</f>
        <v>1</v>
      </c>
      <c r="O310" s="16" t="n">
        <f aca="false">IF(J310="Yes",0,Scoring!$C$6)</f>
        <v>2</v>
      </c>
      <c r="P310" s="16" t="n">
        <f aca="false">IF(L310="Yes",0,Scoring!$C$7)</f>
        <v>0.5</v>
      </c>
      <c r="Q310" s="8" t="n">
        <f aca="false">ROUND(SUM(M310:P310),2)</f>
        <v>7.4</v>
      </c>
      <c r="R310" s="8" t="str">
        <f aca="false">IF(Q310&gt;=Scoring!$C$10-0.000001,"Keep","Remove")</f>
        <v>Keep</v>
      </c>
      <c r="S310" s="8" t="s">
        <v>166</v>
      </c>
    </row>
    <row r="311" customFormat="false" ht="15" hidden="false" customHeight="false" outlineLevel="0" collapsed="false">
      <c r="A311" s="8" t="s">
        <v>2291</v>
      </c>
      <c r="B311" s="8" t="s">
        <v>2292</v>
      </c>
      <c r="C311" s="8" t="s">
        <v>178</v>
      </c>
      <c r="D311" s="8" t="s">
        <v>206</v>
      </c>
      <c r="E311" s="8" t="s">
        <v>103</v>
      </c>
      <c r="F311" s="8" t="s">
        <v>78</v>
      </c>
      <c r="G311" s="8" t="n">
        <v>1</v>
      </c>
      <c r="H311" s="13" t="n">
        <v>3</v>
      </c>
      <c r="I311" s="8" t="n">
        <v>2</v>
      </c>
      <c r="J311" s="20" t="s">
        <v>259</v>
      </c>
      <c r="K311" s="8"/>
      <c r="L311" s="20" t="s">
        <v>259</v>
      </c>
      <c r="M311" s="16" t="n">
        <f aca="false">H311*Scoring!$C$5</f>
        <v>3.9</v>
      </c>
      <c r="N311" s="16" t="n">
        <f aca="false">IF(I311&gt;=5,1,IF(I311=4,0.75,IF(I311=3,0.5,IF(I311=2,0.25,0))))*Scoring!$C$8</f>
        <v>0.25</v>
      </c>
      <c r="O311" s="16" t="n">
        <f aca="false">IF(J311="Yes",0,Scoring!$C$6)</f>
        <v>2</v>
      </c>
      <c r="P311" s="16" t="n">
        <f aca="false">IF(L311="Yes",0,Scoring!$C$7)</f>
        <v>0.5</v>
      </c>
      <c r="Q311" s="8" t="n">
        <f aca="false">ROUND(SUM(M311:P311),2)</f>
        <v>6.65</v>
      </c>
      <c r="R311" s="8" t="str">
        <f aca="false">IF(Q311&gt;=Scoring!$C$10-0.000001,"Keep","Remove")</f>
        <v>Keep</v>
      </c>
      <c r="S311" s="8" t="s">
        <v>166</v>
      </c>
    </row>
    <row r="312" customFormat="false" ht="15" hidden="false" customHeight="false" outlineLevel="0" collapsed="false">
      <c r="A312" s="8" t="s">
        <v>7272</v>
      </c>
      <c r="B312" s="8" t="s">
        <v>7273</v>
      </c>
      <c r="C312" s="8" t="s">
        <v>178</v>
      </c>
      <c r="D312" s="8" t="s">
        <v>206</v>
      </c>
      <c r="E312" s="8" t="s">
        <v>103</v>
      </c>
      <c r="F312" s="8" t="s">
        <v>79</v>
      </c>
      <c r="G312" s="8" t="n">
        <v>3</v>
      </c>
      <c r="H312" s="13" t="n">
        <v>2</v>
      </c>
      <c r="I312" s="8" t="n">
        <v>5</v>
      </c>
      <c r="J312" s="20" t="s">
        <v>259</v>
      </c>
      <c r="K312" s="8"/>
      <c r="L312" s="20" t="s">
        <v>259</v>
      </c>
      <c r="M312" s="16" t="n">
        <f aca="false">H312*Scoring!$C$5</f>
        <v>2.6</v>
      </c>
      <c r="N312" s="16" t="n">
        <f aca="false">IF(I312&gt;=5,1,IF(I312=4,0.75,IF(I312=3,0.5,IF(I312=2,0.25,0))))*Scoring!$C$8</f>
        <v>1</v>
      </c>
      <c r="O312" s="16" t="n">
        <f aca="false">IF(J312="Yes",0,Scoring!$C$6)</f>
        <v>2</v>
      </c>
      <c r="P312" s="16" t="n">
        <f aca="false">IF(L312="Yes",0,Scoring!$C$7)</f>
        <v>0.5</v>
      </c>
      <c r="Q312" s="8" t="n">
        <f aca="false">ROUND(SUM(M312:P312),2)</f>
        <v>6.1</v>
      </c>
      <c r="R312" s="8" t="str">
        <f aca="false">IF(Q312&gt;=Scoring!$C$10-0.000001,"Keep","Remove")</f>
        <v>Remove</v>
      </c>
      <c r="S312" s="8" t="s">
        <v>7243</v>
      </c>
    </row>
    <row r="313" customFormat="false" ht="15" hidden="false" customHeight="false" outlineLevel="0" collapsed="false">
      <c r="A313" s="8" t="s">
        <v>7478</v>
      </c>
      <c r="B313" s="8" t="s">
        <v>7479</v>
      </c>
      <c r="C313" s="8" t="s">
        <v>178</v>
      </c>
      <c r="D313" s="8" t="s">
        <v>206</v>
      </c>
      <c r="E313" s="8" t="s">
        <v>103</v>
      </c>
      <c r="F313" s="8" t="s">
        <v>79</v>
      </c>
      <c r="G313" s="8" t="n">
        <v>3</v>
      </c>
      <c r="H313" s="13" t="n">
        <v>2</v>
      </c>
      <c r="I313" s="8" t="n">
        <v>4</v>
      </c>
      <c r="J313" s="20" t="s">
        <v>259</v>
      </c>
      <c r="K313" s="8"/>
      <c r="L313" s="20" t="s">
        <v>259</v>
      </c>
      <c r="M313" s="16" t="n">
        <f aca="false">H313*Scoring!$C$5</f>
        <v>2.6</v>
      </c>
      <c r="N313" s="16" t="n">
        <f aca="false">IF(I313&gt;=5,1,IF(I313=4,0.75,IF(I313=3,0.5,IF(I313=2,0.25,0))))*Scoring!$C$8</f>
        <v>0.75</v>
      </c>
      <c r="O313" s="16" t="n">
        <f aca="false">IF(J313="Yes",0,Scoring!$C$6)</f>
        <v>2</v>
      </c>
      <c r="P313" s="16" t="n">
        <f aca="false">IF(L313="Yes",0,Scoring!$C$7)</f>
        <v>0.5</v>
      </c>
      <c r="Q313" s="8" t="n">
        <f aca="false">ROUND(SUM(M313:P313),2)</f>
        <v>5.85</v>
      </c>
      <c r="R313" s="8" t="str">
        <f aca="false">IF(Q313&gt;=Scoring!$C$10-0.000001,"Keep","Remove")</f>
        <v>Remove</v>
      </c>
      <c r="S313" s="8" t="s">
        <v>7243</v>
      </c>
    </row>
    <row r="314" customFormat="false" ht="15" hidden="false" customHeight="false" outlineLevel="0" collapsed="false">
      <c r="A314" s="8" t="s">
        <v>2299</v>
      </c>
      <c r="B314" s="8" t="s">
        <v>2300</v>
      </c>
      <c r="C314" s="8" t="s">
        <v>178</v>
      </c>
      <c r="D314" s="8" t="s">
        <v>206</v>
      </c>
      <c r="E314" s="8" t="s">
        <v>103</v>
      </c>
      <c r="F314" s="8" t="s">
        <v>79</v>
      </c>
      <c r="G314" s="8" t="n">
        <v>2</v>
      </c>
      <c r="H314" s="13" t="n">
        <v>3</v>
      </c>
      <c r="I314" s="8" t="n">
        <v>4</v>
      </c>
      <c r="J314" s="20" t="s">
        <v>259</v>
      </c>
      <c r="K314" s="8"/>
      <c r="L314" s="20" t="s">
        <v>259</v>
      </c>
      <c r="M314" s="16" t="n">
        <f aca="false">H314*Scoring!$C$5</f>
        <v>3.9</v>
      </c>
      <c r="N314" s="16" t="n">
        <f aca="false">IF(I314&gt;=5,1,IF(I314=4,0.75,IF(I314=3,0.5,IF(I314=2,0.25,0))))*Scoring!$C$8</f>
        <v>0.75</v>
      </c>
      <c r="O314" s="16" t="n">
        <f aca="false">IF(J314="Yes",0,Scoring!$C$6)</f>
        <v>2</v>
      </c>
      <c r="P314" s="16" t="n">
        <f aca="false">IF(L314="Yes",0,Scoring!$C$7)</f>
        <v>0.5</v>
      </c>
      <c r="Q314" s="8" t="n">
        <f aca="false">ROUND(SUM(M314:P314),2)</f>
        <v>7.15</v>
      </c>
      <c r="R314" s="8" t="str">
        <f aca="false">IF(Q314&gt;=Scoring!$C$10-0.000001,"Keep","Remove")</f>
        <v>Keep</v>
      </c>
      <c r="S314" s="8" t="s">
        <v>166</v>
      </c>
    </row>
    <row r="315" customFormat="false" ht="15" hidden="false" customHeight="false" outlineLevel="0" collapsed="false">
      <c r="A315" s="8" t="s">
        <v>7813</v>
      </c>
      <c r="B315" s="8" t="s">
        <v>7814</v>
      </c>
      <c r="C315" s="8" t="s">
        <v>178</v>
      </c>
      <c r="D315" s="8" t="s">
        <v>206</v>
      </c>
      <c r="E315" s="8" t="s">
        <v>103</v>
      </c>
      <c r="F315" s="8" t="s">
        <v>79</v>
      </c>
      <c r="G315" s="8" t="n">
        <v>2</v>
      </c>
      <c r="H315" s="13" t="n">
        <v>3</v>
      </c>
      <c r="I315" s="8" t="n">
        <v>4</v>
      </c>
      <c r="J315" s="20" t="s">
        <v>218</v>
      </c>
      <c r="K315" s="8" t="s">
        <v>8161</v>
      </c>
      <c r="L315" s="20" t="s">
        <v>259</v>
      </c>
      <c r="M315" s="16" t="n">
        <f aca="false">H315*Scoring!$C$5</f>
        <v>3.9</v>
      </c>
      <c r="N315" s="16" t="n">
        <f aca="false">IF(I315&gt;=5,1,IF(I315=4,0.75,IF(I315=3,0.5,IF(I315=2,0.25,0))))*Scoring!$C$8</f>
        <v>0.75</v>
      </c>
      <c r="O315" s="16" t="n">
        <f aca="false">IF(J315="Yes",0,Scoring!$C$6)</f>
        <v>0</v>
      </c>
      <c r="P315" s="16" t="n">
        <f aca="false">IF(L315="Yes",0,Scoring!$C$7)</f>
        <v>0.5</v>
      </c>
      <c r="Q315" s="8" t="n">
        <f aca="false">ROUND(SUM(M315:P315),2)</f>
        <v>5.15</v>
      </c>
      <c r="R315" s="8" t="str">
        <f aca="false">IF(Q315&gt;=Scoring!$C$10-0.000001,"Keep","Remove")</f>
        <v>Remove</v>
      </c>
      <c r="S315" s="8" t="s">
        <v>7815</v>
      </c>
    </row>
    <row r="316" customFormat="false" ht="15" hidden="false" customHeight="false" outlineLevel="0" collapsed="false">
      <c r="A316" s="8" t="s">
        <v>2306</v>
      </c>
      <c r="B316" s="8" t="s">
        <v>2307</v>
      </c>
      <c r="C316" s="8" t="s">
        <v>178</v>
      </c>
      <c r="D316" s="8" t="s">
        <v>206</v>
      </c>
      <c r="E316" s="8" t="s">
        <v>103</v>
      </c>
      <c r="F316" s="8" t="s">
        <v>79</v>
      </c>
      <c r="G316" s="8" t="n">
        <v>2</v>
      </c>
      <c r="H316" s="13" t="n">
        <v>3</v>
      </c>
      <c r="I316" s="8" t="n">
        <v>4</v>
      </c>
      <c r="J316" s="20" t="s">
        <v>259</v>
      </c>
      <c r="K316" s="8"/>
      <c r="L316" s="20" t="s">
        <v>259</v>
      </c>
      <c r="M316" s="16" t="n">
        <f aca="false">H316*Scoring!$C$5</f>
        <v>3.9</v>
      </c>
      <c r="N316" s="16" t="n">
        <f aca="false">IF(I316&gt;=5,1,IF(I316=4,0.75,IF(I316=3,0.5,IF(I316=2,0.25,0))))*Scoring!$C$8</f>
        <v>0.75</v>
      </c>
      <c r="O316" s="16" t="n">
        <f aca="false">IF(J316="Yes",0,Scoring!$C$6)</f>
        <v>2</v>
      </c>
      <c r="P316" s="16" t="n">
        <f aca="false">IF(L316="Yes",0,Scoring!$C$7)</f>
        <v>0.5</v>
      </c>
      <c r="Q316" s="8" t="n">
        <f aca="false">ROUND(SUM(M316:P316),2)</f>
        <v>7.15</v>
      </c>
      <c r="R316" s="8" t="str">
        <f aca="false">IF(Q316&gt;=Scoring!$C$10-0.000001,"Keep","Remove")</f>
        <v>Keep</v>
      </c>
      <c r="S316" s="8" t="s">
        <v>166</v>
      </c>
    </row>
    <row r="317" customFormat="false" ht="15" hidden="false" customHeight="false" outlineLevel="0" collapsed="false">
      <c r="A317" s="8" t="s">
        <v>2315</v>
      </c>
      <c r="B317" s="8" t="s">
        <v>2316</v>
      </c>
      <c r="C317" s="8" t="s">
        <v>178</v>
      </c>
      <c r="D317" s="8" t="s">
        <v>206</v>
      </c>
      <c r="E317" s="8" t="s">
        <v>103</v>
      </c>
      <c r="F317" s="8" t="s">
        <v>79</v>
      </c>
      <c r="G317" s="8" t="n">
        <v>1</v>
      </c>
      <c r="H317" s="13" t="n">
        <v>5</v>
      </c>
      <c r="I317" s="8" t="n">
        <v>5</v>
      </c>
      <c r="J317" s="20" t="s">
        <v>259</v>
      </c>
      <c r="K317" s="8"/>
      <c r="L317" s="20" t="s">
        <v>259</v>
      </c>
      <c r="M317" s="16" t="n">
        <f aca="false">H317*Scoring!$C$5</f>
        <v>6.5</v>
      </c>
      <c r="N317" s="16" t="n">
        <f aca="false">IF(I317&gt;=5,1,IF(I317=4,0.75,IF(I317=3,0.5,IF(I317=2,0.25,0))))*Scoring!$C$8</f>
        <v>1</v>
      </c>
      <c r="O317" s="16" t="n">
        <f aca="false">IF(J317="Yes",0,Scoring!$C$6)</f>
        <v>2</v>
      </c>
      <c r="P317" s="16" t="n">
        <f aca="false">IF(L317="Yes",0,Scoring!$C$7)</f>
        <v>0.5</v>
      </c>
      <c r="Q317" s="8" t="n">
        <f aca="false">ROUND(SUM(M317:P317),2)</f>
        <v>10</v>
      </c>
      <c r="R317" s="8" t="str">
        <f aca="false">IF(Q317&gt;=Scoring!$C$10-0.000001,"Keep","Remove")</f>
        <v>Keep</v>
      </c>
      <c r="S317" s="8" t="s">
        <v>166</v>
      </c>
    </row>
    <row r="318" customFormat="false" ht="15" hidden="false" customHeight="false" outlineLevel="0" collapsed="false">
      <c r="A318" s="8" t="s">
        <v>2325</v>
      </c>
      <c r="B318" s="8" t="s">
        <v>2326</v>
      </c>
      <c r="C318" s="8" t="s">
        <v>178</v>
      </c>
      <c r="D318" s="8" t="s">
        <v>206</v>
      </c>
      <c r="E318" s="8" t="s">
        <v>103</v>
      </c>
      <c r="F318" s="8" t="s">
        <v>79</v>
      </c>
      <c r="G318" s="8" t="n">
        <v>1</v>
      </c>
      <c r="H318" s="13" t="n">
        <v>5</v>
      </c>
      <c r="I318" s="8" t="n">
        <v>5</v>
      </c>
      <c r="J318" s="20" t="s">
        <v>259</v>
      </c>
      <c r="K318" s="8"/>
      <c r="L318" s="20" t="s">
        <v>259</v>
      </c>
      <c r="M318" s="16" t="n">
        <f aca="false">H318*Scoring!$C$5</f>
        <v>6.5</v>
      </c>
      <c r="N318" s="16" t="n">
        <f aca="false">IF(I318&gt;=5,1,IF(I318=4,0.75,IF(I318=3,0.5,IF(I318=2,0.25,0))))*Scoring!$C$8</f>
        <v>1</v>
      </c>
      <c r="O318" s="16" t="n">
        <f aca="false">IF(J318="Yes",0,Scoring!$C$6)</f>
        <v>2</v>
      </c>
      <c r="P318" s="16" t="n">
        <f aca="false">IF(L318="Yes",0,Scoring!$C$7)</f>
        <v>0.5</v>
      </c>
      <c r="Q318" s="8" t="n">
        <f aca="false">ROUND(SUM(M318:P318),2)</f>
        <v>10</v>
      </c>
      <c r="R318" s="8" t="str">
        <f aca="false">IF(Q318&gt;=Scoring!$C$10-0.000001,"Keep","Remove")</f>
        <v>Keep</v>
      </c>
      <c r="S318" s="8" t="s">
        <v>166</v>
      </c>
    </row>
    <row r="319" customFormat="false" ht="15" hidden="false" customHeight="false" outlineLevel="0" collapsed="false">
      <c r="A319" s="8" t="s">
        <v>2331</v>
      </c>
      <c r="B319" s="8" t="s">
        <v>2332</v>
      </c>
      <c r="C319" s="8" t="s">
        <v>178</v>
      </c>
      <c r="D319" s="8" t="s">
        <v>206</v>
      </c>
      <c r="E319" s="8" t="s">
        <v>103</v>
      </c>
      <c r="F319" s="8" t="s">
        <v>78</v>
      </c>
      <c r="G319" s="8" t="n">
        <v>1</v>
      </c>
      <c r="H319" s="13" t="n">
        <v>5</v>
      </c>
      <c r="I319" s="8" t="n">
        <v>6</v>
      </c>
      <c r="J319" s="20" t="s">
        <v>259</v>
      </c>
      <c r="K319" s="8"/>
      <c r="L319" s="20" t="s">
        <v>259</v>
      </c>
      <c r="M319" s="16" t="n">
        <f aca="false">H319*Scoring!$C$5</f>
        <v>6.5</v>
      </c>
      <c r="N319" s="16" t="n">
        <f aca="false">IF(I319&gt;=5,1,IF(I319=4,0.75,IF(I319=3,0.5,IF(I319=2,0.25,0))))*Scoring!$C$8</f>
        <v>1</v>
      </c>
      <c r="O319" s="16" t="n">
        <f aca="false">IF(J319="Yes",0,Scoring!$C$6)</f>
        <v>2</v>
      </c>
      <c r="P319" s="16" t="n">
        <f aca="false">IF(L319="Yes",0,Scoring!$C$7)</f>
        <v>0.5</v>
      </c>
      <c r="Q319" s="8" t="n">
        <f aca="false">ROUND(SUM(M319:P319),2)</f>
        <v>10</v>
      </c>
      <c r="R319" s="8" t="str">
        <f aca="false">IF(Q319&gt;=Scoring!$C$10-0.000001,"Keep","Remove")</f>
        <v>Keep</v>
      </c>
      <c r="S319" s="8" t="s">
        <v>166</v>
      </c>
    </row>
    <row r="320" customFormat="false" ht="15" hidden="false" customHeight="false" outlineLevel="0" collapsed="false">
      <c r="A320" s="8" t="s">
        <v>2338</v>
      </c>
      <c r="B320" s="8" t="s">
        <v>2339</v>
      </c>
      <c r="C320" s="8" t="s">
        <v>178</v>
      </c>
      <c r="D320" s="8" t="s">
        <v>206</v>
      </c>
      <c r="E320" s="8" t="s">
        <v>103</v>
      </c>
      <c r="F320" s="8" t="s">
        <v>78</v>
      </c>
      <c r="G320" s="8" t="n">
        <v>2</v>
      </c>
      <c r="H320" s="13" t="n">
        <v>3</v>
      </c>
      <c r="I320" s="8" t="n">
        <v>5</v>
      </c>
      <c r="J320" s="20" t="s">
        <v>259</v>
      </c>
      <c r="K320" s="8"/>
      <c r="L320" s="20" t="s">
        <v>259</v>
      </c>
      <c r="M320" s="16" t="n">
        <f aca="false">H320*Scoring!$C$5</f>
        <v>3.9</v>
      </c>
      <c r="N320" s="16" t="n">
        <f aca="false">IF(I320&gt;=5,1,IF(I320=4,0.75,IF(I320=3,0.5,IF(I320=2,0.25,0))))*Scoring!$C$8</f>
        <v>1</v>
      </c>
      <c r="O320" s="16" t="n">
        <f aca="false">IF(J320="Yes",0,Scoring!$C$6)</f>
        <v>2</v>
      </c>
      <c r="P320" s="16" t="n">
        <f aca="false">IF(L320="Yes",0,Scoring!$C$7)</f>
        <v>0.5</v>
      </c>
      <c r="Q320" s="8" t="n">
        <f aca="false">ROUND(SUM(M320:P320),2)</f>
        <v>7.4</v>
      </c>
      <c r="R320" s="8" t="str">
        <f aca="false">IF(Q320&gt;=Scoring!$C$10-0.000001,"Keep","Remove")</f>
        <v>Keep</v>
      </c>
      <c r="S320" s="8" t="s">
        <v>166</v>
      </c>
    </row>
    <row r="321" customFormat="false" ht="15" hidden="false" customHeight="false" outlineLevel="0" collapsed="false">
      <c r="A321" s="8" t="s">
        <v>2344</v>
      </c>
      <c r="B321" s="8" t="s">
        <v>2345</v>
      </c>
      <c r="C321" s="8" t="s">
        <v>178</v>
      </c>
      <c r="D321" s="8" t="s">
        <v>206</v>
      </c>
      <c r="E321" s="8" t="s">
        <v>103</v>
      </c>
      <c r="F321" s="8" t="s">
        <v>78</v>
      </c>
      <c r="G321" s="8" t="n">
        <v>2</v>
      </c>
      <c r="H321" s="13" t="n">
        <v>3</v>
      </c>
      <c r="I321" s="8" t="n">
        <v>4</v>
      </c>
      <c r="J321" s="20" t="s">
        <v>259</v>
      </c>
      <c r="K321" s="8"/>
      <c r="L321" s="20" t="s">
        <v>259</v>
      </c>
      <c r="M321" s="16" t="n">
        <f aca="false">H321*Scoring!$C$5</f>
        <v>3.9</v>
      </c>
      <c r="N321" s="16" t="n">
        <f aca="false">IF(I321&gt;=5,1,IF(I321=4,0.75,IF(I321=3,0.5,IF(I321=2,0.25,0))))*Scoring!$C$8</f>
        <v>0.75</v>
      </c>
      <c r="O321" s="16" t="n">
        <f aca="false">IF(J321="Yes",0,Scoring!$C$6)</f>
        <v>2</v>
      </c>
      <c r="P321" s="16" t="n">
        <f aca="false">IF(L321="Yes",0,Scoring!$C$7)</f>
        <v>0.5</v>
      </c>
      <c r="Q321" s="8" t="n">
        <f aca="false">ROUND(SUM(M321:P321),2)</f>
        <v>7.15</v>
      </c>
      <c r="R321" s="8" t="str">
        <f aca="false">IF(Q321&gt;=Scoring!$C$10-0.000001,"Keep","Remove")</f>
        <v>Keep</v>
      </c>
      <c r="S321" s="8" t="s">
        <v>166</v>
      </c>
    </row>
    <row r="322" customFormat="false" ht="15" hidden="false" customHeight="false" outlineLevel="0" collapsed="false">
      <c r="A322" s="8" t="s">
        <v>2352</v>
      </c>
      <c r="B322" s="8" t="s">
        <v>2353</v>
      </c>
      <c r="C322" s="8" t="s">
        <v>178</v>
      </c>
      <c r="D322" s="8" t="s">
        <v>206</v>
      </c>
      <c r="E322" s="8" t="s">
        <v>103</v>
      </c>
      <c r="F322" s="8" t="s">
        <v>85</v>
      </c>
      <c r="G322" s="8" t="n">
        <v>2</v>
      </c>
      <c r="H322" s="13" t="n">
        <v>3</v>
      </c>
      <c r="I322" s="8" t="n">
        <v>4</v>
      </c>
      <c r="J322" s="20" t="s">
        <v>259</v>
      </c>
      <c r="K322" s="8"/>
      <c r="L322" s="20" t="s">
        <v>259</v>
      </c>
      <c r="M322" s="16" t="n">
        <f aca="false">H322*Scoring!$C$5</f>
        <v>3.9</v>
      </c>
      <c r="N322" s="16" t="n">
        <f aca="false">IF(I322&gt;=5,1,IF(I322=4,0.75,IF(I322=3,0.5,IF(I322=2,0.25,0))))*Scoring!$C$8</f>
        <v>0.75</v>
      </c>
      <c r="O322" s="16" t="n">
        <f aca="false">IF(J322="Yes",0,Scoring!$C$6)</f>
        <v>2</v>
      </c>
      <c r="P322" s="16" t="n">
        <f aca="false">IF(L322="Yes",0,Scoring!$C$7)</f>
        <v>0.5</v>
      </c>
      <c r="Q322" s="8" t="n">
        <f aca="false">ROUND(SUM(M322:P322),2)</f>
        <v>7.15</v>
      </c>
      <c r="R322" s="8" t="str">
        <f aca="false">IF(Q322&gt;=Scoring!$C$10-0.000001,"Keep","Remove")</f>
        <v>Keep</v>
      </c>
      <c r="S322" s="8" t="s">
        <v>166</v>
      </c>
    </row>
    <row r="323" customFormat="false" ht="15" hidden="false" customHeight="false" outlineLevel="0" collapsed="false">
      <c r="A323" s="8" t="s">
        <v>2360</v>
      </c>
      <c r="B323" s="8" t="s">
        <v>2361</v>
      </c>
      <c r="C323" s="8" t="s">
        <v>178</v>
      </c>
      <c r="D323" s="8" t="s">
        <v>206</v>
      </c>
      <c r="E323" s="8" t="s">
        <v>106</v>
      </c>
      <c r="F323" s="8" t="s">
        <v>78</v>
      </c>
      <c r="G323" s="8" t="n">
        <v>1</v>
      </c>
      <c r="H323" s="13" t="n">
        <v>5</v>
      </c>
      <c r="I323" s="8" t="n">
        <v>5</v>
      </c>
      <c r="J323" s="20" t="s">
        <v>259</v>
      </c>
      <c r="K323" s="8"/>
      <c r="L323" s="20" t="s">
        <v>259</v>
      </c>
      <c r="M323" s="16" t="n">
        <f aca="false">H323*Scoring!$C$5</f>
        <v>6.5</v>
      </c>
      <c r="N323" s="16" t="n">
        <f aca="false">IF(I323&gt;=5,1,IF(I323=4,0.75,IF(I323=3,0.5,IF(I323=2,0.25,0))))*Scoring!$C$8</f>
        <v>1</v>
      </c>
      <c r="O323" s="16" t="n">
        <f aca="false">IF(J323="Yes",0,Scoring!$C$6)</f>
        <v>2</v>
      </c>
      <c r="P323" s="16" t="n">
        <f aca="false">IF(L323="Yes",0,Scoring!$C$7)</f>
        <v>0.5</v>
      </c>
      <c r="Q323" s="8" t="n">
        <f aca="false">ROUND(SUM(M323:P323),2)</f>
        <v>10</v>
      </c>
      <c r="R323" s="8" t="str">
        <f aca="false">IF(Q323&gt;=Scoring!$C$10-0.000001,"Keep","Remove")</f>
        <v>Keep</v>
      </c>
      <c r="S323" s="8" t="s">
        <v>166</v>
      </c>
    </row>
    <row r="324" customFormat="false" ht="15" hidden="false" customHeight="false" outlineLevel="0" collapsed="false">
      <c r="A324" s="8" t="s">
        <v>7869</v>
      </c>
      <c r="B324" s="8" t="s">
        <v>7870</v>
      </c>
      <c r="C324" s="8" t="s">
        <v>178</v>
      </c>
      <c r="D324" s="8" t="s">
        <v>206</v>
      </c>
      <c r="E324" s="8" t="s">
        <v>105</v>
      </c>
      <c r="F324" s="8" t="s">
        <v>85</v>
      </c>
      <c r="G324" s="8" t="n">
        <v>3</v>
      </c>
      <c r="H324" s="13" t="n">
        <v>2</v>
      </c>
      <c r="I324" s="8" t="n">
        <v>4</v>
      </c>
      <c r="J324" s="20" t="s">
        <v>218</v>
      </c>
      <c r="K324" s="8" t="s">
        <v>8162</v>
      </c>
      <c r="L324" s="20" t="s">
        <v>259</v>
      </c>
      <c r="M324" s="16" t="n">
        <f aca="false">H324*Scoring!$C$5</f>
        <v>2.6</v>
      </c>
      <c r="N324" s="16" t="n">
        <f aca="false">IF(I324&gt;=5,1,IF(I324=4,0.75,IF(I324=3,0.5,IF(I324=2,0.25,0))))*Scoring!$C$8</f>
        <v>0.75</v>
      </c>
      <c r="O324" s="16" t="n">
        <f aca="false">IF(J324="Yes",0,Scoring!$C$6)</f>
        <v>0</v>
      </c>
      <c r="P324" s="16" t="n">
        <f aca="false">IF(L324="Yes",0,Scoring!$C$7)</f>
        <v>0.5</v>
      </c>
      <c r="Q324" s="8" t="n">
        <f aca="false">ROUND(SUM(M324:P324),2)</f>
        <v>3.85</v>
      </c>
      <c r="R324" s="8" t="str">
        <f aca="false">IF(Q324&gt;=Scoring!$C$10-0.000001,"Keep","Remove")</f>
        <v>Remove</v>
      </c>
      <c r="S324" s="8" t="s">
        <v>7871</v>
      </c>
    </row>
    <row r="325" customFormat="false" ht="15" hidden="false" customHeight="false" outlineLevel="0" collapsed="false">
      <c r="A325" s="8" t="s">
        <v>7274</v>
      </c>
      <c r="B325" s="8" t="s">
        <v>7275</v>
      </c>
      <c r="C325" s="8" t="s">
        <v>178</v>
      </c>
      <c r="D325" s="8" t="s">
        <v>206</v>
      </c>
      <c r="E325" s="8" t="s">
        <v>109</v>
      </c>
      <c r="F325" s="8" t="s">
        <v>78</v>
      </c>
      <c r="G325" s="8" t="n">
        <v>3</v>
      </c>
      <c r="H325" s="13" t="n">
        <v>2</v>
      </c>
      <c r="I325" s="8" t="n">
        <v>5</v>
      </c>
      <c r="J325" s="20" t="s">
        <v>259</v>
      </c>
      <c r="K325" s="8"/>
      <c r="L325" s="20" t="s">
        <v>259</v>
      </c>
      <c r="M325" s="16" t="n">
        <f aca="false">H325*Scoring!$C$5</f>
        <v>2.6</v>
      </c>
      <c r="N325" s="16" t="n">
        <f aca="false">IF(I325&gt;=5,1,IF(I325=4,0.75,IF(I325=3,0.5,IF(I325=2,0.25,0))))*Scoring!$C$8</f>
        <v>1</v>
      </c>
      <c r="O325" s="16" t="n">
        <f aca="false">IF(J325="Yes",0,Scoring!$C$6)</f>
        <v>2</v>
      </c>
      <c r="P325" s="16" t="n">
        <f aca="false">IF(L325="Yes",0,Scoring!$C$7)</f>
        <v>0.5</v>
      </c>
      <c r="Q325" s="8" t="n">
        <f aca="false">ROUND(SUM(M325:P325),2)</f>
        <v>6.1</v>
      </c>
      <c r="R325" s="8" t="str">
        <f aca="false">IF(Q325&gt;=Scoring!$C$10-0.000001,"Keep","Remove")</f>
        <v>Remove</v>
      </c>
      <c r="S325" s="8" t="s">
        <v>7243</v>
      </c>
    </row>
    <row r="326" customFormat="false" ht="15" hidden="false" customHeight="false" outlineLevel="0" collapsed="false">
      <c r="A326" s="8" t="s">
        <v>2368</v>
      </c>
      <c r="B326" s="8" t="s">
        <v>2369</v>
      </c>
      <c r="C326" s="8" t="s">
        <v>178</v>
      </c>
      <c r="D326" s="8" t="s">
        <v>206</v>
      </c>
      <c r="E326" s="8" t="s">
        <v>103</v>
      </c>
      <c r="F326" s="8" t="s">
        <v>85</v>
      </c>
      <c r="G326" s="8" t="n">
        <v>1</v>
      </c>
      <c r="H326" s="13" t="n">
        <v>4</v>
      </c>
      <c r="I326" s="8" t="n">
        <v>6</v>
      </c>
      <c r="J326" s="20" t="s">
        <v>218</v>
      </c>
      <c r="K326" s="8" t="s">
        <v>8163</v>
      </c>
      <c r="L326" s="20" t="s">
        <v>259</v>
      </c>
      <c r="M326" s="16" t="n">
        <f aca="false">H326*Scoring!$C$5</f>
        <v>5.2</v>
      </c>
      <c r="N326" s="16" t="n">
        <f aca="false">IF(I326&gt;=5,1,IF(I326=4,0.75,IF(I326=3,0.5,IF(I326=2,0.25,0))))*Scoring!$C$8</f>
        <v>1</v>
      </c>
      <c r="O326" s="16" t="n">
        <f aca="false">IF(J326="Yes",0,Scoring!$C$6)</f>
        <v>0</v>
      </c>
      <c r="P326" s="16" t="n">
        <f aca="false">IF(L326="Yes",0,Scoring!$C$7)</f>
        <v>0.5</v>
      </c>
      <c r="Q326" s="8" t="n">
        <f aca="false">ROUND(SUM(M326:P326),2)</f>
        <v>6.7</v>
      </c>
      <c r="R326" s="8" t="str">
        <f aca="false">IF(Q326&gt;=Scoring!$C$10-0.000001,"Keep","Remove")</f>
        <v>Keep</v>
      </c>
      <c r="S326" s="8" t="s">
        <v>166</v>
      </c>
    </row>
    <row r="327" customFormat="false" ht="15" hidden="false" customHeight="false" outlineLevel="0" collapsed="false">
      <c r="A327" s="8" t="s">
        <v>2373</v>
      </c>
      <c r="B327" s="8" t="s">
        <v>2374</v>
      </c>
      <c r="C327" s="8" t="s">
        <v>178</v>
      </c>
      <c r="D327" s="8" t="s">
        <v>206</v>
      </c>
      <c r="E327" s="8" t="s">
        <v>103</v>
      </c>
      <c r="F327" s="8" t="s">
        <v>78</v>
      </c>
      <c r="G327" s="8" t="n">
        <v>2</v>
      </c>
      <c r="H327" s="13" t="n">
        <v>3</v>
      </c>
      <c r="I327" s="8" t="n">
        <v>2</v>
      </c>
      <c r="J327" s="20" t="s">
        <v>259</v>
      </c>
      <c r="K327" s="8"/>
      <c r="L327" s="20" t="s">
        <v>259</v>
      </c>
      <c r="M327" s="16" t="n">
        <f aca="false">H327*Scoring!$C$5</f>
        <v>3.9</v>
      </c>
      <c r="N327" s="16" t="n">
        <f aca="false">IF(I327&gt;=5,1,IF(I327=4,0.75,IF(I327=3,0.5,IF(I327=2,0.25,0))))*Scoring!$C$8</f>
        <v>0.25</v>
      </c>
      <c r="O327" s="16" t="n">
        <f aca="false">IF(J327="Yes",0,Scoring!$C$6)</f>
        <v>2</v>
      </c>
      <c r="P327" s="16" t="n">
        <f aca="false">IF(L327="Yes",0,Scoring!$C$7)</f>
        <v>0.5</v>
      </c>
      <c r="Q327" s="8" t="n">
        <f aca="false">ROUND(SUM(M327:P327),2)</f>
        <v>6.65</v>
      </c>
      <c r="R327" s="8" t="str">
        <f aca="false">IF(Q327&gt;=Scoring!$C$10-0.000001,"Keep","Remove")</f>
        <v>Keep</v>
      </c>
      <c r="S327" s="8" t="s">
        <v>166</v>
      </c>
    </row>
    <row r="328" customFormat="false" ht="15" hidden="false" customHeight="false" outlineLevel="0" collapsed="false">
      <c r="A328" s="8" t="s">
        <v>2382</v>
      </c>
      <c r="B328" s="8" t="s">
        <v>2383</v>
      </c>
      <c r="C328" s="8" t="s">
        <v>178</v>
      </c>
      <c r="D328" s="8" t="s">
        <v>206</v>
      </c>
      <c r="E328" s="8" t="s">
        <v>103</v>
      </c>
      <c r="F328" s="8" t="s">
        <v>81</v>
      </c>
      <c r="G328" s="8" t="n">
        <v>1</v>
      </c>
      <c r="H328" s="13" t="n">
        <v>4</v>
      </c>
      <c r="I328" s="8" t="n">
        <v>3</v>
      </c>
      <c r="J328" s="20" t="s">
        <v>259</v>
      </c>
      <c r="K328" s="8"/>
      <c r="L328" s="20" t="s">
        <v>259</v>
      </c>
      <c r="M328" s="16" t="n">
        <f aca="false">H328*Scoring!$C$5</f>
        <v>5.2</v>
      </c>
      <c r="N328" s="16" t="n">
        <f aca="false">IF(I328&gt;=5,1,IF(I328=4,0.75,IF(I328=3,0.5,IF(I328=2,0.25,0))))*Scoring!$C$8</f>
        <v>0.5</v>
      </c>
      <c r="O328" s="16" t="n">
        <f aca="false">IF(J328="Yes",0,Scoring!$C$6)</f>
        <v>2</v>
      </c>
      <c r="P328" s="16" t="n">
        <f aca="false">IF(L328="Yes",0,Scoring!$C$7)</f>
        <v>0.5</v>
      </c>
      <c r="Q328" s="8" t="n">
        <f aca="false">ROUND(SUM(M328:P328),2)</f>
        <v>8.2</v>
      </c>
      <c r="R328" s="8" t="str">
        <f aca="false">IF(Q328&gt;=Scoring!$C$10-0.000001,"Keep","Remove")</f>
        <v>Keep</v>
      </c>
      <c r="S328" s="8" t="s">
        <v>166</v>
      </c>
    </row>
    <row r="329" customFormat="false" ht="15" hidden="false" customHeight="false" outlineLevel="0" collapsed="false">
      <c r="A329" s="8" t="s">
        <v>2391</v>
      </c>
      <c r="B329" s="8" t="s">
        <v>2392</v>
      </c>
      <c r="C329" s="8" t="s">
        <v>178</v>
      </c>
      <c r="D329" s="8" t="s">
        <v>206</v>
      </c>
      <c r="E329" s="8" t="s">
        <v>103</v>
      </c>
      <c r="F329" s="8" t="s">
        <v>82</v>
      </c>
      <c r="G329" s="8" t="n">
        <v>2</v>
      </c>
      <c r="H329" s="13" t="n">
        <v>3</v>
      </c>
      <c r="I329" s="8" t="n">
        <v>2</v>
      </c>
      <c r="J329" s="20" t="s">
        <v>259</v>
      </c>
      <c r="K329" s="8"/>
      <c r="L329" s="20" t="s">
        <v>259</v>
      </c>
      <c r="M329" s="16" t="n">
        <f aca="false">H329*Scoring!$C$5</f>
        <v>3.9</v>
      </c>
      <c r="N329" s="16" t="n">
        <f aca="false">IF(I329&gt;=5,1,IF(I329=4,0.75,IF(I329=3,0.5,IF(I329=2,0.25,0))))*Scoring!$C$8</f>
        <v>0.25</v>
      </c>
      <c r="O329" s="16" t="n">
        <f aca="false">IF(J329="Yes",0,Scoring!$C$6)</f>
        <v>2</v>
      </c>
      <c r="P329" s="16" t="n">
        <f aca="false">IF(L329="Yes",0,Scoring!$C$7)</f>
        <v>0.5</v>
      </c>
      <c r="Q329" s="8" t="n">
        <f aca="false">ROUND(SUM(M329:P329),2)</f>
        <v>6.65</v>
      </c>
      <c r="R329" s="8" t="str">
        <f aca="false">IF(Q329&gt;=Scoring!$C$10-0.000001,"Keep","Remove")</f>
        <v>Keep</v>
      </c>
      <c r="S329" s="8" t="s">
        <v>166</v>
      </c>
    </row>
    <row r="330" customFormat="false" ht="15" hidden="false" customHeight="false" outlineLevel="0" collapsed="false">
      <c r="A330" s="8" t="s">
        <v>2400</v>
      </c>
      <c r="B330" s="8" t="s">
        <v>2401</v>
      </c>
      <c r="C330" s="8" t="s">
        <v>178</v>
      </c>
      <c r="D330" s="8" t="s">
        <v>206</v>
      </c>
      <c r="E330" s="8" t="s">
        <v>103</v>
      </c>
      <c r="F330" s="8" t="s">
        <v>81</v>
      </c>
      <c r="G330" s="8" t="n">
        <v>2</v>
      </c>
      <c r="H330" s="13" t="n">
        <v>3</v>
      </c>
      <c r="I330" s="8" t="n">
        <v>3</v>
      </c>
      <c r="J330" s="20" t="s">
        <v>259</v>
      </c>
      <c r="K330" s="8"/>
      <c r="L330" s="20" t="s">
        <v>259</v>
      </c>
      <c r="M330" s="16" t="n">
        <f aca="false">H330*Scoring!$C$5</f>
        <v>3.9</v>
      </c>
      <c r="N330" s="16" t="n">
        <f aca="false">IF(I330&gt;=5,1,IF(I330=4,0.75,IF(I330=3,0.5,IF(I330=2,0.25,0))))*Scoring!$C$8</f>
        <v>0.5</v>
      </c>
      <c r="O330" s="16" t="n">
        <f aca="false">IF(J330="Yes",0,Scoring!$C$6)</f>
        <v>2</v>
      </c>
      <c r="P330" s="16" t="n">
        <f aca="false">IF(L330="Yes",0,Scoring!$C$7)</f>
        <v>0.5</v>
      </c>
      <c r="Q330" s="8" t="n">
        <f aca="false">ROUND(SUM(M330:P330),2)</f>
        <v>6.9</v>
      </c>
      <c r="R330" s="8" t="str">
        <f aca="false">IF(Q330&gt;=Scoring!$C$10-0.000001,"Keep","Remove")</f>
        <v>Keep</v>
      </c>
      <c r="S330" s="8" t="s">
        <v>166</v>
      </c>
    </row>
    <row r="331" customFormat="false" ht="15" hidden="false" customHeight="false" outlineLevel="0" collapsed="false">
      <c r="A331" s="8" t="s">
        <v>2407</v>
      </c>
      <c r="B331" s="8" t="s">
        <v>2408</v>
      </c>
      <c r="C331" s="8" t="s">
        <v>178</v>
      </c>
      <c r="D331" s="8" t="s">
        <v>206</v>
      </c>
      <c r="E331" s="8" t="s">
        <v>103</v>
      </c>
      <c r="F331" s="8" t="s">
        <v>81</v>
      </c>
      <c r="G331" s="8" t="n">
        <v>2</v>
      </c>
      <c r="H331" s="13" t="n">
        <v>3</v>
      </c>
      <c r="I331" s="8" t="n">
        <v>4</v>
      </c>
      <c r="J331" s="20" t="s">
        <v>259</v>
      </c>
      <c r="K331" s="8"/>
      <c r="L331" s="20" t="s">
        <v>259</v>
      </c>
      <c r="M331" s="16" t="n">
        <f aca="false">H331*Scoring!$C$5</f>
        <v>3.9</v>
      </c>
      <c r="N331" s="16" t="n">
        <f aca="false">IF(I331&gt;=5,1,IF(I331=4,0.75,IF(I331=3,0.5,IF(I331=2,0.25,0))))*Scoring!$C$8</f>
        <v>0.75</v>
      </c>
      <c r="O331" s="16" t="n">
        <f aca="false">IF(J331="Yes",0,Scoring!$C$6)</f>
        <v>2</v>
      </c>
      <c r="P331" s="16" t="n">
        <f aca="false">IF(L331="Yes",0,Scoring!$C$7)</f>
        <v>0.5</v>
      </c>
      <c r="Q331" s="8" t="n">
        <f aca="false">ROUND(SUM(M331:P331),2)</f>
        <v>7.15</v>
      </c>
      <c r="R331" s="8" t="str">
        <f aca="false">IF(Q331&gt;=Scoring!$C$10-0.000001,"Keep","Remove")</f>
        <v>Keep</v>
      </c>
      <c r="S331" s="8" t="s">
        <v>166</v>
      </c>
    </row>
    <row r="332" customFormat="false" ht="15" hidden="false" customHeight="false" outlineLevel="0" collapsed="false">
      <c r="A332" s="8" t="s">
        <v>2413</v>
      </c>
      <c r="B332" s="8" t="s">
        <v>2414</v>
      </c>
      <c r="C332" s="8" t="s">
        <v>178</v>
      </c>
      <c r="D332" s="8" t="s">
        <v>206</v>
      </c>
      <c r="E332" s="8" t="s">
        <v>108</v>
      </c>
      <c r="F332" s="8" t="s">
        <v>81</v>
      </c>
      <c r="G332" s="8" t="n">
        <v>2</v>
      </c>
      <c r="H332" s="13" t="n">
        <v>3</v>
      </c>
      <c r="I332" s="8" t="n">
        <v>4</v>
      </c>
      <c r="J332" s="20" t="s">
        <v>259</v>
      </c>
      <c r="K332" s="8"/>
      <c r="L332" s="20" t="s">
        <v>259</v>
      </c>
      <c r="M332" s="16" t="n">
        <f aca="false">H332*Scoring!$C$5</f>
        <v>3.9</v>
      </c>
      <c r="N332" s="16" t="n">
        <f aca="false">IF(I332&gt;=5,1,IF(I332=4,0.75,IF(I332=3,0.5,IF(I332=2,0.25,0))))*Scoring!$C$8</f>
        <v>0.75</v>
      </c>
      <c r="O332" s="16" t="n">
        <f aca="false">IF(J332="Yes",0,Scoring!$C$6)</f>
        <v>2</v>
      </c>
      <c r="P332" s="16" t="n">
        <f aca="false">IF(L332="Yes",0,Scoring!$C$7)</f>
        <v>0.5</v>
      </c>
      <c r="Q332" s="8" t="n">
        <f aca="false">ROUND(SUM(M332:P332),2)</f>
        <v>7.15</v>
      </c>
      <c r="R332" s="8" t="str">
        <f aca="false">IF(Q332&gt;=Scoring!$C$10-0.000001,"Keep","Remove")</f>
        <v>Keep</v>
      </c>
      <c r="S332" s="8" t="s">
        <v>166</v>
      </c>
    </row>
    <row r="333" customFormat="false" ht="15" hidden="false" customHeight="false" outlineLevel="0" collapsed="false">
      <c r="A333" s="8" t="s">
        <v>7844</v>
      </c>
      <c r="B333" s="8" t="s">
        <v>7845</v>
      </c>
      <c r="C333" s="8" t="s">
        <v>178</v>
      </c>
      <c r="D333" s="8" t="s">
        <v>206</v>
      </c>
      <c r="E333" s="8" t="s">
        <v>103</v>
      </c>
      <c r="F333" s="8" t="s">
        <v>82</v>
      </c>
      <c r="G333" s="8" t="n">
        <v>2</v>
      </c>
      <c r="H333" s="13" t="n">
        <v>3</v>
      </c>
      <c r="I333" s="8" t="n">
        <v>2</v>
      </c>
      <c r="J333" s="20" t="s">
        <v>218</v>
      </c>
      <c r="K333" s="8" t="s">
        <v>8164</v>
      </c>
      <c r="L333" s="20" t="s">
        <v>259</v>
      </c>
      <c r="M333" s="16" t="n">
        <f aca="false">H333*Scoring!$C$5</f>
        <v>3.9</v>
      </c>
      <c r="N333" s="16" t="n">
        <f aca="false">IF(I333&gt;=5,1,IF(I333=4,0.75,IF(I333=3,0.5,IF(I333=2,0.25,0))))*Scoring!$C$8</f>
        <v>0.25</v>
      </c>
      <c r="O333" s="16" t="n">
        <f aca="false">IF(J333="Yes",0,Scoring!$C$6)</f>
        <v>0</v>
      </c>
      <c r="P333" s="16" t="n">
        <f aca="false">IF(L333="Yes",0,Scoring!$C$7)</f>
        <v>0.5</v>
      </c>
      <c r="Q333" s="8" t="n">
        <f aca="false">ROUND(SUM(M333:P333),2)</f>
        <v>4.65</v>
      </c>
      <c r="R333" s="8" t="str">
        <f aca="false">IF(Q333&gt;=Scoring!$C$10-0.000001,"Keep","Remove")</f>
        <v>Remove</v>
      </c>
      <c r="S333" s="8" t="s">
        <v>7846</v>
      </c>
    </row>
    <row r="334" customFormat="false" ht="15" hidden="false" customHeight="false" outlineLevel="0" collapsed="false">
      <c r="A334" s="8" t="s">
        <v>7890</v>
      </c>
      <c r="B334" s="8" t="s">
        <v>7891</v>
      </c>
      <c r="C334" s="8" t="s">
        <v>178</v>
      </c>
      <c r="D334" s="8" t="s">
        <v>206</v>
      </c>
      <c r="E334" s="8" t="s">
        <v>111</v>
      </c>
      <c r="F334" s="8" t="s">
        <v>87</v>
      </c>
      <c r="G334" s="8" t="n">
        <v>3</v>
      </c>
      <c r="H334" s="13" t="n">
        <v>2</v>
      </c>
      <c r="I334" s="8" t="n">
        <v>3</v>
      </c>
      <c r="J334" s="20" t="s">
        <v>218</v>
      </c>
      <c r="K334" s="8" t="s">
        <v>8165</v>
      </c>
      <c r="L334" s="20" t="s">
        <v>259</v>
      </c>
      <c r="M334" s="16" t="n">
        <f aca="false">H334*Scoring!$C$5</f>
        <v>2.6</v>
      </c>
      <c r="N334" s="16" t="n">
        <f aca="false">IF(I334&gt;=5,1,IF(I334=4,0.75,IF(I334=3,0.5,IF(I334=2,0.25,0))))*Scoring!$C$8</f>
        <v>0.5</v>
      </c>
      <c r="O334" s="16" t="n">
        <f aca="false">IF(J334="Yes",0,Scoring!$C$6)</f>
        <v>0</v>
      </c>
      <c r="P334" s="16" t="n">
        <f aca="false">IF(L334="Yes",0,Scoring!$C$7)</f>
        <v>0.5</v>
      </c>
      <c r="Q334" s="8" t="n">
        <f aca="false">ROUND(SUM(M334:P334),2)</f>
        <v>3.6</v>
      </c>
      <c r="R334" s="8" t="str">
        <f aca="false">IF(Q334&gt;=Scoring!$C$10-0.000001,"Keep","Remove")</f>
        <v>Remove</v>
      </c>
      <c r="S334" s="8" t="s">
        <v>7892</v>
      </c>
    </row>
    <row r="335" customFormat="false" ht="15" hidden="false" customHeight="false" outlineLevel="0" collapsed="false">
      <c r="A335" s="8" t="s">
        <v>7835</v>
      </c>
      <c r="B335" s="8" t="s">
        <v>7836</v>
      </c>
      <c r="C335" s="8" t="s">
        <v>178</v>
      </c>
      <c r="D335" s="8" t="s">
        <v>206</v>
      </c>
      <c r="E335" s="8" t="s">
        <v>103</v>
      </c>
      <c r="F335" s="8" t="s">
        <v>78</v>
      </c>
      <c r="G335" s="8" t="n">
        <v>2</v>
      </c>
      <c r="H335" s="13" t="n">
        <v>3</v>
      </c>
      <c r="I335" s="8" t="n">
        <v>3</v>
      </c>
      <c r="J335" s="20" t="s">
        <v>218</v>
      </c>
      <c r="K335" s="8" t="s">
        <v>8166</v>
      </c>
      <c r="L335" s="20" t="s">
        <v>259</v>
      </c>
      <c r="M335" s="16" t="n">
        <f aca="false">H335*Scoring!$C$5</f>
        <v>3.9</v>
      </c>
      <c r="N335" s="16" t="n">
        <f aca="false">IF(I335&gt;=5,1,IF(I335=4,0.75,IF(I335=3,0.5,IF(I335=2,0.25,0))))*Scoring!$C$8</f>
        <v>0.5</v>
      </c>
      <c r="O335" s="16" t="n">
        <f aca="false">IF(J335="Yes",0,Scoring!$C$6)</f>
        <v>0</v>
      </c>
      <c r="P335" s="16" t="n">
        <f aca="false">IF(L335="Yes",0,Scoring!$C$7)</f>
        <v>0.5</v>
      </c>
      <c r="Q335" s="8" t="n">
        <f aca="false">ROUND(SUM(M335:P335),2)</f>
        <v>4.9</v>
      </c>
      <c r="R335" s="8" t="str">
        <f aca="false">IF(Q335&gt;=Scoring!$C$10-0.000001,"Keep","Remove")</f>
        <v>Remove</v>
      </c>
      <c r="S335" s="8" t="s">
        <v>7837</v>
      </c>
    </row>
    <row r="336" customFormat="false" ht="15" hidden="false" customHeight="false" outlineLevel="0" collapsed="false">
      <c r="A336" s="8" t="s">
        <v>2424</v>
      </c>
      <c r="B336" s="8" t="s">
        <v>2425</v>
      </c>
      <c r="C336" s="8" t="s">
        <v>178</v>
      </c>
      <c r="D336" s="8" t="s">
        <v>206</v>
      </c>
      <c r="E336" s="8" t="s">
        <v>103</v>
      </c>
      <c r="F336" s="8" t="s">
        <v>78</v>
      </c>
      <c r="G336" s="8" t="n">
        <v>2</v>
      </c>
      <c r="H336" s="13" t="n">
        <v>3</v>
      </c>
      <c r="I336" s="8" t="n">
        <v>5</v>
      </c>
      <c r="J336" s="20" t="s">
        <v>259</v>
      </c>
      <c r="K336" s="8"/>
      <c r="L336" s="20" t="s">
        <v>259</v>
      </c>
      <c r="M336" s="16" t="n">
        <f aca="false">H336*Scoring!$C$5</f>
        <v>3.9</v>
      </c>
      <c r="N336" s="16" t="n">
        <f aca="false">IF(I336&gt;=5,1,IF(I336=4,0.75,IF(I336=3,0.5,IF(I336=2,0.25,0))))*Scoring!$C$8</f>
        <v>1</v>
      </c>
      <c r="O336" s="16" t="n">
        <f aca="false">IF(J336="Yes",0,Scoring!$C$6)</f>
        <v>2</v>
      </c>
      <c r="P336" s="16" t="n">
        <f aca="false">IF(L336="Yes",0,Scoring!$C$7)</f>
        <v>0.5</v>
      </c>
      <c r="Q336" s="8" t="n">
        <f aca="false">ROUND(SUM(M336:P336),2)</f>
        <v>7.4</v>
      </c>
      <c r="R336" s="8" t="str">
        <f aca="false">IF(Q336&gt;=Scoring!$C$10-0.000001,"Keep","Remove")</f>
        <v>Keep</v>
      </c>
      <c r="S336" s="8" t="s">
        <v>166</v>
      </c>
    </row>
    <row r="337" customFormat="false" ht="15" hidden="false" customHeight="false" outlineLevel="0" collapsed="false">
      <c r="A337" s="8" t="s">
        <v>7480</v>
      </c>
      <c r="B337" s="8" t="s">
        <v>7481</v>
      </c>
      <c r="C337" s="8" t="s">
        <v>178</v>
      </c>
      <c r="D337" s="8" t="s">
        <v>206</v>
      </c>
      <c r="E337" s="8" t="s">
        <v>103</v>
      </c>
      <c r="F337" s="8" t="s">
        <v>78</v>
      </c>
      <c r="G337" s="8" t="n">
        <v>3</v>
      </c>
      <c r="H337" s="13" t="n">
        <v>2</v>
      </c>
      <c r="I337" s="8" t="n">
        <v>4</v>
      </c>
      <c r="J337" s="20" t="s">
        <v>259</v>
      </c>
      <c r="K337" s="8"/>
      <c r="L337" s="20" t="s">
        <v>259</v>
      </c>
      <c r="M337" s="16" t="n">
        <f aca="false">H337*Scoring!$C$5</f>
        <v>2.6</v>
      </c>
      <c r="N337" s="16" t="n">
        <f aca="false">IF(I337&gt;=5,1,IF(I337=4,0.75,IF(I337=3,0.5,IF(I337=2,0.25,0))))*Scoring!$C$8</f>
        <v>0.75</v>
      </c>
      <c r="O337" s="16" t="n">
        <f aca="false">IF(J337="Yes",0,Scoring!$C$6)</f>
        <v>2</v>
      </c>
      <c r="P337" s="16" t="n">
        <f aca="false">IF(L337="Yes",0,Scoring!$C$7)</f>
        <v>0.5</v>
      </c>
      <c r="Q337" s="8" t="n">
        <f aca="false">ROUND(SUM(M337:P337),2)</f>
        <v>5.85</v>
      </c>
      <c r="R337" s="8" t="str">
        <f aca="false">IF(Q337&gt;=Scoring!$C$10-0.000001,"Keep","Remove")</f>
        <v>Remove</v>
      </c>
      <c r="S337" s="8" t="s">
        <v>7243</v>
      </c>
    </row>
    <row r="338" customFormat="false" ht="15" hidden="false" customHeight="false" outlineLevel="0" collapsed="false">
      <c r="A338" s="8" t="s">
        <v>7276</v>
      </c>
      <c r="B338" s="8" t="s">
        <v>7277</v>
      </c>
      <c r="C338" s="8" t="s">
        <v>178</v>
      </c>
      <c r="D338" s="8" t="s">
        <v>206</v>
      </c>
      <c r="E338" s="8" t="s">
        <v>103</v>
      </c>
      <c r="F338" s="8" t="s">
        <v>78</v>
      </c>
      <c r="G338" s="8" t="n">
        <v>3</v>
      </c>
      <c r="H338" s="13" t="n">
        <v>2</v>
      </c>
      <c r="I338" s="8" t="n">
        <v>5</v>
      </c>
      <c r="J338" s="20" t="s">
        <v>259</v>
      </c>
      <c r="K338" s="8"/>
      <c r="L338" s="20" t="s">
        <v>259</v>
      </c>
      <c r="M338" s="16" t="n">
        <f aca="false">H338*Scoring!$C$5</f>
        <v>2.6</v>
      </c>
      <c r="N338" s="16" t="n">
        <f aca="false">IF(I338&gt;=5,1,IF(I338=4,0.75,IF(I338=3,0.5,IF(I338=2,0.25,0))))*Scoring!$C$8</f>
        <v>1</v>
      </c>
      <c r="O338" s="16" t="n">
        <f aca="false">IF(J338="Yes",0,Scoring!$C$6)</f>
        <v>2</v>
      </c>
      <c r="P338" s="16" t="n">
        <f aca="false">IF(L338="Yes",0,Scoring!$C$7)</f>
        <v>0.5</v>
      </c>
      <c r="Q338" s="8" t="n">
        <f aca="false">ROUND(SUM(M338:P338),2)</f>
        <v>6.1</v>
      </c>
      <c r="R338" s="8" t="str">
        <f aca="false">IF(Q338&gt;=Scoring!$C$10-0.000001,"Keep","Remove")</f>
        <v>Remove</v>
      </c>
      <c r="S338" s="8" t="s">
        <v>7243</v>
      </c>
    </row>
    <row r="339" customFormat="false" ht="15" hidden="false" customHeight="false" outlineLevel="0" collapsed="false">
      <c r="A339" s="8" t="s">
        <v>7893</v>
      </c>
      <c r="B339" s="8" t="s">
        <v>7894</v>
      </c>
      <c r="C339" s="8" t="s">
        <v>178</v>
      </c>
      <c r="D339" s="8" t="s">
        <v>206</v>
      </c>
      <c r="E339" s="8" t="s">
        <v>110</v>
      </c>
      <c r="F339" s="8" t="s">
        <v>78</v>
      </c>
      <c r="G339" s="8" t="n">
        <v>3</v>
      </c>
      <c r="H339" s="13" t="n">
        <v>2</v>
      </c>
      <c r="I339" s="8" t="n">
        <v>3</v>
      </c>
      <c r="J339" s="20" t="s">
        <v>218</v>
      </c>
      <c r="K339" s="8" t="s">
        <v>8167</v>
      </c>
      <c r="L339" s="20" t="s">
        <v>259</v>
      </c>
      <c r="M339" s="16" t="n">
        <f aca="false">H339*Scoring!$C$5</f>
        <v>2.6</v>
      </c>
      <c r="N339" s="16" t="n">
        <f aca="false">IF(I339&gt;=5,1,IF(I339=4,0.75,IF(I339=3,0.5,IF(I339=2,0.25,0))))*Scoring!$C$8</f>
        <v>0.5</v>
      </c>
      <c r="O339" s="16" t="n">
        <f aca="false">IF(J339="Yes",0,Scoring!$C$6)</f>
        <v>0</v>
      </c>
      <c r="P339" s="16" t="n">
        <f aca="false">IF(L339="Yes",0,Scoring!$C$7)</f>
        <v>0.5</v>
      </c>
      <c r="Q339" s="8" t="n">
        <f aca="false">ROUND(SUM(M339:P339),2)</f>
        <v>3.6</v>
      </c>
      <c r="R339" s="8" t="str">
        <f aca="false">IF(Q339&gt;=Scoring!$C$10-0.000001,"Keep","Remove")</f>
        <v>Remove</v>
      </c>
      <c r="S339" s="8" t="s">
        <v>7895</v>
      </c>
    </row>
    <row r="340" customFormat="false" ht="15" hidden="false" customHeight="false" outlineLevel="0" collapsed="false">
      <c r="A340" s="8" t="s">
        <v>7838</v>
      </c>
      <c r="B340" s="8" t="s">
        <v>7839</v>
      </c>
      <c r="C340" s="8" t="s">
        <v>178</v>
      </c>
      <c r="D340" s="8" t="s">
        <v>206</v>
      </c>
      <c r="E340" s="8" t="s">
        <v>108</v>
      </c>
      <c r="F340" s="8" t="s">
        <v>81</v>
      </c>
      <c r="G340" s="8" t="n">
        <v>2</v>
      </c>
      <c r="H340" s="13" t="n">
        <v>3</v>
      </c>
      <c r="I340" s="8" t="n">
        <v>3</v>
      </c>
      <c r="J340" s="20" t="s">
        <v>218</v>
      </c>
      <c r="K340" s="8" t="s">
        <v>8168</v>
      </c>
      <c r="L340" s="20" t="s">
        <v>259</v>
      </c>
      <c r="M340" s="16" t="n">
        <f aca="false">H340*Scoring!$C$5</f>
        <v>3.9</v>
      </c>
      <c r="N340" s="16" t="n">
        <f aca="false">IF(I340&gt;=5,1,IF(I340=4,0.75,IF(I340=3,0.5,IF(I340=2,0.25,0))))*Scoring!$C$8</f>
        <v>0.5</v>
      </c>
      <c r="O340" s="16" t="n">
        <f aca="false">IF(J340="Yes",0,Scoring!$C$6)</f>
        <v>0</v>
      </c>
      <c r="P340" s="16" t="n">
        <f aca="false">IF(L340="Yes",0,Scoring!$C$7)</f>
        <v>0.5</v>
      </c>
      <c r="Q340" s="8" t="n">
        <f aca="false">ROUND(SUM(M340:P340),2)</f>
        <v>4.9</v>
      </c>
      <c r="R340" s="8" t="str">
        <f aca="false">IF(Q340&gt;=Scoring!$C$10-0.000001,"Keep","Remove")</f>
        <v>Remove</v>
      </c>
      <c r="S340" s="8" t="s">
        <v>7840</v>
      </c>
    </row>
    <row r="341" customFormat="false" ht="15" hidden="false" customHeight="false" outlineLevel="0" collapsed="false">
      <c r="A341" s="8" t="s">
        <v>7850</v>
      </c>
      <c r="B341" s="8" t="s">
        <v>7851</v>
      </c>
      <c r="C341" s="8" t="s">
        <v>178</v>
      </c>
      <c r="D341" s="8" t="s">
        <v>206</v>
      </c>
      <c r="E341" s="8" t="s">
        <v>108</v>
      </c>
      <c r="F341" s="8" t="s">
        <v>81</v>
      </c>
      <c r="G341" s="8" t="n">
        <v>3</v>
      </c>
      <c r="H341" s="13" t="n">
        <v>2</v>
      </c>
      <c r="I341" s="8" t="n">
        <v>5</v>
      </c>
      <c r="J341" s="20" t="s">
        <v>218</v>
      </c>
      <c r="K341" s="8" t="s">
        <v>8169</v>
      </c>
      <c r="L341" s="20" t="s">
        <v>259</v>
      </c>
      <c r="M341" s="16" t="n">
        <f aca="false">H341*Scoring!$C$5</f>
        <v>2.6</v>
      </c>
      <c r="N341" s="16" t="n">
        <f aca="false">IF(I341&gt;=5,1,IF(I341=4,0.75,IF(I341=3,0.5,IF(I341=2,0.25,0))))*Scoring!$C$8</f>
        <v>1</v>
      </c>
      <c r="O341" s="16" t="n">
        <f aca="false">IF(J341="Yes",0,Scoring!$C$6)</f>
        <v>0</v>
      </c>
      <c r="P341" s="16" t="n">
        <f aca="false">IF(L341="Yes",0,Scoring!$C$7)</f>
        <v>0.5</v>
      </c>
      <c r="Q341" s="8" t="n">
        <f aca="false">ROUND(SUM(M341:P341),2)</f>
        <v>4.1</v>
      </c>
      <c r="R341" s="8" t="str">
        <f aca="false">IF(Q341&gt;=Scoring!$C$10-0.000001,"Keep","Remove")</f>
        <v>Remove</v>
      </c>
      <c r="S341" s="8" t="s">
        <v>7852</v>
      </c>
    </row>
    <row r="342" customFormat="false" ht="15" hidden="false" customHeight="false" outlineLevel="0" collapsed="false">
      <c r="A342" s="8" t="s">
        <v>2432</v>
      </c>
      <c r="B342" s="8" t="s">
        <v>2433</v>
      </c>
      <c r="C342" s="8" t="s">
        <v>178</v>
      </c>
      <c r="D342" s="8" t="s">
        <v>206</v>
      </c>
      <c r="E342" s="8" t="s">
        <v>103</v>
      </c>
      <c r="F342" s="8" t="s">
        <v>79</v>
      </c>
      <c r="G342" s="8" t="n">
        <v>2</v>
      </c>
      <c r="H342" s="13" t="n">
        <v>3</v>
      </c>
      <c r="I342" s="8" t="n">
        <v>3</v>
      </c>
      <c r="J342" s="20" t="s">
        <v>259</v>
      </c>
      <c r="K342" s="8"/>
      <c r="L342" s="20" t="s">
        <v>259</v>
      </c>
      <c r="M342" s="16" t="n">
        <f aca="false">H342*Scoring!$C$5</f>
        <v>3.9</v>
      </c>
      <c r="N342" s="16" t="n">
        <f aca="false">IF(I342&gt;=5,1,IF(I342=4,0.75,IF(I342=3,0.5,IF(I342=2,0.25,0))))*Scoring!$C$8</f>
        <v>0.5</v>
      </c>
      <c r="O342" s="16" t="n">
        <f aca="false">IF(J342="Yes",0,Scoring!$C$6)</f>
        <v>2</v>
      </c>
      <c r="P342" s="16" t="n">
        <f aca="false">IF(L342="Yes",0,Scoring!$C$7)</f>
        <v>0.5</v>
      </c>
      <c r="Q342" s="8" t="n">
        <f aca="false">ROUND(SUM(M342:P342),2)</f>
        <v>6.9</v>
      </c>
      <c r="R342" s="8" t="str">
        <f aca="false">IF(Q342&gt;=Scoring!$C$10-0.000001,"Keep","Remove")</f>
        <v>Keep</v>
      </c>
      <c r="S342" s="8" t="s">
        <v>166</v>
      </c>
    </row>
    <row r="343" customFormat="false" ht="15" hidden="false" customHeight="false" outlineLevel="0" collapsed="false">
      <c r="A343" s="8" t="s">
        <v>7686</v>
      </c>
      <c r="B343" s="8" t="s">
        <v>7687</v>
      </c>
      <c r="C343" s="8" t="s">
        <v>178</v>
      </c>
      <c r="D343" s="8" t="s">
        <v>206</v>
      </c>
      <c r="E343" s="8" t="s">
        <v>104</v>
      </c>
      <c r="F343" s="8" t="s">
        <v>87</v>
      </c>
      <c r="G343" s="8" t="n">
        <v>2</v>
      </c>
      <c r="H343" s="13" t="n">
        <v>2</v>
      </c>
      <c r="I343" s="8" t="n">
        <v>3</v>
      </c>
      <c r="J343" s="20" t="s">
        <v>259</v>
      </c>
      <c r="K343" s="8"/>
      <c r="L343" s="20" t="s">
        <v>259</v>
      </c>
      <c r="M343" s="16" t="n">
        <f aca="false">H343*Scoring!$C$5</f>
        <v>2.6</v>
      </c>
      <c r="N343" s="16" t="n">
        <f aca="false">IF(I343&gt;=5,1,IF(I343=4,0.75,IF(I343=3,0.5,IF(I343=2,0.25,0))))*Scoring!$C$8</f>
        <v>0.5</v>
      </c>
      <c r="O343" s="16" t="n">
        <f aca="false">IF(J343="Yes",0,Scoring!$C$6)</f>
        <v>2</v>
      </c>
      <c r="P343" s="16" t="n">
        <f aca="false">IF(L343="Yes",0,Scoring!$C$7)</f>
        <v>0.5</v>
      </c>
      <c r="Q343" s="8" t="n">
        <f aca="false">ROUND(SUM(M343:P343),2)</f>
        <v>5.6</v>
      </c>
      <c r="R343" s="8" t="str">
        <f aca="false">IF(Q343&gt;=Scoring!$C$10-0.000001,"Keep","Remove")</f>
        <v>Remove</v>
      </c>
      <c r="S343" s="8" t="s">
        <v>7243</v>
      </c>
    </row>
    <row r="344" customFormat="false" ht="15" hidden="false" customHeight="false" outlineLevel="0" collapsed="false">
      <c r="A344" s="8" t="s">
        <v>2439</v>
      </c>
      <c r="B344" s="8" t="s">
        <v>2440</v>
      </c>
      <c r="C344" s="8" t="s">
        <v>178</v>
      </c>
      <c r="D344" s="8" t="s">
        <v>206</v>
      </c>
      <c r="E344" s="8" t="s">
        <v>103</v>
      </c>
      <c r="F344" s="8" t="s">
        <v>88</v>
      </c>
      <c r="G344" s="8" t="n">
        <v>1</v>
      </c>
      <c r="H344" s="13" t="n">
        <v>3</v>
      </c>
      <c r="I344" s="8" t="n">
        <v>5</v>
      </c>
      <c r="J344" s="20" t="s">
        <v>259</v>
      </c>
      <c r="K344" s="8"/>
      <c r="L344" s="20" t="s">
        <v>259</v>
      </c>
      <c r="M344" s="16" t="n">
        <f aca="false">H344*Scoring!$C$5</f>
        <v>3.9</v>
      </c>
      <c r="N344" s="16" t="n">
        <f aca="false">IF(I344&gt;=5,1,IF(I344=4,0.75,IF(I344=3,0.5,IF(I344=2,0.25,0))))*Scoring!$C$8</f>
        <v>1</v>
      </c>
      <c r="O344" s="16" t="n">
        <f aca="false">IF(J344="Yes",0,Scoring!$C$6)</f>
        <v>2</v>
      </c>
      <c r="P344" s="16" t="n">
        <f aca="false">IF(L344="Yes",0,Scoring!$C$7)</f>
        <v>0.5</v>
      </c>
      <c r="Q344" s="8" t="n">
        <f aca="false">ROUND(SUM(M344:P344),2)</f>
        <v>7.4</v>
      </c>
      <c r="R344" s="8" t="str">
        <f aca="false">IF(Q344&gt;=Scoring!$C$10-0.000001,"Keep","Remove")</f>
        <v>Keep</v>
      </c>
      <c r="S344" s="8" t="s">
        <v>166</v>
      </c>
    </row>
    <row r="345" customFormat="false" ht="15" hidden="false" customHeight="false" outlineLevel="0" collapsed="false">
      <c r="A345" s="8" t="s">
        <v>7789</v>
      </c>
      <c r="B345" s="8" t="s">
        <v>7790</v>
      </c>
      <c r="C345" s="8" t="s">
        <v>178</v>
      </c>
      <c r="D345" s="8" t="s">
        <v>206</v>
      </c>
      <c r="E345" s="8" t="s">
        <v>103</v>
      </c>
      <c r="F345" s="8" t="s">
        <v>88</v>
      </c>
      <c r="G345" s="8" t="n">
        <v>2</v>
      </c>
      <c r="H345" s="13" t="n">
        <v>2</v>
      </c>
      <c r="I345" s="8" t="n">
        <v>2</v>
      </c>
      <c r="J345" s="20" t="s">
        <v>259</v>
      </c>
      <c r="K345" s="8"/>
      <c r="L345" s="20" t="s">
        <v>259</v>
      </c>
      <c r="M345" s="16" t="n">
        <f aca="false">H345*Scoring!$C$5</f>
        <v>2.6</v>
      </c>
      <c r="N345" s="16" t="n">
        <f aca="false">IF(I345&gt;=5,1,IF(I345=4,0.75,IF(I345=3,0.5,IF(I345=2,0.25,0))))*Scoring!$C$8</f>
        <v>0.25</v>
      </c>
      <c r="O345" s="16" t="n">
        <f aca="false">IF(J345="Yes",0,Scoring!$C$6)</f>
        <v>2</v>
      </c>
      <c r="P345" s="16" t="n">
        <f aca="false">IF(L345="Yes",0,Scoring!$C$7)</f>
        <v>0.5</v>
      </c>
      <c r="Q345" s="8" t="n">
        <f aca="false">ROUND(SUM(M345:P345),2)</f>
        <v>5.35</v>
      </c>
      <c r="R345" s="8" t="str">
        <f aca="false">IF(Q345&gt;=Scoring!$C$10-0.000001,"Keep","Remove")</f>
        <v>Remove</v>
      </c>
      <c r="S345" s="8" t="s">
        <v>7243</v>
      </c>
    </row>
    <row r="346" customFormat="false" ht="15" hidden="false" customHeight="false" outlineLevel="0" collapsed="false">
      <c r="A346" s="8" t="s">
        <v>2449</v>
      </c>
      <c r="B346" s="8" t="s">
        <v>2450</v>
      </c>
      <c r="C346" s="8" t="s">
        <v>178</v>
      </c>
      <c r="D346" s="8" t="s">
        <v>206</v>
      </c>
      <c r="E346" s="8" t="s">
        <v>105</v>
      </c>
      <c r="F346" s="8" t="s">
        <v>88</v>
      </c>
      <c r="G346" s="8" t="n">
        <v>1</v>
      </c>
      <c r="H346" s="13" t="n">
        <v>3</v>
      </c>
      <c r="I346" s="8" t="n">
        <v>4</v>
      </c>
      <c r="J346" s="20" t="s">
        <v>259</v>
      </c>
      <c r="K346" s="8"/>
      <c r="L346" s="20" t="s">
        <v>259</v>
      </c>
      <c r="M346" s="16" t="n">
        <f aca="false">H346*Scoring!$C$5</f>
        <v>3.9</v>
      </c>
      <c r="N346" s="16" t="n">
        <f aca="false">IF(I346&gt;=5,1,IF(I346=4,0.75,IF(I346=3,0.5,IF(I346=2,0.25,0))))*Scoring!$C$8</f>
        <v>0.75</v>
      </c>
      <c r="O346" s="16" t="n">
        <f aca="false">IF(J346="Yes",0,Scoring!$C$6)</f>
        <v>2</v>
      </c>
      <c r="P346" s="16" t="n">
        <f aca="false">IF(L346="Yes",0,Scoring!$C$7)</f>
        <v>0.5</v>
      </c>
      <c r="Q346" s="8" t="n">
        <f aca="false">ROUND(SUM(M346:P346),2)</f>
        <v>7.15</v>
      </c>
      <c r="R346" s="8" t="str">
        <f aca="false">IF(Q346&gt;=Scoring!$C$10-0.000001,"Keep","Remove")</f>
        <v>Keep</v>
      </c>
      <c r="S346" s="8" t="s">
        <v>166</v>
      </c>
    </row>
    <row r="347" customFormat="false" ht="15" hidden="false" customHeight="false" outlineLevel="0" collapsed="false">
      <c r="A347" s="8" t="s">
        <v>2458</v>
      </c>
      <c r="B347" s="8" t="s">
        <v>2459</v>
      </c>
      <c r="C347" s="8" t="s">
        <v>178</v>
      </c>
      <c r="D347" s="8" t="s">
        <v>206</v>
      </c>
      <c r="E347" s="8" t="s">
        <v>103</v>
      </c>
      <c r="F347" s="8" t="s">
        <v>88</v>
      </c>
      <c r="G347" s="8" t="n">
        <v>1</v>
      </c>
      <c r="H347" s="13" t="n">
        <v>3</v>
      </c>
      <c r="I347" s="8" t="n">
        <v>2</v>
      </c>
      <c r="J347" s="20" t="s">
        <v>259</v>
      </c>
      <c r="K347" s="8"/>
      <c r="L347" s="20" t="s">
        <v>259</v>
      </c>
      <c r="M347" s="16" t="n">
        <f aca="false">H347*Scoring!$C$5</f>
        <v>3.9</v>
      </c>
      <c r="N347" s="16" t="n">
        <f aca="false">IF(I347&gt;=5,1,IF(I347=4,0.75,IF(I347=3,0.5,IF(I347=2,0.25,0))))*Scoring!$C$8</f>
        <v>0.25</v>
      </c>
      <c r="O347" s="16" t="n">
        <f aca="false">IF(J347="Yes",0,Scoring!$C$6)</f>
        <v>2</v>
      </c>
      <c r="P347" s="16" t="n">
        <f aca="false">IF(L347="Yes",0,Scoring!$C$7)</f>
        <v>0.5</v>
      </c>
      <c r="Q347" s="8" t="n">
        <f aca="false">ROUND(SUM(M347:P347),2)</f>
        <v>6.65</v>
      </c>
      <c r="R347" s="8" t="str">
        <f aca="false">IF(Q347&gt;=Scoring!$C$10-0.000001,"Keep","Remove")</f>
        <v>Keep</v>
      </c>
      <c r="S347" s="8" t="s">
        <v>166</v>
      </c>
    </row>
    <row r="348" customFormat="false" ht="15" hidden="false" customHeight="false" outlineLevel="0" collapsed="false">
      <c r="A348" s="8" t="s">
        <v>2467</v>
      </c>
      <c r="B348" s="8" t="s">
        <v>2468</v>
      </c>
      <c r="C348" s="8" t="s">
        <v>178</v>
      </c>
      <c r="D348" s="8" t="s">
        <v>206</v>
      </c>
      <c r="E348" s="8" t="s">
        <v>103</v>
      </c>
      <c r="F348" s="8" t="s">
        <v>88</v>
      </c>
      <c r="G348" s="8" t="n">
        <v>1</v>
      </c>
      <c r="H348" s="13" t="n">
        <v>3</v>
      </c>
      <c r="I348" s="8" t="n">
        <v>4</v>
      </c>
      <c r="J348" s="20" t="s">
        <v>259</v>
      </c>
      <c r="K348" s="8"/>
      <c r="L348" s="20" t="s">
        <v>259</v>
      </c>
      <c r="M348" s="16" t="n">
        <f aca="false">H348*Scoring!$C$5</f>
        <v>3.9</v>
      </c>
      <c r="N348" s="16" t="n">
        <f aca="false">IF(I348&gt;=5,1,IF(I348=4,0.75,IF(I348=3,0.5,IF(I348=2,0.25,0))))*Scoring!$C$8</f>
        <v>0.75</v>
      </c>
      <c r="O348" s="16" t="n">
        <f aca="false">IF(J348="Yes",0,Scoring!$C$6)</f>
        <v>2</v>
      </c>
      <c r="P348" s="16" t="n">
        <f aca="false">IF(L348="Yes",0,Scoring!$C$7)</f>
        <v>0.5</v>
      </c>
      <c r="Q348" s="8" t="n">
        <f aca="false">ROUND(SUM(M348:P348),2)</f>
        <v>7.15</v>
      </c>
      <c r="R348" s="8" t="str">
        <f aca="false">IF(Q348&gt;=Scoring!$C$10-0.000001,"Keep","Remove")</f>
        <v>Keep</v>
      </c>
      <c r="S348" s="8" t="s">
        <v>166</v>
      </c>
    </row>
    <row r="349" customFormat="false" ht="15" hidden="false" customHeight="false" outlineLevel="0" collapsed="false">
      <c r="A349" s="8" t="s">
        <v>7759</v>
      </c>
      <c r="B349" s="8" t="s">
        <v>7760</v>
      </c>
      <c r="C349" s="8" t="s">
        <v>178</v>
      </c>
      <c r="D349" s="8" t="s">
        <v>206</v>
      </c>
      <c r="E349" s="8" t="s">
        <v>108</v>
      </c>
      <c r="F349" s="8" t="s">
        <v>80</v>
      </c>
      <c r="G349" s="8" t="n">
        <v>2</v>
      </c>
      <c r="H349" s="13" t="n">
        <v>3</v>
      </c>
      <c r="I349" s="8" t="n">
        <v>5</v>
      </c>
      <c r="J349" s="20" t="s">
        <v>218</v>
      </c>
      <c r="K349" s="8" t="s">
        <v>8170</v>
      </c>
      <c r="L349" s="20" t="s">
        <v>259</v>
      </c>
      <c r="M349" s="16" t="n">
        <f aca="false">H349*Scoring!$C$5</f>
        <v>3.9</v>
      </c>
      <c r="N349" s="16" t="n">
        <f aca="false">IF(I349&gt;=5,1,IF(I349=4,0.75,IF(I349=3,0.5,IF(I349=2,0.25,0))))*Scoring!$C$8</f>
        <v>1</v>
      </c>
      <c r="O349" s="16" t="n">
        <f aca="false">IF(J349="Yes",0,Scoring!$C$6)</f>
        <v>0</v>
      </c>
      <c r="P349" s="16" t="n">
        <f aca="false">IF(L349="Yes",0,Scoring!$C$7)</f>
        <v>0.5</v>
      </c>
      <c r="Q349" s="8" t="n">
        <f aca="false">ROUND(SUM(M349:P349),2)</f>
        <v>5.4</v>
      </c>
      <c r="R349" s="8" t="str">
        <f aca="false">IF(Q349&gt;=Scoring!$C$10-0.000001,"Keep","Remove")</f>
        <v>Remove</v>
      </c>
      <c r="S349" s="8" t="s">
        <v>7761</v>
      </c>
    </row>
    <row r="350" customFormat="false" ht="15" hidden="false" customHeight="false" outlineLevel="0" collapsed="false">
      <c r="A350" s="8" t="s">
        <v>2475</v>
      </c>
      <c r="B350" s="8" t="s">
        <v>2476</v>
      </c>
      <c r="C350" s="8" t="s">
        <v>178</v>
      </c>
      <c r="D350" s="8" t="s">
        <v>206</v>
      </c>
      <c r="E350" s="8" t="s">
        <v>104</v>
      </c>
      <c r="F350" s="8" t="s">
        <v>84</v>
      </c>
      <c r="G350" s="8" t="n">
        <v>2</v>
      </c>
      <c r="H350" s="13" t="n">
        <v>3</v>
      </c>
      <c r="I350" s="8" t="n">
        <v>5</v>
      </c>
      <c r="J350" s="20" t="s">
        <v>259</v>
      </c>
      <c r="K350" s="8"/>
      <c r="L350" s="20" t="s">
        <v>259</v>
      </c>
      <c r="M350" s="16" t="n">
        <f aca="false">H350*Scoring!$C$5</f>
        <v>3.9</v>
      </c>
      <c r="N350" s="16" t="n">
        <f aca="false">IF(I350&gt;=5,1,IF(I350=4,0.75,IF(I350=3,0.5,IF(I350=2,0.25,0))))*Scoring!$C$8</f>
        <v>1</v>
      </c>
      <c r="O350" s="16" t="n">
        <f aca="false">IF(J350="Yes",0,Scoring!$C$6)</f>
        <v>2</v>
      </c>
      <c r="P350" s="16" t="n">
        <f aca="false">IF(L350="Yes",0,Scoring!$C$7)</f>
        <v>0.5</v>
      </c>
      <c r="Q350" s="8" t="n">
        <f aca="false">ROUND(SUM(M350:P350),2)</f>
        <v>7.4</v>
      </c>
      <c r="R350" s="8" t="str">
        <f aca="false">IF(Q350&gt;=Scoring!$C$10-0.000001,"Keep","Remove")</f>
        <v>Keep</v>
      </c>
      <c r="S350" s="8" t="s">
        <v>166</v>
      </c>
    </row>
    <row r="351" customFormat="false" ht="15" hidden="false" customHeight="false" outlineLevel="0" collapsed="false">
      <c r="A351" s="8" t="s">
        <v>2485</v>
      </c>
      <c r="B351" s="8" t="s">
        <v>2486</v>
      </c>
      <c r="C351" s="8" t="s">
        <v>178</v>
      </c>
      <c r="D351" s="8" t="s">
        <v>206</v>
      </c>
      <c r="E351" s="8" t="s">
        <v>103</v>
      </c>
      <c r="F351" s="8" t="s">
        <v>84</v>
      </c>
      <c r="G351" s="8" t="n">
        <v>2</v>
      </c>
      <c r="H351" s="13" t="n">
        <v>3</v>
      </c>
      <c r="I351" s="8" t="n">
        <v>5</v>
      </c>
      <c r="J351" s="20" t="s">
        <v>259</v>
      </c>
      <c r="K351" s="8"/>
      <c r="L351" s="20" t="s">
        <v>259</v>
      </c>
      <c r="M351" s="16" t="n">
        <f aca="false">H351*Scoring!$C$5</f>
        <v>3.9</v>
      </c>
      <c r="N351" s="16" t="n">
        <f aca="false">IF(I351&gt;=5,1,IF(I351=4,0.75,IF(I351=3,0.5,IF(I351=2,0.25,0))))*Scoring!$C$8</f>
        <v>1</v>
      </c>
      <c r="O351" s="16" t="n">
        <f aca="false">IF(J351="Yes",0,Scoring!$C$6)</f>
        <v>2</v>
      </c>
      <c r="P351" s="16" t="n">
        <f aca="false">IF(L351="Yes",0,Scoring!$C$7)</f>
        <v>0.5</v>
      </c>
      <c r="Q351" s="8" t="n">
        <f aca="false">ROUND(SUM(M351:P351),2)</f>
        <v>7.4</v>
      </c>
      <c r="R351" s="8" t="str">
        <f aca="false">IF(Q351&gt;=Scoring!$C$10-0.000001,"Keep","Remove")</f>
        <v>Keep</v>
      </c>
      <c r="S351" s="8" t="s">
        <v>166</v>
      </c>
    </row>
    <row r="352" customFormat="false" ht="15" hidden="false" customHeight="false" outlineLevel="0" collapsed="false">
      <c r="A352" s="8" t="s">
        <v>7872</v>
      </c>
      <c r="B352" s="8" t="s">
        <v>7873</v>
      </c>
      <c r="C352" s="8" t="s">
        <v>178</v>
      </c>
      <c r="D352" s="8" t="s">
        <v>206</v>
      </c>
      <c r="E352" s="8" t="s">
        <v>103</v>
      </c>
      <c r="F352" s="8" t="s">
        <v>84</v>
      </c>
      <c r="G352" s="8" t="n">
        <v>3</v>
      </c>
      <c r="H352" s="13" t="n">
        <v>2</v>
      </c>
      <c r="I352" s="8" t="n">
        <v>4</v>
      </c>
      <c r="J352" s="20" t="s">
        <v>218</v>
      </c>
      <c r="K352" s="8" t="s">
        <v>8171</v>
      </c>
      <c r="L352" s="20" t="s">
        <v>259</v>
      </c>
      <c r="M352" s="16" t="n">
        <f aca="false">H352*Scoring!$C$5</f>
        <v>2.6</v>
      </c>
      <c r="N352" s="16" t="n">
        <f aca="false">IF(I352&gt;=5,1,IF(I352=4,0.75,IF(I352=3,0.5,IF(I352=2,0.25,0))))*Scoring!$C$8</f>
        <v>0.75</v>
      </c>
      <c r="O352" s="16" t="n">
        <f aca="false">IF(J352="Yes",0,Scoring!$C$6)</f>
        <v>0</v>
      </c>
      <c r="P352" s="16" t="n">
        <f aca="false">IF(L352="Yes",0,Scoring!$C$7)</f>
        <v>0.5</v>
      </c>
      <c r="Q352" s="8" t="n">
        <f aca="false">ROUND(SUM(M352:P352),2)</f>
        <v>3.85</v>
      </c>
      <c r="R352" s="8" t="str">
        <f aca="false">IF(Q352&gt;=Scoring!$C$10-0.000001,"Keep","Remove")</f>
        <v>Remove</v>
      </c>
      <c r="S352" s="8" t="s">
        <v>7874</v>
      </c>
    </row>
    <row r="353" customFormat="false" ht="15" hidden="false" customHeight="false" outlineLevel="0" collapsed="false">
      <c r="A353" s="8" t="s">
        <v>2492</v>
      </c>
      <c r="B353" s="8" t="s">
        <v>2493</v>
      </c>
      <c r="C353" s="8" t="s">
        <v>178</v>
      </c>
      <c r="D353" s="8" t="s">
        <v>206</v>
      </c>
      <c r="E353" s="8" t="s">
        <v>103</v>
      </c>
      <c r="F353" s="8" t="s">
        <v>84</v>
      </c>
      <c r="G353" s="8" t="n">
        <v>2</v>
      </c>
      <c r="H353" s="13" t="n">
        <v>3</v>
      </c>
      <c r="I353" s="8" t="n">
        <v>3</v>
      </c>
      <c r="J353" s="20" t="s">
        <v>259</v>
      </c>
      <c r="K353" s="8"/>
      <c r="L353" s="20" t="s">
        <v>259</v>
      </c>
      <c r="M353" s="16" t="n">
        <f aca="false">H353*Scoring!$C$5</f>
        <v>3.9</v>
      </c>
      <c r="N353" s="16" t="n">
        <f aca="false">IF(I353&gt;=5,1,IF(I353=4,0.75,IF(I353=3,0.5,IF(I353=2,0.25,0))))*Scoring!$C$8</f>
        <v>0.5</v>
      </c>
      <c r="O353" s="16" t="n">
        <f aca="false">IF(J353="Yes",0,Scoring!$C$6)</f>
        <v>2</v>
      </c>
      <c r="P353" s="16" t="n">
        <f aca="false">IF(L353="Yes",0,Scoring!$C$7)</f>
        <v>0.5</v>
      </c>
      <c r="Q353" s="8" t="n">
        <f aca="false">ROUND(SUM(M353:P353),2)</f>
        <v>6.9</v>
      </c>
      <c r="R353" s="8" t="str">
        <f aca="false">IF(Q353&gt;=Scoring!$C$10-0.000001,"Keep","Remove")</f>
        <v>Keep</v>
      </c>
      <c r="S353" s="8" t="s">
        <v>166</v>
      </c>
    </row>
    <row r="354" customFormat="false" ht="15" hidden="false" customHeight="false" outlineLevel="0" collapsed="false">
      <c r="A354" s="8" t="s">
        <v>2501</v>
      </c>
      <c r="B354" s="8" t="s">
        <v>2502</v>
      </c>
      <c r="C354" s="8" t="s">
        <v>178</v>
      </c>
      <c r="D354" s="8" t="s">
        <v>206</v>
      </c>
      <c r="E354" s="8" t="s">
        <v>107</v>
      </c>
      <c r="F354" s="8" t="s">
        <v>80</v>
      </c>
      <c r="G354" s="8" t="n">
        <v>2</v>
      </c>
      <c r="H354" s="13" t="n">
        <v>3</v>
      </c>
      <c r="I354" s="8" t="n">
        <v>5</v>
      </c>
      <c r="J354" s="20" t="s">
        <v>259</v>
      </c>
      <c r="K354" s="8"/>
      <c r="L354" s="20" t="s">
        <v>259</v>
      </c>
      <c r="M354" s="16" t="n">
        <f aca="false">H354*Scoring!$C$5</f>
        <v>3.9</v>
      </c>
      <c r="N354" s="16" t="n">
        <f aca="false">IF(I354&gt;=5,1,IF(I354=4,0.75,IF(I354=3,0.5,IF(I354=2,0.25,0))))*Scoring!$C$8</f>
        <v>1</v>
      </c>
      <c r="O354" s="16" t="n">
        <f aca="false">IF(J354="Yes",0,Scoring!$C$6)</f>
        <v>2</v>
      </c>
      <c r="P354" s="16" t="n">
        <f aca="false">IF(L354="Yes",0,Scoring!$C$7)</f>
        <v>0.5</v>
      </c>
      <c r="Q354" s="8" t="n">
        <f aca="false">ROUND(SUM(M354:P354),2)</f>
        <v>7.4</v>
      </c>
      <c r="R354" s="8" t="str">
        <f aca="false">IF(Q354&gt;=Scoring!$C$10-0.000001,"Keep","Remove")</f>
        <v>Keep</v>
      </c>
      <c r="S354" s="8" t="s">
        <v>166</v>
      </c>
    </row>
    <row r="355" customFormat="false" ht="15" hidden="false" customHeight="false" outlineLevel="0" collapsed="false">
      <c r="A355" s="8" t="s">
        <v>2506</v>
      </c>
      <c r="B355" s="8" t="s">
        <v>2507</v>
      </c>
      <c r="C355" s="8" t="s">
        <v>178</v>
      </c>
      <c r="D355" s="8" t="s">
        <v>206</v>
      </c>
      <c r="E355" s="8" t="s">
        <v>105</v>
      </c>
      <c r="F355" s="8" t="s">
        <v>84</v>
      </c>
      <c r="G355" s="8" t="n">
        <v>2</v>
      </c>
      <c r="H355" s="13" t="n">
        <v>3</v>
      </c>
      <c r="I355" s="8" t="n">
        <v>6</v>
      </c>
      <c r="J355" s="20" t="s">
        <v>259</v>
      </c>
      <c r="K355" s="8"/>
      <c r="L355" s="20" t="s">
        <v>259</v>
      </c>
      <c r="M355" s="16" t="n">
        <f aca="false">H355*Scoring!$C$5</f>
        <v>3.9</v>
      </c>
      <c r="N355" s="16" t="n">
        <f aca="false">IF(I355&gt;=5,1,IF(I355=4,0.75,IF(I355=3,0.5,IF(I355=2,0.25,0))))*Scoring!$C$8</f>
        <v>1</v>
      </c>
      <c r="O355" s="16" t="n">
        <f aca="false">IF(J355="Yes",0,Scoring!$C$6)</f>
        <v>2</v>
      </c>
      <c r="P355" s="16" t="n">
        <f aca="false">IF(L355="Yes",0,Scoring!$C$7)</f>
        <v>0.5</v>
      </c>
      <c r="Q355" s="8" t="n">
        <f aca="false">ROUND(SUM(M355:P355),2)</f>
        <v>7.4</v>
      </c>
      <c r="R355" s="8" t="str">
        <f aca="false">IF(Q355&gt;=Scoring!$C$10-0.000001,"Keep","Remove")</f>
        <v>Keep</v>
      </c>
      <c r="S355" s="8" t="s">
        <v>166</v>
      </c>
    </row>
    <row r="356" customFormat="false" ht="15" hidden="false" customHeight="false" outlineLevel="0" collapsed="false">
      <c r="A356" s="8" t="s">
        <v>7875</v>
      </c>
      <c r="B356" s="8" t="s">
        <v>7876</v>
      </c>
      <c r="C356" s="8" t="s">
        <v>178</v>
      </c>
      <c r="D356" s="8" t="s">
        <v>206</v>
      </c>
      <c r="E356" s="8" t="s">
        <v>107</v>
      </c>
      <c r="F356" s="8" t="s">
        <v>80</v>
      </c>
      <c r="G356" s="8" t="n">
        <v>3</v>
      </c>
      <c r="H356" s="13" t="n">
        <v>2</v>
      </c>
      <c r="I356" s="8" t="n">
        <v>4</v>
      </c>
      <c r="J356" s="20" t="s">
        <v>218</v>
      </c>
      <c r="K356" s="8" t="s">
        <v>8172</v>
      </c>
      <c r="L356" s="20" t="s">
        <v>259</v>
      </c>
      <c r="M356" s="16" t="n">
        <f aca="false">H356*Scoring!$C$5</f>
        <v>2.6</v>
      </c>
      <c r="N356" s="16" t="n">
        <f aca="false">IF(I356&gt;=5,1,IF(I356=4,0.75,IF(I356=3,0.5,IF(I356=2,0.25,0))))*Scoring!$C$8</f>
        <v>0.75</v>
      </c>
      <c r="O356" s="16" t="n">
        <f aca="false">IF(J356="Yes",0,Scoring!$C$6)</f>
        <v>0</v>
      </c>
      <c r="P356" s="16" t="n">
        <f aca="false">IF(L356="Yes",0,Scoring!$C$7)</f>
        <v>0.5</v>
      </c>
      <c r="Q356" s="8" t="n">
        <f aca="false">ROUND(SUM(M356:P356),2)</f>
        <v>3.85</v>
      </c>
      <c r="R356" s="8" t="str">
        <f aca="false">IF(Q356&gt;=Scoring!$C$10-0.000001,"Keep","Remove")</f>
        <v>Remove</v>
      </c>
      <c r="S356" s="8" t="s">
        <v>7877</v>
      </c>
    </row>
    <row r="357" customFormat="false" ht="15" hidden="false" customHeight="false" outlineLevel="0" collapsed="false">
      <c r="A357" s="8" t="s">
        <v>2512</v>
      </c>
      <c r="B357" s="8" t="s">
        <v>2513</v>
      </c>
      <c r="C357" s="8" t="s">
        <v>178</v>
      </c>
      <c r="D357" s="8" t="s">
        <v>206</v>
      </c>
      <c r="E357" s="8" t="s">
        <v>109</v>
      </c>
      <c r="F357" s="8" t="s">
        <v>79</v>
      </c>
      <c r="G357" s="8" t="n">
        <v>2</v>
      </c>
      <c r="H357" s="13" t="n">
        <v>3</v>
      </c>
      <c r="I357" s="8" t="n">
        <v>4</v>
      </c>
      <c r="J357" s="20" t="s">
        <v>259</v>
      </c>
      <c r="K357" s="8"/>
      <c r="L357" s="20" t="s">
        <v>259</v>
      </c>
      <c r="M357" s="16" t="n">
        <f aca="false">H357*Scoring!$C$5</f>
        <v>3.9</v>
      </c>
      <c r="N357" s="16" t="n">
        <f aca="false">IF(I357&gt;=5,1,IF(I357=4,0.75,IF(I357=3,0.5,IF(I357=2,0.25,0))))*Scoring!$C$8</f>
        <v>0.75</v>
      </c>
      <c r="O357" s="16" t="n">
        <f aca="false">IF(J357="Yes",0,Scoring!$C$6)</f>
        <v>2</v>
      </c>
      <c r="P357" s="16" t="n">
        <f aca="false">IF(L357="Yes",0,Scoring!$C$7)</f>
        <v>0.5</v>
      </c>
      <c r="Q357" s="8" t="n">
        <f aca="false">ROUND(SUM(M357:P357),2)</f>
        <v>7.15</v>
      </c>
      <c r="R357" s="8" t="str">
        <f aca="false">IF(Q357&gt;=Scoring!$C$10-0.000001,"Keep","Remove")</f>
        <v>Keep</v>
      </c>
      <c r="S357" s="8" t="s">
        <v>166</v>
      </c>
    </row>
    <row r="358" customFormat="false" ht="15" hidden="false" customHeight="false" outlineLevel="0" collapsed="false">
      <c r="A358" s="8" t="s">
        <v>7688</v>
      </c>
      <c r="B358" s="8" t="s">
        <v>7689</v>
      </c>
      <c r="C358" s="8" t="s">
        <v>178</v>
      </c>
      <c r="D358" s="8" t="s">
        <v>206</v>
      </c>
      <c r="E358" s="8" t="s">
        <v>109</v>
      </c>
      <c r="F358" s="8" t="s">
        <v>79</v>
      </c>
      <c r="G358" s="8" t="n">
        <v>3</v>
      </c>
      <c r="H358" s="13" t="n">
        <v>2</v>
      </c>
      <c r="I358" s="8" t="n">
        <v>3</v>
      </c>
      <c r="J358" s="20" t="s">
        <v>259</v>
      </c>
      <c r="K358" s="8"/>
      <c r="L358" s="20" t="s">
        <v>259</v>
      </c>
      <c r="M358" s="16" t="n">
        <f aca="false">H358*Scoring!$C$5</f>
        <v>2.6</v>
      </c>
      <c r="N358" s="16" t="n">
        <f aca="false">IF(I358&gt;=5,1,IF(I358=4,0.75,IF(I358=3,0.5,IF(I358=2,0.25,0))))*Scoring!$C$8</f>
        <v>0.5</v>
      </c>
      <c r="O358" s="16" t="n">
        <f aca="false">IF(J358="Yes",0,Scoring!$C$6)</f>
        <v>2</v>
      </c>
      <c r="P358" s="16" t="n">
        <f aca="false">IF(L358="Yes",0,Scoring!$C$7)</f>
        <v>0.5</v>
      </c>
      <c r="Q358" s="8" t="n">
        <f aca="false">ROUND(SUM(M358:P358),2)</f>
        <v>5.6</v>
      </c>
      <c r="R358" s="8" t="str">
        <f aca="false">IF(Q358&gt;=Scoring!$C$10-0.000001,"Keep","Remove")</f>
        <v>Remove</v>
      </c>
      <c r="S358" s="8" t="s">
        <v>7243</v>
      </c>
    </row>
    <row r="359" customFormat="false" ht="15" hidden="false" customHeight="false" outlineLevel="0" collapsed="false">
      <c r="A359" s="8" t="s">
        <v>7690</v>
      </c>
      <c r="B359" s="8" t="s">
        <v>7691</v>
      </c>
      <c r="C359" s="8" t="s">
        <v>178</v>
      </c>
      <c r="D359" s="8" t="s">
        <v>206</v>
      </c>
      <c r="E359" s="8" t="s">
        <v>113</v>
      </c>
      <c r="F359" s="8" t="s">
        <v>83</v>
      </c>
      <c r="G359" s="8" t="n">
        <v>3</v>
      </c>
      <c r="H359" s="13" t="n">
        <v>2</v>
      </c>
      <c r="I359" s="8" t="n">
        <v>3</v>
      </c>
      <c r="J359" s="20" t="s">
        <v>259</v>
      </c>
      <c r="K359" s="8"/>
      <c r="L359" s="20" t="s">
        <v>259</v>
      </c>
      <c r="M359" s="16" t="n">
        <f aca="false">H359*Scoring!$C$5</f>
        <v>2.6</v>
      </c>
      <c r="N359" s="16" t="n">
        <f aca="false">IF(I359&gt;=5,1,IF(I359=4,0.75,IF(I359=3,0.5,IF(I359=2,0.25,0))))*Scoring!$C$8</f>
        <v>0.5</v>
      </c>
      <c r="O359" s="16" t="n">
        <f aca="false">IF(J359="Yes",0,Scoring!$C$6)</f>
        <v>2</v>
      </c>
      <c r="P359" s="16" t="n">
        <f aca="false">IF(L359="Yes",0,Scoring!$C$7)</f>
        <v>0.5</v>
      </c>
      <c r="Q359" s="8" t="n">
        <f aca="false">ROUND(SUM(M359:P359),2)</f>
        <v>5.6</v>
      </c>
      <c r="R359" s="8" t="str">
        <f aca="false">IF(Q359&gt;=Scoring!$C$10-0.000001,"Keep","Remove")</f>
        <v>Remove</v>
      </c>
      <c r="S359" s="8" t="s">
        <v>7243</v>
      </c>
    </row>
    <row r="360" customFormat="false" ht="15" hidden="false" customHeight="false" outlineLevel="0" collapsed="false">
      <c r="A360" s="8" t="s">
        <v>7791</v>
      </c>
      <c r="B360" s="8" t="s">
        <v>7792</v>
      </c>
      <c r="C360" s="8" t="s">
        <v>178</v>
      </c>
      <c r="D360" s="8" t="s">
        <v>206</v>
      </c>
      <c r="E360" s="8" t="s">
        <v>103</v>
      </c>
      <c r="F360" s="8" t="s">
        <v>79</v>
      </c>
      <c r="G360" s="8" t="n">
        <v>3</v>
      </c>
      <c r="H360" s="13" t="n">
        <v>2</v>
      </c>
      <c r="I360" s="8" t="n">
        <v>2</v>
      </c>
      <c r="J360" s="20" t="s">
        <v>259</v>
      </c>
      <c r="K360" s="8"/>
      <c r="L360" s="20" t="s">
        <v>259</v>
      </c>
      <c r="M360" s="16" t="n">
        <f aca="false">H360*Scoring!$C$5</f>
        <v>2.6</v>
      </c>
      <c r="N360" s="16" t="n">
        <f aca="false">IF(I360&gt;=5,1,IF(I360=4,0.75,IF(I360=3,0.5,IF(I360=2,0.25,0))))*Scoring!$C$8</f>
        <v>0.25</v>
      </c>
      <c r="O360" s="16" t="n">
        <f aca="false">IF(J360="Yes",0,Scoring!$C$6)</f>
        <v>2</v>
      </c>
      <c r="P360" s="16" t="n">
        <f aca="false">IF(L360="Yes",0,Scoring!$C$7)</f>
        <v>0.5</v>
      </c>
      <c r="Q360" s="8" t="n">
        <f aca="false">ROUND(SUM(M360:P360),2)</f>
        <v>5.35</v>
      </c>
      <c r="R360" s="8" t="str">
        <f aca="false">IF(Q360&gt;=Scoring!$C$10-0.000001,"Keep","Remove")</f>
        <v>Remove</v>
      </c>
      <c r="S360" s="8" t="s">
        <v>7243</v>
      </c>
    </row>
    <row r="361" customFormat="false" ht="15" hidden="false" customHeight="false" outlineLevel="0" collapsed="false">
      <c r="A361" s="8" t="s">
        <v>2520</v>
      </c>
      <c r="B361" s="8" t="s">
        <v>2521</v>
      </c>
      <c r="C361" s="8" t="s">
        <v>178</v>
      </c>
      <c r="D361" s="8" t="s">
        <v>206</v>
      </c>
      <c r="E361" s="8" t="s">
        <v>106</v>
      </c>
      <c r="F361" s="8" t="s">
        <v>81</v>
      </c>
      <c r="G361" s="8" t="n">
        <v>2</v>
      </c>
      <c r="H361" s="13" t="n">
        <v>3</v>
      </c>
      <c r="I361" s="8" t="n">
        <v>3</v>
      </c>
      <c r="J361" s="20" t="s">
        <v>259</v>
      </c>
      <c r="K361" s="8"/>
      <c r="L361" s="20" t="s">
        <v>259</v>
      </c>
      <c r="M361" s="16" t="n">
        <f aca="false">H361*Scoring!$C$5</f>
        <v>3.9</v>
      </c>
      <c r="N361" s="16" t="n">
        <f aca="false">IF(I361&gt;=5,1,IF(I361=4,0.75,IF(I361=3,0.5,IF(I361=2,0.25,0))))*Scoring!$C$8</f>
        <v>0.5</v>
      </c>
      <c r="O361" s="16" t="n">
        <f aca="false">IF(J361="Yes",0,Scoring!$C$6)</f>
        <v>2</v>
      </c>
      <c r="P361" s="16" t="n">
        <f aca="false">IF(L361="Yes",0,Scoring!$C$7)</f>
        <v>0.5</v>
      </c>
      <c r="Q361" s="8" t="n">
        <f aca="false">ROUND(SUM(M361:P361),2)</f>
        <v>6.9</v>
      </c>
      <c r="R361" s="8" t="str">
        <f aca="false">IF(Q361&gt;=Scoring!$C$10-0.000001,"Keep","Remove")</f>
        <v>Keep</v>
      </c>
      <c r="S361" s="8" t="s">
        <v>166</v>
      </c>
    </row>
    <row r="362" customFormat="false" ht="15" hidden="false" customHeight="false" outlineLevel="0" collapsed="false">
      <c r="A362" s="8" t="s">
        <v>7278</v>
      </c>
      <c r="B362" s="8" t="s">
        <v>7279</v>
      </c>
      <c r="C362" s="8" t="s">
        <v>178</v>
      </c>
      <c r="D362" s="8" t="s">
        <v>206</v>
      </c>
      <c r="E362" s="8" t="s">
        <v>106</v>
      </c>
      <c r="F362" s="8" t="s">
        <v>84</v>
      </c>
      <c r="G362" s="8" t="n">
        <v>3</v>
      </c>
      <c r="H362" s="13" t="n">
        <v>2</v>
      </c>
      <c r="I362" s="8" t="n">
        <v>5</v>
      </c>
      <c r="J362" s="20" t="s">
        <v>259</v>
      </c>
      <c r="K362" s="8"/>
      <c r="L362" s="20" t="s">
        <v>259</v>
      </c>
      <c r="M362" s="16" t="n">
        <f aca="false">H362*Scoring!$C$5</f>
        <v>2.6</v>
      </c>
      <c r="N362" s="16" t="n">
        <f aca="false">IF(I362&gt;=5,1,IF(I362=4,0.75,IF(I362=3,0.5,IF(I362=2,0.25,0))))*Scoring!$C$8</f>
        <v>1</v>
      </c>
      <c r="O362" s="16" t="n">
        <f aca="false">IF(J362="Yes",0,Scoring!$C$6)</f>
        <v>2</v>
      </c>
      <c r="P362" s="16" t="n">
        <f aca="false">IF(L362="Yes",0,Scoring!$C$7)</f>
        <v>0.5</v>
      </c>
      <c r="Q362" s="8" t="n">
        <f aca="false">ROUND(SUM(M362:P362),2)</f>
        <v>6.1</v>
      </c>
      <c r="R362" s="8" t="str">
        <f aca="false">IF(Q362&gt;=Scoring!$C$10-0.000001,"Keep","Remove")</f>
        <v>Remove</v>
      </c>
      <c r="S362" s="8" t="s">
        <v>7243</v>
      </c>
    </row>
    <row r="363" customFormat="false" ht="15" hidden="false" customHeight="false" outlineLevel="0" collapsed="false">
      <c r="A363" s="8" t="s">
        <v>7692</v>
      </c>
      <c r="B363" s="8" t="s">
        <v>7693</v>
      </c>
      <c r="C363" s="8" t="s">
        <v>178</v>
      </c>
      <c r="D363" s="8" t="s">
        <v>206</v>
      </c>
      <c r="E363" s="8" t="s">
        <v>106</v>
      </c>
      <c r="F363" s="8" t="s">
        <v>84</v>
      </c>
      <c r="G363" s="8" t="n">
        <v>3</v>
      </c>
      <c r="H363" s="13" t="n">
        <v>2</v>
      </c>
      <c r="I363" s="8" t="n">
        <v>3</v>
      </c>
      <c r="J363" s="20" t="s">
        <v>259</v>
      </c>
      <c r="K363" s="8"/>
      <c r="L363" s="20" t="s">
        <v>259</v>
      </c>
      <c r="M363" s="16" t="n">
        <f aca="false">H363*Scoring!$C$5</f>
        <v>2.6</v>
      </c>
      <c r="N363" s="16" t="n">
        <f aca="false">IF(I363&gt;=5,1,IF(I363=4,0.75,IF(I363=3,0.5,IF(I363=2,0.25,0))))*Scoring!$C$8</f>
        <v>0.5</v>
      </c>
      <c r="O363" s="16" t="n">
        <f aca="false">IF(J363="Yes",0,Scoring!$C$6)</f>
        <v>2</v>
      </c>
      <c r="P363" s="16" t="n">
        <f aca="false">IF(L363="Yes",0,Scoring!$C$7)</f>
        <v>0.5</v>
      </c>
      <c r="Q363" s="8" t="n">
        <f aca="false">ROUND(SUM(M363:P363),2)</f>
        <v>5.6</v>
      </c>
      <c r="R363" s="8" t="str">
        <f aca="false">IF(Q363&gt;=Scoring!$C$10-0.000001,"Keep","Remove")</f>
        <v>Remove</v>
      </c>
      <c r="S363" s="8" t="s">
        <v>7243</v>
      </c>
    </row>
    <row r="364" customFormat="false" ht="15" hidden="false" customHeight="false" outlineLevel="0" collapsed="false">
      <c r="A364" s="8" t="s">
        <v>7280</v>
      </c>
      <c r="B364" s="8" t="s">
        <v>7281</v>
      </c>
      <c r="C364" s="8" t="s">
        <v>178</v>
      </c>
      <c r="D364" s="8" t="s">
        <v>206</v>
      </c>
      <c r="E364" s="8" t="s">
        <v>118</v>
      </c>
      <c r="F364" s="8" t="s">
        <v>79</v>
      </c>
      <c r="G364" s="8" t="n">
        <v>3</v>
      </c>
      <c r="H364" s="13" t="n">
        <v>2</v>
      </c>
      <c r="I364" s="8" t="n">
        <v>5</v>
      </c>
      <c r="J364" s="20" t="s">
        <v>259</v>
      </c>
      <c r="K364" s="8"/>
      <c r="L364" s="20" t="s">
        <v>259</v>
      </c>
      <c r="M364" s="16" t="n">
        <f aca="false">H364*Scoring!$C$5</f>
        <v>2.6</v>
      </c>
      <c r="N364" s="16" t="n">
        <f aca="false">IF(I364&gt;=5,1,IF(I364=4,0.75,IF(I364=3,0.5,IF(I364=2,0.25,0))))*Scoring!$C$8</f>
        <v>1</v>
      </c>
      <c r="O364" s="16" t="n">
        <f aca="false">IF(J364="Yes",0,Scoring!$C$6)</f>
        <v>2</v>
      </c>
      <c r="P364" s="16" t="n">
        <f aca="false">IF(L364="Yes",0,Scoring!$C$7)</f>
        <v>0.5</v>
      </c>
      <c r="Q364" s="8" t="n">
        <f aca="false">ROUND(SUM(M364:P364),2)</f>
        <v>6.1</v>
      </c>
      <c r="R364" s="8" t="str">
        <f aca="false">IF(Q364&gt;=Scoring!$C$10-0.000001,"Keep","Remove")</f>
        <v>Remove</v>
      </c>
      <c r="S364" s="8" t="s">
        <v>7243</v>
      </c>
    </row>
    <row r="365" customFormat="false" ht="15" hidden="false" customHeight="false" outlineLevel="0" collapsed="false">
      <c r="A365" s="8" t="s">
        <v>2530</v>
      </c>
      <c r="B365" s="8" t="s">
        <v>2531</v>
      </c>
      <c r="C365" s="8" t="s">
        <v>178</v>
      </c>
      <c r="D365" s="8" t="s">
        <v>2532</v>
      </c>
      <c r="E365" s="8"/>
      <c r="F365" s="8" t="s">
        <v>78</v>
      </c>
      <c r="G365" s="8" t="n">
        <v>1</v>
      </c>
      <c r="H365" s="13" t="n">
        <v>4</v>
      </c>
      <c r="I365" s="8" t="n">
        <v>5</v>
      </c>
      <c r="J365" s="20" t="s">
        <v>259</v>
      </c>
      <c r="K365" s="8"/>
      <c r="L365" s="20" t="s">
        <v>259</v>
      </c>
      <c r="M365" s="16" t="n">
        <f aca="false">H365*Scoring!$C$5</f>
        <v>5.2</v>
      </c>
      <c r="N365" s="16" t="n">
        <f aca="false">IF(I365&gt;=5,1,IF(I365=4,0.75,IF(I365=3,0.5,IF(I365=2,0.25,0))))*Scoring!$C$8</f>
        <v>1</v>
      </c>
      <c r="O365" s="16" t="n">
        <f aca="false">IF(J365="Yes",0,Scoring!$C$6)</f>
        <v>2</v>
      </c>
      <c r="P365" s="16" t="n">
        <f aca="false">IF(L365="Yes",0,Scoring!$C$7)</f>
        <v>0.5</v>
      </c>
      <c r="Q365" s="8" t="n">
        <f aca="false">ROUND(SUM(M365:P365),2)</f>
        <v>8.7</v>
      </c>
      <c r="R365" s="8" t="str">
        <f aca="false">IF(Q365&gt;=Scoring!$C$10-0.000001,"Keep","Remove")</f>
        <v>Keep</v>
      </c>
      <c r="S365" s="8" t="s">
        <v>166</v>
      </c>
    </row>
    <row r="366" customFormat="false" ht="15" hidden="false" customHeight="false" outlineLevel="0" collapsed="false">
      <c r="A366" s="8" t="s">
        <v>2545</v>
      </c>
      <c r="B366" s="8" t="s">
        <v>2546</v>
      </c>
      <c r="C366" s="8" t="s">
        <v>178</v>
      </c>
      <c r="D366" s="8" t="s">
        <v>2532</v>
      </c>
      <c r="E366" s="8"/>
      <c r="F366" s="8" t="s">
        <v>78</v>
      </c>
      <c r="G366" s="8" t="n">
        <v>1</v>
      </c>
      <c r="H366" s="13" t="n">
        <v>4</v>
      </c>
      <c r="I366" s="8" t="n">
        <v>5</v>
      </c>
      <c r="J366" s="20" t="s">
        <v>259</v>
      </c>
      <c r="K366" s="8"/>
      <c r="L366" s="20" t="s">
        <v>259</v>
      </c>
      <c r="M366" s="16" t="n">
        <f aca="false">H366*Scoring!$C$5</f>
        <v>5.2</v>
      </c>
      <c r="N366" s="16" t="n">
        <f aca="false">IF(I366&gt;=5,1,IF(I366=4,0.75,IF(I366=3,0.5,IF(I366=2,0.25,0))))*Scoring!$C$8</f>
        <v>1</v>
      </c>
      <c r="O366" s="16" t="n">
        <f aca="false">IF(J366="Yes",0,Scoring!$C$6)</f>
        <v>2</v>
      </c>
      <c r="P366" s="16" t="n">
        <f aca="false">IF(L366="Yes",0,Scoring!$C$7)</f>
        <v>0.5</v>
      </c>
      <c r="Q366" s="8" t="n">
        <f aca="false">ROUND(SUM(M366:P366),2)</f>
        <v>8.7</v>
      </c>
      <c r="R366" s="8" t="str">
        <f aca="false">IF(Q366&gt;=Scoring!$C$10-0.000001,"Keep","Remove")</f>
        <v>Keep</v>
      </c>
      <c r="S366" s="8" t="s">
        <v>166</v>
      </c>
    </row>
    <row r="367" customFormat="false" ht="15" hidden="false" customHeight="false" outlineLevel="0" collapsed="false">
      <c r="A367" s="8" t="s">
        <v>2555</v>
      </c>
      <c r="B367" s="8" t="s">
        <v>2556</v>
      </c>
      <c r="C367" s="8" t="s">
        <v>178</v>
      </c>
      <c r="D367" s="8" t="s">
        <v>2532</v>
      </c>
      <c r="E367" s="8"/>
      <c r="F367" s="8" t="s">
        <v>78</v>
      </c>
      <c r="G367" s="8" t="n">
        <v>1</v>
      </c>
      <c r="H367" s="13" t="n">
        <v>3</v>
      </c>
      <c r="I367" s="8" t="n">
        <v>4</v>
      </c>
      <c r="J367" s="20" t="s">
        <v>259</v>
      </c>
      <c r="K367" s="8"/>
      <c r="L367" s="20" t="s">
        <v>259</v>
      </c>
      <c r="M367" s="16" t="n">
        <f aca="false">H367*Scoring!$C$5</f>
        <v>3.9</v>
      </c>
      <c r="N367" s="16" t="n">
        <f aca="false">IF(I367&gt;=5,1,IF(I367=4,0.75,IF(I367=3,0.5,IF(I367=2,0.25,0))))*Scoring!$C$8</f>
        <v>0.75</v>
      </c>
      <c r="O367" s="16" t="n">
        <f aca="false">IF(J367="Yes",0,Scoring!$C$6)</f>
        <v>2</v>
      </c>
      <c r="P367" s="16" t="n">
        <f aca="false">IF(L367="Yes",0,Scoring!$C$7)</f>
        <v>0.5</v>
      </c>
      <c r="Q367" s="8" t="n">
        <f aca="false">ROUND(SUM(M367:P367),2)</f>
        <v>7.15</v>
      </c>
      <c r="R367" s="8" t="str">
        <f aca="false">IF(Q367&gt;=Scoring!$C$10-0.000001,"Keep","Remove")</f>
        <v>Keep</v>
      </c>
      <c r="S367" s="8" t="s">
        <v>166</v>
      </c>
    </row>
    <row r="368" customFormat="false" ht="15" hidden="false" customHeight="false" outlineLevel="0" collapsed="false">
      <c r="A368" s="8" t="s">
        <v>2567</v>
      </c>
      <c r="B368" s="8" t="s">
        <v>2568</v>
      </c>
      <c r="C368" s="8" t="s">
        <v>178</v>
      </c>
      <c r="D368" s="8" t="s">
        <v>2532</v>
      </c>
      <c r="E368" s="8"/>
      <c r="F368" s="8" t="s">
        <v>79</v>
      </c>
      <c r="G368" s="8" t="n">
        <v>1</v>
      </c>
      <c r="H368" s="13" t="n">
        <v>4</v>
      </c>
      <c r="I368" s="8" t="n">
        <v>5</v>
      </c>
      <c r="J368" s="20" t="s">
        <v>259</v>
      </c>
      <c r="K368" s="8"/>
      <c r="L368" s="20" t="s">
        <v>259</v>
      </c>
      <c r="M368" s="16" t="n">
        <f aca="false">H368*Scoring!$C$5</f>
        <v>5.2</v>
      </c>
      <c r="N368" s="16" t="n">
        <f aca="false">IF(I368&gt;=5,1,IF(I368=4,0.75,IF(I368=3,0.5,IF(I368=2,0.25,0))))*Scoring!$C$8</f>
        <v>1</v>
      </c>
      <c r="O368" s="16" t="n">
        <f aca="false">IF(J368="Yes",0,Scoring!$C$6)</f>
        <v>2</v>
      </c>
      <c r="P368" s="16" t="n">
        <f aca="false">IF(L368="Yes",0,Scoring!$C$7)</f>
        <v>0.5</v>
      </c>
      <c r="Q368" s="8" t="n">
        <f aca="false">ROUND(SUM(M368:P368),2)</f>
        <v>8.7</v>
      </c>
      <c r="R368" s="8" t="str">
        <f aca="false">IF(Q368&gt;=Scoring!$C$10-0.000001,"Keep","Remove")</f>
        <v>Keep</v>
      </c>
      <c r="S368" s="8" t="s">
        <v>166</v>
      </c>
    </row>
    <row r="369" customFormat="false" ht="15" hidden="false" customHeight="false" outlineLevel="0" collapsed="false">
      <c r="A369" s="8" t="s">
        <v>2579</v>
      </c>
      <c r="B369" s="8" t="s">
        <v>2580</v>
      </c>
      <c r="C369" s="8" t="s">
        <v>178</v>
      </c>
      <c r="D369" s="8" t="s">
        <v>2532</v>
      </c>
      <c r="E369" s="8"/>
      <c r="F369" s="8" t="s">
        <v>79</v>
      </c>
      <c r="G369" s="8" t="n">
        <v>1</v>
      </c>
      <c r="H369" s="13" t="n">
        <v>3</v>
      </c>
      <c r="I369" s="8" t="n">
        <v>5</v>
      </c>
      <c r="J369" s="20" t="s">
        <v>259</v>
      </c>
      <c r="K369" s="8"/>
      <c r="L369" s="20" t="s">
        <v>259</v>
      </c>
      <c r="M369" s="16" t="n">
        <f aca="false">H369*Scoring!$C$5</f>
        <v>3.9</v>
      </c>
      <c r="N369" s="16" t="n">
        <f aca="false">IF(I369&gt;=5,1,IF(I369=4,0.75,IF(I369=3,0.5,IF(I369=2,0.25,0))))*Scoring!$C$8</f>
        <v>1</v>
      </c>
      <c r="O369" s="16" t="n">
        <f aca="false">IF(J369="Yes",0,Scoring!$C$6)</f>
        <v>2</v>
      </c>
      <c r="P369" s="16" t="n">
        <f aca="false">IF(L369="Yes",0,Scoring!$C$7)</f>
        <v>0.5</v>
      </c>
      <c r="Q369" s="8" t="n">
        <f aca="false">ROUND(SUM(M369:P369),2)</f>
        <v>7.4</v>
      </c>
      <c r="R369" s="8" t="str">
        <f aca="false">IF(Q369&gt;=Scoring!$C$10-0.000001,"Keep","Remove")</f>
        <v>Keep</v>
      </c>
      <c r="S369" s="8" t="s">
        <v>166</v>
      </c>
    </row>
    <row r="370" customFormat="false" ht="15" hidden="false" customHeight="false" outlineLevel="0" collapsed="false">
      <c r="A370" s="8" t="s">
        <v>2591</v>
      </c>
      <c r="B370" s="8" t="s">
        <v>2592</v>
      </c>
      <c r="C370" s="8" t="s">
        <v>178</v>
      </c>
      <c r="D370" s="8" t="s">
        <v>2532</v>
      </c>
      <c r="E370" s="8"/>
      <c r="F370" s="8" t="s">
        <v>79</v>
      </c>
      <c r="G370" s="8" t="n">
        <v>1</v>
      </c>
      <c r="H370" s="13" t="n">
        <v>3</v>
      </c>
      <c r="I370" s="8" t="n">
        <v>5</v>
      </c>
      <c r="J370" s="20" t="s">
        <v>259</v>
      </c>
      <c r="K370" s="8"/>
      <c r="L370" s="20" t="s">
        <v>259</v>
      </c>
      <c r="M370" s="16" t="n">
        <f aca="false">H370*Scoring!$C$5</f>
        <v>3.9</v>
      </c>
      <c r="N370" s="16" t="n">
        <f aca="false">IF(I370&gt;=5,1,IF(I370=4,0.75,IF(I370=3,0.5,IF(I370=2,0.25,0))))*Scoring!$C$8</f>
        <v>1</v>
      </c>
      <c r="O370" s="16" t="n">
        <f aca="false">IF(J370="Yes",0,Scoring!$C$6)</f>
        <v>2</v>
      </c>
      <c r="P370" s="16" t="n">
        <f aca="false">IF(L370="Yes",0,Scoring!$C$7)</f>
        <v>0.5</v>
      </c>
      <c r="Q370" s="8" t="n">
        <f aca="false">ROUND(SUM(M370:P370),2)</f>
        <v>7.4</v>
      </c>
      <c r="R370" s="8" t="str">
        <f aca="false">IF(Q370&gt;=Scoring!$C$10-0.000001,"Keep","Remove")</f>
        <v>Keep</v>
      </c>
      <c r="S370" s="8" t="s">
        <v>166</v>
      </c>
    </row>
    <row r="371" customFormat="false" ht="15" hidden="false" customHeight="false" outlineLevel="0" collapsed="false">
      <c r="A371" s="8" t="s">
        <v>2601</v>
      </c>
      <c r="B371" s="8" t="s">
        <v>2602</v>
      </c>
      <c r="C371" s="8" t="s">
        <v>178</v>
      </c>
      <c r="D371" s="8" t="s">
        <v>2532</v>
      </c>
      <c r="E371" s="8"/>
      <c r="F371" s="8" t="s">
        <v>78</v>
      </c>
      <c r="G371" s="8" t="n">
        <v>1</v>
      </c>
      <c r="H371" s="13" t="n">
        <v>3</v>
      </c>
      <c r="I371" s="8" t="n">
        <v>6</v>
      </c>
      <c r="J371" s="20" t="s">
        <v>259</v>
      </c>
      <c r="K371" s="8"/>
      <c r="L371" s="20" t="s">
        <v>259</v>
      </c>
      <c r="M371" s="16" t="n">
        <f aca="false">H371*Scoring!$C$5</f>
        <v>3.9</v>
      </c>
      <c r="N371" s="16" t="n">
        <f aca="false">IF(I371&gt;=5,1,IF(I371=4,0.75,IF(I371=3,0.5,IF(I371=2,0.25,0))))*Scoring!$C$8</f>
        <v>1</v>
      </c>
      <c r="O371" s="16" t="n">
        <f aca="false">IF(J371="Yes",0,Scoring!$C$6)</f>
        <v>2</v>
      </c>
      <c r="P371" s="16" t="n">
        <f aca="false">IF(L371="Yes",0,Scoring!$C$7)</f>
        <v>0.5</v>
      </c>
      <c r="Q371" s="8" t="n">
        <f aca="false">ROUND(SUM(M371:P371),2)</f>
        <v>7.4</v>
      </c>
      <c r="R371" s="8" t="str">
        <f aca="false">IF(Q371&gt;=Scoring!$C$10-0.000001,"Keep","Remove")</f>
        <v>Keep</v>
      </c>
      <c r="S371" s="8" t="s">
        <v>166</v>
      </c>
    </row>
    <row r="372" customFormat="false" ht="15" hidden="false" customHeight="false" outlineLevel="0" collapsed="false">
      <c r="A372" s="8" t="s">
        <v>2610</v>
      </c>
      <c r="B372" s="8" t="s">
        <v>2611</v>
      </c>
      <c r="C372" s="8" t="s">
        <v>178</v>
      </c>
      <c r="D372" s="8" t="s">
        <v>2532</v>
      </c>
      <c r="E372" s="8"/>
      <c r="F372" s="8" t="s">
        <v>78</v>
      </c>
      <c r="G372" s="8" t="n">
        <v>1</v>
      </c>
      <c r="H372" s="13" t="n">
        <v>4</v>
      </c>
      <c r="I372" s="8" t="n">
        <v>5</v>
      </c>
      <c r="J372" s="20" t="s">
        <v>259</v>
      </c>
      <c r="K372" s="8"/>
      <c r="L372" s="20" t="s">
        <v>259</v>
      </c>
      <c r="M372" s="16" t="n">
        <f aca="false">H372*Scoring!$C$5</f>
        <v>5.2</v>
      </c>
      <c r="N372" s="16" t="n">
        <f aca="false">IF(I372&gt;=5,1,IF(I372=4,0.75,IF(I372=3,0.5,IF(I372=2,0.25,0))))*Scoring!$C$8</f>
        <v>1</v>
      </c>
      <c r="O372" s="16" t="n">
        <f aca="false">IF(J372="Yes",0,Scoring!$C$6)</f>
        <v>2</v>
      </c>
      <c r="P372" s="16" t="n">
        <f aca="false">IF(L372="Yes",0,Scoring!$C$7)</f>
        <v>0.5</v>
      </c>
      <c r="Q372" s="8" t="n">
        <f aca="false">ROUND(SUM(M372:P372),2)</f>
        <v>8.7</v>
      </c>
      <c r="R372" s="8" t="str">
        <f aca="false">IF(Q372&gt;=Scoring!$C$10-0.000001,"Keep","Remove")</f>
        <v>Keep</v>
      </c>
      <c r="S372" s="8" t="s">
        <v>166</v>
      </c>
    </row>
    <row r="373" customFormat="false" ht="15" hidden="false" customHeight="false" outlineLevel="0" collapsed="false">
      <c r="A373" s="8" t="s">
        <v>2621</v>
      </c>
      <c r="B373" s="8" t="s">
        <v>2622</v>
      </c>
      <c r="C373" s="8" t="s">
        <v>178</v>
      </c>
      <c r="D373" s="8" t="s">
        <v>2532</v>
      </c>
      <c r="E373" s="8"/>
      <c r="F373" s="8" t="s">
        <v>78</v>
      </c>
      <c r="G373" s="8" t="n">
        <v>1</v>
      </c>
      <c r="H373" s="13" t="n">
        <v>5</v>
      </c>
      <c r="I373" s="8" t="n">
        <v>5</v>
      </c>
      <c r="J373" s="20" t="s">
        <v>259</v>
      </c>
      <c r="K373" s="8"/>
      <c r="L373" s="20" t="s">
        <v>259</v>
      </c>
      <c r="M373" s="16" t="n">
        <f aca="false">H373*Scoring!$C$5</f>
        <v>6.5</v>
      </c>
      <c r="N373" s="16" t="n">
        <f aca="false">IF(I373&gt;=5,1,IF(I373=4,0.75,IF(I373=3,0.5,IF(I373=2,0.25,0))))*Scoring!$C$8</f>
        <v>1</v>
      </c>
      <c r="O373" s="16" t="n">
        <f aca="false">IF(J373="Yes",0,Scoring!$C$6)</f>
        <v>2</v>
      </c>
      <c r="P373" s="16" t="n">
        <f aca="false">IF(L373="Yes",0,Scoring!$C$7)</f>
        <v>0.5</v>
      </c>
      <c r="Q373" s="8" t="n">
        <f aca="false">ROUND(SUM(M373:P373),2)</f>
        <v>10</v>
      </c>
      <c r="R373" s="8" t="str">
        <f aca="false">IF(Q373&gt;=Scoring!$C$10-0.000001,"Keep","Remove")</f>
        <v>Keep</v>
      </c>
      <c r="S373" s="8" t="s">
        <v>166</v>
      </c>
    </row>
    <row r="374" customFormat="false" ht="15" hidden="false" customHeight="false" outlineLevel="0" collapsed="false">
      <c r="A374" s="8" t="s">
        <v>2630</v>
      </c>
      <c r="B374" s="8" t="s">
        <v>2631</v>
      </c>
      <c r="C374" s="8" t="s">
        <v>178</v>
      </c>
      <c r="D374" s="8" t="s">
        <v>2532</v>
      </c>
      <c r="E374" s="8"/>
      <c r="F374" s="8" t="s">
        <v>85</v>
      </c>
      <c r="G374" s="8" t="n">
        <v>1</v>
      </c>
      <c r="H374" s="13" t="n">
        <v>4</v>
      </c>
      <c r="I374" s="8" t="n">
        <v>6</v>
      </c>
      <c r="J374" s="20" t="s">
        <v>259</v>
      </c>
      <c r="K374" s="8"/>
      <c r="L374" s="20" t="s">
        <v>259</v>
      </c>
      <c r="M374" s="16" t="n">
        <f aca="false">H374*Scoring!$C$5</f>
        <v>5.2</v>
      </c>
      <c r="N374" s="16" t="n">
        <f aca="false">IF(I374&gt;=5,1,IF(I374=4,0.75,IF(I374=3,0.5,IF(I374=2,0.25,0))))*Scoring!$C$8</f>
        <v>1</v>
      </c>
      <c r="O374" s="16" t="n">
        <f aca="false">IF(J374="Yes",0,Scoring!$C$6)</f>
        <v>2</v>
      </c>
      <c r="P374" s="16" t="n">
        <f aca="false">IF(L374="Yes",0,Scoring!$C$7)</f>
        <v>0.5</v>
      </c>
      <c r="Q374" s="8" t="n">
        <f aca="false">ROUND(SUM(M374:P374),2)</f>
        <v>8.7</v>
      </c>
      <c r="R374" s="8" t="str">
        <f aca="false">IF(Q374&gt;=Scoring!$C$10-0.000001,"Keep","Remove")</f>
        <v>Keep</v>
      </c>
      <c r="S374" s="8" t="s">
        <v>166</v>
      </c>
    </row>
    <row r="375" customFormat="false" ht="15" hidden="false" customHeight="false" outlineLevel="0" collapsed="false">
      <c r="A375" s="8" t="s">
        <v>2639</v>
      </c>
      <c r="B375" s="8" t="s">
        <v>2640</v>
      </c>
      <c r="C375" s="8" t="s">
        <v>178</v>
      </c>
      <c r="D375" s="8" t="s">
        <v>2532</v>
      </c>
      <c r="E375" s="8"/>
      <c r="F375" s="8" t="s">
        <v>78</v>
      </c>
      <c r="G375" s="8" t="n">
        <v>1</v>
      </c>
      <c r="H375" s="13" t="n">
        <v>4</v>
      </c>
      <c r="I375" s="8" t="n">
        <v>6</v>
      </c>
      <c r="J375" s="20" t="s">
        <v>259</v>
      </c>
      <c r="K375" s="8"/>
      <c r="L375" s="20" t="s">
        <v>259</v>
      </c>
      <c r="M375" s="16" t="n">
        <f aca="false">H375*Scoring!$C$5</f>
        <v>5.2</v>
      </c>
      <c r="N375" s="16" t="n">
        <f aca="false">IF(I375&gt;=5,1,IF(I375=4,0.75,IF(I375=3,0.5,IF(I375=2,0.25,0))))*Scoring!$C$8</f>
        <v>1</v>
      </c>
      <c r="O375" s="16" t="n">
        <f aca="false">IF(J375="Yes",0,Scoring!$C$6)</f>
        <v>2</v>
      </c>
      <c r="P375" s="16" t="n">
        <f aca="false">IF(L375="Yes",0,Scoring!$C$7)</f>
        <v>0.5</v>
      </c>
      <c r="Q375" s="8" t="n">
        <f aca="false">ROUND(SUM(M375:P375),2)</f>
        <v>8.7</v>
      </c>
      <c r="R375" s="8" t="str">
        <f aca="false">IF(Q375&gt;=Scoring!$C$10-0.000001,"Keep","Remove")</f>
        <v>Keep</v>
      </c>
      <c r="S375" s="8" t="s">
        <v>166</v>
      </c>
    </row>
    <row r="376" customFormat="false" ht="15" hidden="false" customHeight="false" outlineLevel="0" collapsed="false">
      <c r="A376" s="8" t="s">
        <v>2648</v>
      </c>
      <c r="B376" s="8" t="s">
        <v>2649</v>
      </c>
      <c r="C376" s="8" t="s">
        <v>178</v>
      </c>
      <c r="D376" s="8" t="s">
        <v>2532</v>
      </c>
      <c r="E376" s="8"/>
      <c r="F376" s="8" t="s">
        <v>78</v>
      </c>
      <c r="G376" s="8" t="n">
        <v>2</v>
      </c>
      <c r="H376" s="13" t="n">
        <v>3</v>
      </c>
      <c r="I376" s="8" t="n">
        <v>5</v>
      </c>
      <c r="J376" s="20" t="s">
        <v>259</v>
      </c>
      <c r="K376" s="8"/>
      <c r="L376" s="20" t="s">
        <v>259</v>
      </c>
      <c r="M376" s="16" t="n">
        <f aca="false">H376*Scoring!$C$5</f>
        <v>3.9</v>
      </c>
      <c r="N376" s="16" t="n">
        <f aca="false">IF(I376&gt;=5,1,IF(I376=4,0.75,IF(I376=3,0.5,IF(I376=2,0.25,0))))*Scoring!$C$8</f>
        <v>1</v>
      </c>
      <c r="O376" s="16" t="n">
        <f aca="false">IF(J376="Yes",0,Scoring!$C$6)</f>
        <v>2</v>
      </c>
      <c r="P376" s="16" t="n">
        <f aca="false">IF(L376="Yes",0,Scoring!$C$7)</f>
        <v>0.5</v>
      </c>
      <c r="Q376" s="8" t="n">
        <f aca="false">ROUND(SUM(M376:P376),2)</f>
        <v>7.4</v>
      </c>
      <c r="R376" s="8" t="str">
        <f aca="false">IF(Q376&gt;=Scoring!$C$10-0.000001,"Keep","Remove")</f>
        <v>Keep</v>
      </c>
      <c r="S376" s="8" t="s">
        <v>166</v>
      </c>
    </row>
    <row r="377" customFormat="false" ht="15" hidden="false" customHeight="false" outlineLevel="0" collapsed="false">
      <c r="A377" s="8" t="s">
        <v>2659</v>
      </c>
      <c r="B377" s="8" t="s">
        <v>2660</v>
      </c>
      <c r="C377" s="8" t="s">
        <v>178</v>
      </c>
      <c r="D377" s="8" t="s">
        <v>2532</v>
      </c>
      <c r="E377" s="8"/>
      <c r="F377" s="8" t="s">
        <v>78</v>
      </c>
      <c r="G377" s="8" t="n">
        <v>2</v>
      </c>
      <c r="H377" s="13" t="n">
        <v>3</v>
      </c>
      <c r="I377" s="8" t="n">
        <v>5</v>
      </c>
      <c r="J377" s="20" t="s">
        <v>259</v>
      </c>
      <c r="K377" s="8"/>
      <c r="L377" s="20" t="s">
        <v>259</v>
      </c>
      <c r="M377" s="16" t="n">
        <f aca="false">H377*Scoring!$C$5</f>
        <v>3.9</v>
      </c>
      <c r="N377" s="16" t="n">
        <f aca="false">IF(I377&gt;=5,1,IF(I377=4,0.75,IF(I377=3,0.5,IF(I377=2,0.25,0))))*Scoring!$C$8</f>
        <v>1</v>
      </c>
      <c r="O377" s="16" t="n">
        <f aca="false">IF(J377="Yes",0,Scoring!$C$6)</f>
        <v>2</v>
      </c>
      <c r="P377" s="16" t="n">
        <f aca="false">IF(L377="Yes",0,Scoring!$C$7)</f>
        <v>0.5</v>
      </c>
      <c r="Q377" s="8" t="n">
        <f aca="false">ROUND(SUM(M377:P377),2)</f>
        <v>7.4</v>
      </c>
      <c r="R377" s="8" t="str">
        <f aca="false">IF(Q377&gt;=Scoring!$C$10-0.000001,"Keep","Remove")</f>
        <v>Keep</v>
      </c>
      <c r="S377" s="8" t="s">
        <v>166</v>
      </c>
    </row>
    <row r="378" customFormat="false" ht="15" hidden="false" customHeight="false" outlineLevel="0" collapsed="false">
      <c r="A378" s="8" t="s">
        <v>2670</v>
      </c>
      <c r="B378" s="8" t="s">
        <v>2671</v>
      </c>
      <c r="C378" s="8" t="s">
        <v>178</v>
      </c>
      <c r="D378" s="8" t="s">
        <v>2532</v>
      </c>
      <c r="E378" s="8"/>
      <c r="F378" s="8" t="s">
        <v>78</v>
      </c>
      <c r="G378" s="8" t="n">
        <v>2</v>
      </c>
      <c r="H378" s="13" t="n">
        <v>3</v>
      </c>
      <c r="I378" s="8" t="n">
        <v>5</v>
      </c>
      <c r="J378" s="20" t="s">
        <v>259</v>
      </c>
      <c r="K378" s="8"/>
      <c r="L378" s="20" t="s">
        <v>259</v>
      </c>
      <c r="M378" s="16" t="n">
        <f aca="false">H378*Scoring!$C$5</f>
        <v>3.9</v>
      </c>
      <c r="N378" s="16" t="n">
        <f aca="false">IF(I378&gt;=5,1,IF(I378=4,0.75,IF(I378=3,0.5,IF(I378=2,0.25,0))))*Scoring!$C$8</f>
        <v>1</v>
      </c>
      <c r="O378" s="16" t="n">
        <f aca="false">IF(J378="Yes",0,Scoring!$C$6)</f>
        <v>2</v>
      </c>
      <c r="P378" s="16" t="n">
        <f aca="false">IF(L378="Yes",0,Scoring!$C$7)</f>
        <v>0.5</v>
      </c>
      <c r="Q378" s="8" t="n">
        <f aca="false">ROUND(SUM(M378:P378),2)</f>
        <v>7.4</v>
      </c>
      <c r="R378" s="8" t="str">
        <f aca="false">IF(Q378&gt;=Scoring!$C$10-0.000001,"Keep","Remove")</f>
        <v>Keep</v>
      </c>
      <c r="S378" s="8" t="s">
        <v>166</v>
      </c>
    </row>
    <row r="379" customFormat="false" ht="15" hidden="false" customHeight="false" outlineLevel="0" collapsed="false">
      <c r="A379" s="8" t="s">
        <v>2680</v>
      </c>
      <c r="B379" s="8" t="s">
        <v>2681</v>
      </c>
      <c r="C379" s="8" t="s">
        <v>178</v>
      </c>
      <c r="D379" s="8" t="s">
        <v>2532</v>
      </c>
      <c r="E379" s="8"/>
      <c r="F379" s="8" t="s">
        <v>78</v>
      </c>
      <c r="G379" s="8" t="n">
        <v>2</v>
      </c>
      <c r="H379" s="13" t="n">
        <v>3</v>
      </c>
      <c r="I379" s="8" t="n">
        <v>4</v>
      </c>
      <c r="J379" s="20" t="s">
        <v>259</v>
      </c>
      <c r="K379" s="8"/>
      <c r="L379" s="20" t="s">
        <v>259</v>
      </c>
      <c r="M379" s="16" t="n">
        <f aca="false">H379*Scoring!$C$5</f>
        <v>3.9</v>
      </c>
      <c r="N379" s="16" t="n">
        <f aca="false">IF(I379&gt;=5,1,IF(I379=4,0.75,IF(I379=3,0.5,IF(I379=2,0.25,0))))*Scoring!$C$8</f>
        <v>0.75</v>
      </c>
      <c r="O379" s="16" t="n">
        <f aca="false">IF(J379="Yes",0,Scoring!$C$6)</f>
        <v>2</v>
      </c>
      <c r="P379" s="16" t="n">
        <f aca="false">IF(L379="Yes",0,Scoring!$C$7)</f>
        <v>0.5</v>
      </c>
      <c r="Q379" s="8" t="n">
        <f aca="false">ROUND(SUM(M379:P379),2)</f>
        <v>7.15</v>
      </c>
      <c r="R379" s="8" t="str">
        <f aca="false">IF(Q379&gt;=Scoring!$C$10-0.000001,"Keep","Remove")</f>
        <v>Keep</v>
      </c>
      <c r="S379" s="8" t="s">
        <v>166</v>
      </c>
    </row>
    <row r="380" customFormat="false" ht="15" hidden="false" customHeight="false" outlineLevel="0" collapsed="false">
      <c r="A380" s="8" t="s">
        <v>2690</v>
      </c>
      <c r="B380" s="8" t="s">
        <v>2691</v>
      </c>
      <c r="C380" s="8" t="s">
        <v>178</v>
      </c>
      <c r="D380" s="8" t="s">
        <v>2532</v>
      </c>
      <c r="E380" s="8"/>
      <c r="F380" s="8" t="s">
        <v>78</v>
      </c>
      <c r="G380" s="8" t="n">
        <v>2</v>
      </c>
      <c r="H380" s="13" t="n">
        <v>3</v>
      </c>
      <c r="I380" s="8" t="n">
        <v>3</v>
      </c>
      <c r="J380" s="20" t="s">
        <v>259</v>
      </c>
      <c r="K380" s="8"/>
      <c r="L380" s="20" t="s">
        <v>259</v>
      </c>
      <c r="M380" s="16" t="n">
        <f aca="false">H380*Scoring!$C$5</f>
        <v>3.9</v>
      </c>
      <c r="N380" s="16" t="n">
        <f aca="false">IF(I380&gt;=5,1,IF(I380=4,0.75,IF(I380=3,0.5,IF(I380=2,0.25,0))))*Scoring!$C$8</f>
        <v>0.5</v>
      </c>
      <c r="O380" s="16" t="n">
        <f aca="false">IF(J380="Yes",0,Scoring!$C$6)</f>
        <v>2</v>
      </c>
      <c r="P380" s="16" t="n">
        <f aca="false">IF(L380="Yes",0,Scoring!$C$7)</f>
        <v>0.5</v>
      </c>
      <c r="Q380" s="8" t="n">
        <f aca="false">ROUND(SUM(M380:P380),2)</f>
        <v>6.9</v>
      </c>
      <c r="R380" s="8" t="str">
        <f aca="false">IF(Q380&gt;=Scoring!$C$10-0.000001,"Keep","Remove")</f>
        <v>Keep</v>
      </c>
      <c r="S380" s="8" t="s">
        <v>166</v>
      </c>
    </row>
    <row r="381" customFormat="false" ht="15" hidden="false" customHeight="false" outlineLevel="0" collapsed="false">
      <c r="A381" s="8" t="s">
        <v>7282</v>
      </c>
      <c r="B381" s="8" t="s">
        <v>7283</v>
      </c>
      <c r="C381" s="8" t="s">
        <v>178</v>
      </c>
      <c r="D381" s="8" t="s">
        <v>2532</v>
      </c>
      <c r="E381" s="8"/>
      <c r="F381" s="8" t="s">
        <v>78</v>
      </c>
      <c r="G381" s="8" t="n">
        <v>3</v>
      </c>
      <c r="H381" s="13" t="n">
        <v>2</v>
      </c>
      <c r="I381" s="8" t="n">
        <v>5</v>
      </c>
      <c r="J381" s="20" t="s">
        <v>259</v>
      </c>
      <c r="K381" s="8"/>
      <c r="L381" s="20" t="s">
        <v>259</v>
      </c>
      <c r="M381" s="16" t="n">
        <f aca="false">H381*Scoring!$C$5</f>
        <v>2.6</v>
      </c>
      <c r="N381" s="16" t="n">
        <f aca="false">IF(I381&gt;=5,1,IF(I381=4,0.75,IF(I381=3,0.5,IF(I381=2,0.25,0))))*Scoring!$C$8</f>
        <v>1</v>
      </c>
      <c r="O381" s="16" t="n">
        <f aca="false">IF(J381="Yes",0,Scoring!$C$6)</f>
        <v>2</v>
      </c>
      <c r="P381" s="16" t="n">
        <f aca="false">IF(L381="Yes",0,Scoring!$C$7)</f>
        <v>0.5</v>
      </c>
      <c r="Q381" s="8" t="n">
        <f aca="false">ROUND(SUM(M381:P381),2)</f>
        <v>6.1</v>
      </c>
      <c r="R381" s="8" t="str">
        <f aca="false">IF(Q381&gt;=Scoring!$C$10-0.000001,"Keep","Remove")</f>
        <v>Remove</v>
      </c>
      <c r="S381" s="8" t="s">
        <v>7243</v>
      </c>
    </row>
    <row r="382" customFormat="false" ht="15" hidden="false" customHeight="false" outlineLevel="0" collapsed="false">
      <c r="A382" s="8" t="s">
        <v>2697</v>
      </c>
      <c r="B382" s="8" t="s">
        <v>2698</v>
      </c>
      <c r="C382" s="8" t="s">
        <v>178</v>
      </c>
      <c r="D382" s="8" t="s">
        <v>2532</v>
      </c>
      <c r="E382" s="8"/>
      <c r="F382" s="8" t="s">
        <v>78</v>
      </c>
      <c r="G382" s="8" t="n">
        <v>2</v>
      </c>
      <c r="H382" s="13" t="n">
        <v>3</v>
      </c>
      <c r="I382" s="8" t="n">
        <v>4</v>
      </c>
      <c r="J382" s="20" t="s">
        <v>259</v>
      </c>
      <c r="K382" s="8"/>
      <c r="L382" s="20" t="s">
        <v>259</v>
      </c>
      <c r="M382" s="16" t="n">
        <f aca="false">H382*Scoring!$C$5</f>
        <v>3.9</v>
      </c>
      <c r="N382" s="16" t="n">
        <f aca="false">IF(I382&gt;=5,1,IF(I382=4,0.75,IF(I382=3,0.5,IF(I382=2,0.25,0))))*Scoring!$C$8</f>
        <v>0.75</v>
      </c>
      <c r="O382" s="16" t="n">
        <f aca="false">IF(J382="Yes",0,Scoring!$C$6)</f>
        <v>2</v>
      </c>
      <c r="P382" s="16" t="n">
        <f aca="false">IF(L382="Yes",0,Scoring!$C$7)</f>
        <v>0.5</v>
      </c>
      <c r="Q382" s="8" t="n">
        <f aca="false">ROUND(SUM(M382:P382),2)</f>
        <v>7.15</v>
      </c>
      <c r="R382" s="8" t="str">
        <f aca="false">IF(Q382&gt;=Scoring!$C$10-0.000001,"Keep","Remove")</f>
        <v>Keep</v>
      </c>
      <c r="S382" s="8" t="s">
        <v>166</v>
      </c>
    </row>
    <row r="383" customFormat="false" ht="15" hidden="false" customHeight="false" outlineLevel="0" collapsed="false">
      <c r="A383" s="8" t="s">
        <v>2707</v>
      </c>
      <c r="B383" s="8" t="s">
        <v>2708</v>
      </c>
      <c r="C383" s="8" t="s">
        <v>178</v>
      </c>
      <c r="D383" s="8" t="s">
        <v>2532</v>
      </c>
      <c r="E383" s="8"/>
      <c r="F383" s="8" t="s">
        <v>79</v>
      </c>
      <c r="G383" s="8" t="n">
        <v>1</v>
      </c>
      <c r="H383" s="13" t="n">
        <v>4</v>
      </c>
      <c r="I383" s="8" t="n">
        <v>5</v>
      </c>
      <c r="J383" s="20" t="s">
        <v>259</v>
      </c>
      <c r="K383" s="8"/>
      <c r="L383" s="20" t="s">
        <v>259</v>
      </c>
      <c r="M383" s="16" t="n">
        <f aca="false">H383*Scoring!$C$5</f>
        <v>5.2</v>
      </c>
      <c r="N383" s="16" t="n">
        <f aca="false">IF(I383&gt;=5,1,IF(I383=4,0.75,IF(I383=3,0.5,IF(I383=2,0.25,0))))*Scoring!$C$8</f>
        <v>1</v>
      </c>
      <c r="O383" s="16" t="n">
        <f aca="false">IF(J383="Yes",0,Scoring!$C$6)</f>
        <v>2</v>
      </c>
      <c r="P383" s="16" t="n">
        <f aca="false">IF(L383="Yes",0,Scoring!$C$7)</f>
        <v>0.5</v>
      </c>
      <c r="Q383" s="8" t="n">
        <f aca="false">ROUND(SUM(M383:P383),2)</f>
        <v>8.7</v>
      </c>
      <c r="R383" s="8" t="str">
        <f aca="false">IF(Q383&gt;=Scoring!$C$10-0.000001,"Keep","Remove")</f>
        <v>Keep</v>
      </c>
      <c r="S383" s="8" t="s">
        <v>166</v>
      </c>
    </row>
    <row r="384" customFormat="false" ht="15" hidden="false" customHeight="false" outlineLevel="0" collapsed="false">
      <c r="A384" s="8" t="s">
        <v>2713</v>
      </c>
      <c r="B384" s="8" t="s">
        <v>2714</v>
      </c>
      <c r="C384" s="8" t="s">
        <v>178</v>
      </c>
      <c r="D384" s="8" t="s">
        <v>2532</v>
      </c>
      <c r="E384" s="8"/>
      <c r="F384" s="8" t="s">
        <v>79</v>
      </c>
      <c r="G384" s="8" t="n">
        <v>1</v>
      </c>
      <c r="H384" s="13" t="n">
        <v>4</v>
      </c>
      <c r="I384" s="8" t="n">
        <v>4</v>
      </c>
      <c r="J384" s="20" t="s">
        <v>259</v>
      </c>
      <c r="K384" s="8"/>
      <c r="L384" s="20" t="s">
        <v>259</v>
      </c>
      <c r="M384" s="16" t="n">
        <f aca="false">H384*Scoring!$C$5</f>
        <v>5.2</v>
      </c>
      <c r="N384" s="16" t="n">
        <f aca="false">IF(I384&gt;=5,1,IF(I384=4,0.75,IF(I384=3,0.5,IF(I384=2,0.25,0))))*Scoring!$C$8</f>
        <v>0.75</v>
      </c>
      <c r="O384" s="16" t="n">
        <f aca="false">IF(J384="Yes",0,Scoring!$C$6)</f>
        <v>2</v>
      </c>
      <c r="P384" s="16" t="n">
        <f aca="false">IF(L384="Yes",0,Scoring!$C$7)</f>
        <v>0.5</v>
      </c>
      <c r="Q384" s="8" t="n">
        <f aca="false">ROUND(SUM(M384:P384),2)</f>
        <v>8.45</v>
      </c>
      <c r="R384" s="8" t="str">
        <f aca="false">IF(Q384&gt;=Scoring!$C$10-0.000001,"Keep","Remove")</f>
        <v>Keep</v>
      </c>
      <c r="S384" s="8" t="s">
        <v>166</v>
      </c>
    </row>
    <row r="385" customFormat="false" ht="15" hidden="false" customHeight="false" outlineLevel="0" collapsed="false">
      <c r="A385" s="8" t="s">
        <v>2723</v>
      </c>
      <c r="B385" s="8" t="s">
        <v>2724</v>
      </c>
      <c r="C385" s="8" t="s">
        <v>178</v>
      </c>
      <c r="D385" s="8" t="s">
        <v>2532</v>
      </c>
      <c r="E385" s="8"/>
      <c r="F385" s="8" t="s">
        <v>82</v>
      </c>
      <c r="G385" s="8" t="n">
        <v>1</v>
      </c>
      <c r="H385" s="13" t="n">
        <v>3</v>
      </c>
      <c r="I385" s="8" t="n">
        <v>4</v>
      </c>
      <c r="J385" s="20" t="s">
        <v>259</v>
      </c>
      <c r="K385" s="8"/>
      <c r="L385" s="20" t="s">
        <v>259</v>
      </c>
      <c r="M385" s="16" t="n">
        <f aca="false">H385*Scoring!$C$5</f>
        <v>3.9</v>
      </c>
      <c r="N385" s="16" t="n">
        <f aca="false">IF(I385&gt;=5,1,IF(I385=4,0.75,IF(I385=3,0.5,IF(I385=2,0.25,0))))*Scoring!$C$8</f>
        <v>0.75</v>
      </c>
      <c r="O385" s="16" t="n">
        <f aca="false">IF(J385="Yes",0,Scoring!$C$6)</f>
        <v>2</v>
      </c>
      <c r="P385" s="16" t="n">
        <f aca="false">IF(L385="Yes",0,Scoring!$C$7)</f>
        <v>0.5</v>
      </c>
      <c r="Q385" s="8" t="n">
        <f aca="false">ROUND(SUM(M385:P385),2)</f>
        <v>7.15</v>
      </c>
      <c r="R385" s="8" t="str">
        <f aca="false">IF(Q385&gt;=Scoring!$C$10-0.000001,"Keep","Remove")</f>
        <v>Keep</v>
      </c>
      <c r="S385" s="8" t="s">
        <v>166</v>
      </c>
    </row>
    <row r="386" customFormat="false" ht="15" hidden="false" customHeight="false" outlineLevel="0" collapsed="false">
      <c r="A386" s="8" t="s">
        <v>2732</v>
      </c>
      <c r="B386" s="8" t="s">
        <v>2733</v>
      </c>
      <c r="C386" s="8" t="s">
        <v>178</v>
      </c>
      <c r="D386" s="8" t="s">
        <v>2532</v>
      </c>
      <c r="E386" s="8"/>
      <c r="F386" s="8" t="s">
        <v>83</v>
      </c>
      <c r="G386" s="8" t="n">
        <v>1</v>
      </c>
      <c r="H386" s="13" t="n">
        <v>4</v>
      </c>
      <c r="I386" s="8" t="n">
        <v>5</v>
      </c>
      <c r="J386" s="20" t="s">
        <v>259</v>
      </c>
      <c r="K386" s="8"/>
      <c r="L386" s="20" t="s">
        <v>259</v>
      </c>
      <c r="M386" s="16" t="n">
        <f aca="false">H386*Scoring!$C$5</f>
        <v>5.2</v>
      </c>
      <c r="N386" s="16" t="n">
        <f aca="false">IF(I386&gt;=5,1,IF(I386=4,0.75,IF(I386=3,0.5,IF(I386=2,0.25,0))))*Scoring!$C$8</f>
        <v>1</v>
      </c>
      <c r="O386" s="16" t="n">
        <f aca="false">IF(J386="Yes",0,Scoring!$C$6)</f>
        <v>2</v>
      </c>
      <c r="P386" s="16" t="n">
        <f aca="false">IF(L386="Yes",0,Scoring!$C$7)</f>
        <v>0.5</v>
      </c>
      <c r="Q386" s="8" t="n">
        <f aca="false">ROUND(SUM(M386:P386),2)</f>
        <v>8.7</v>
      </c>
      <c r="R386" s="8" t="str">
        <f aca="false">IF(Q386&gt;=Scoring!$C$10-0.000001,"Keep","Remove")</f>
        <v>Keep</v>
      </c>
      <c r="S386" s="8" t="s">
        <v>166</v>
      </c>
    </row>
    <row r="387" customFormat="false" ht="15" hidden="false" customHeight="false" outlineLevel="0" collapsed="false">
      <c r="A387" s="8" t="s">
        <v>2740</v>
      </c>
      <c r="B387" s="8" t="s">
        <v>2741</v>
      </c>
      <c r="C387" s="8" t="s">
        <v>178</v>
      </c>
      <c r="D387" s="8" t="s">
        <v>2532</v>
      </c>
      <c r="E387" s="8"/>
      <c r="F387" s="8" t="s">
        <v>80</v>
      </c>
      <c r="G387" s="8" t="n">
        <v>2</v>
      </c>
      <c r="H387" s="13" t="n">
        <v>3</v>
      </c>
      <c r="I387" s="8" t="n">
        <v>4</v>
      </c>
      <c r="J387" s="20" t="s">
        <v>259</v>
      </c>
      <c r="K387" s="8"/>
      <c r="L387" s="20" t="s">
        <v>259</v>
      </c>
      <c r="M387" s="16" t="n">
        <f aca="false">H387*Scoring!$C$5</f>
        <v>3.9</v>
      </c>
      <c r="N387" s="16" t="n">
        <f aca="false">IF(I387&gt;=5,1,IF(I387=4,0.75,IF(I387=3,0.5,IF(I387=2,0.25,0))))*Scoring!$C$8</f>
        <v>0.75</v>
      </c>
      <c r="O387" s="16" t="n">
        <f aca="false">IF(J387="Yes",0,Scoring!$C$6)</f>
        <v>2</v>
      </c>
      <c r="P387" s="16" t="n">
        <f aca="false">IF(L387="Yes",0,Scoring!$C$7)</f>
        <v>0.5</v>
      </c>
      <c r="Q387" s="8" t="n">
        <f aca="false">ROUND(SUM(M387:P387),2)</f>
        <v>7.15</v>
      </c>
      <c r="R387" s="8" t="str">
        <f aca="false">IF(Q387&gt;=Scoring!$C$10-0.000001,"Keep","Remove")</f>
        <v>Keep</v>
      </c>
      <c r="S387" s="8" t="s">
        <v>166</v>
      </c>
    </row>
    <row r="388" customFormat="false" ht="15" hidden="false" customHeight="false" outlineLevel="0" collapsed="false">
      <c r="A388" s="8" t="s">
        <v>2753</v>
      </c>
      <c r="B388" s="8" t="s">
        <v>2754</v>
      </c>
      <c r="C388" s="8" t="s">
        <v>178</v>
      </c>
      <c r="D388" s="8" t="s">
        <v>2532</v>
      </c>
      <c r="E388" s="8"/>
      <c r="F388" s="8" t="s">
        <v>80</v>
      </c>
      <c r="G388" s="8" t="n">
        <v>2</v>
      </c>
      <c r="H388" s="13" t="n">
        <v>4</v>
      </c>
      <c r="I388" s="8" t="n">
        <v>5</v>
      </c>
      <c r="J388" s="20" t="s">
        <v>259</v>
      </c>
      <c r="K388" s="8"/>
      <c r="L388" s="20" t="s">
        <v>259</v>
      </c>
      <c r="M388" s="16" t="n">
        <f aca="false">H388*Scoring!$C$5</f>
        <v>5.2</v>
      </c>
      <c r="N388" s="16" t="n">
        <f aca="false">IF(I388&gt;=5,1,IF(I388=4,0.75,IF(I388=3,0.5,IF(I388=2,0.25,0))))*Scoring!$C$8</f>
        <v>1</v>
      </c>
      <c r="O388" s="16" t="n">
        <f aca="false">IF(J388="Yes",0,Scoring!$C$6)</f>
        <v>2</v>
      </c>
      <c r="P388" s="16" t="n">
        <f aca="false">IF(L388="Yes",0,Scoring!$C$7)</f>
        <v>0.5</v>
      </c>
      <c r="Q388" s="8" t="n">
        <f aca="false">ROUND(SUM(M388:P388),2)</f>
        <v>8.7</v>
      </c>
      <c r="R388" s="8" t="str">
        <f aca="false">IF(Q388&gt;=Scoring!$C$10-0.000001,"Keep","Remove")</f>
        <v>Keep</v>
      </c>
      <c r="S388" s="8" t="s">
        <v>166</v>
      </c>
    </row>
    <row r="389" customFormat="false" ht="15" hidden="false" customHeight="false" outlineLevel="0" collapsed="false">
      <c r="A389" s="8" t="s">
        <v>2765</v>
      </c>
      <c r="B389" s="8" t="s">
        <v>2766</v>
      </c>
      <c r="C389" s="8" t="s">
        <v>178</v>
      </c>
      <c r="D389" s="8" t="s">
        <v>2532</v>
      </c>
      <c r="E389" s="8"/>
      <c r="F389" s="8" t="s">
        <v>80</v>
      </c>
      <c r="G389" s="8" t="n">
        <v>2</v>
      </c>
      <c r="H389" s="13" t="n">
        <v>3</v>
      </c>
      <c r="I389" s="8" t="n">
        <v>3</v>
      </c>
      <c r="J389" s="20" t="s">
        <v>259</v>
      </c>
      <c r="K389" s="8"/>
      <c r="L389" s="20" t="s">
        <v>259</v>
      </c>
      <c r="M389" s="16" t="n">
        <f aca="false">H389*Scoring!$C$5</f>
        <v>3.9</v>
      </c>
      <c r="N389" s="16" t="n">
        <f aca="false">IF(I389&gt;=5,1,IF(I389=4,0.75,IF(I389=3,0.5,IF(I389=2,0.25,0))))*Scoring!$C$8</f>
        <v>0.5</v>
      </c>
      <c r="O389" s="16" t="n">
        <f aca="false">IF(J389="Yes",0,Scoring!$C$6)</f>
        <v>2</v>
      </c>
      <c r="P389" s="16" t="n">
        <f aca="false">IF(L389="Yes",0,Scoring!$C$7)</f>
        <v>0.5</v>
      </c>
      <c r="Q389" s="8" t="n">
        <f aca="false">ROUND(SUM(M389:P389),2)</f>
        <v>6.9</v>
      </c>
      <c r="R389" s="8" t="str">
        <f aca="false">IF(Q389&gt;=Scoring!$C$10-0.000001,"Keep","Remove")</f>
        <v>Keep</v>
      </c>
      <c r="S389" s="8" t="s">
        <v>166</v>
      </c>
    </row>
    <row r="390" customFormat="false" ht="15" hidden="false" customHeight="false" outlineLevel="0" collapsed="false">
      <c r="A390" s="8" t="s">
        <v>2775</v>
      </c>
      <c r="B390" s="8" t="s">
        <v>2776</v>
      </c>
      <c r="C390" s="8" t="s">
        <v>178</v>
      </c>
      <c r="D390" s="8" t="s">
        <v>2532</v>
      </c>
      <c r="E390" s="8"/>
      <c r="F390" s="8" t="s">
        <v>78</v>
      </c>
      <c r="G390" s="8" t="n">
        <v>2</v>
      </c>
      <c r="H390" s="13" t="n">
        <v>3</v>
      </c>
      <c r="I390" s="8" t="n">
        <v>5</v>
      </c>
      <c r="J390" s="20" t="s">
        <v>259</v>
      </c>
      <c r="K390" s="8"/>
      <c r="L390" s="20" t="s">
        <v>259</v>
      </c>
      <c r="M390" s="16" t="n">
        <f aca="false">H390*Scoring!$C$5</f>
        <v>3.9</v>
      </c>
      <c r="N390" s="16" t="n">
        <f aca="false">IF(I390&gt;=5,1,IF(I390=4,0.75,IF(I390=3,0.5,IF(I390=2,0.25,0))))*Scoring!$C$8</f>
        <v>1</v>
      </c>
      <c r="O390" s="16" t="n">
        <f aca="false">IF(J390="Yes",0,Scoring!$C$6)</f>
        <v>2</v>
      </c>
      <c r="P390" s="16" t="n">
        <f aca="false">IF(L390="Yes",0,Scoring!$C$7)</f>
        <v>0.5</v>
      </c>
      <c r="Q390" s="8" t="n">
        <f aca="false">ROUND(SUM(M390:P390),2)</f>
        <v>7.4</v>
      </c>
      <c r="R390" s="8" t="str">
        <f aca="false">IF(Q390&gt;=Scoring!$C$10-0.000001,"Keep","Remove")</f>
        <v>Keep</v>
      </c>
      <c r="S390" s="8" t="s">
        <v>166</v>
      </c>
    </row>
    <row r="391" customFormat="false" ht="15" hidden="false" customHeight="false" outlineLevel="0" collapsed="false">
      <c r="A391" s="8" t="s">
        <v>2786</v>
      </c>
      <c r="B391" s="8" t="s">
        <v>2787</v>
      </c>
      <c r="C391" s="8" t="s">
        <v>178</v>
      </c>
      <c r="D391" s="8" t="s">
        <v>2788</v>
      </c>
      <c r="E391" s="8"/>
      <c r="F391" s="8" t="s">
        <v>78</v>
      </c>
      <c r="G391" s="8" t="n">
        <v>1</v>
      </c>
      <c r="H391" s="13" t="n">
        <v>3</v>
      </c>
      <c r="I391" s="8" t="n">
        <v>3</v>
      </c>
      <c r="J391" s="20" t="s">
        <v>259</v>
      </c>
      <c r="K391" s="8"/>
      <c r="L391" s="20" t="s">
        <v>259</v>
      </c>
      <c r="M391" s="16" t="n">
        <f aca="false">H391*Scoring!$C$5</f>
        <v>3.9</v>
      </c>
      <c r="N391" s="16" t="n">
        <f aca="false">IF(I391&gt;=5,1,IF(I391=4,0.75,IF(I391=3,0.5,IF(I391=2,0.25,0))))*Scoring!$C$8</f>
        <v>0.5</v>
      </c>
      <c r="O391" s="16" t="n">
        <f aca="false">IF(J391="Yes",0,Scoring!$C$6)</f>
        <v>2</v>
      </c>
      <c r="P391" s="16" t="n">
        <f aca="false">IF(L391="Yes",0,Scoring!$C$7)</f>
        <v>0.5</v>
      </c>
      <c r="Q391" s="8" t="n">
        <f aca="false">ROUND(SUM(M391:P391),2)</f>
        <v>6.9</v>
      </c>
      <c r="R391" s="8" t="str">
        <f aca="false">IF(Q391&gt;=Scoring!$C$10-0.000001,"Keep","Remove")</f>
        <v>Keep</v>
      </c>
      <c r="S391" s="8" t="s">
        <v>166</v>
      </c>
    </row>
    <row r="392" customFormat="false" ht="15" hidden="false" customHeight="false" outlineLevel="0" collapsed="false">
      <c r="A392" s="8" t="s">
        <v>2801</v>
      </c>
      <c r="B392" s="8" t="s">
        <v>2802</v>
      </c>
      <c r="C392" s="8" t="s">
        <v>178</v>
      </c>
      <c r="D392" s="8" t="s">
        <v>2532</v>
      </c>
      <c r="E392" s="8"/>
      <c r="F392" s="8" t="s">
        <v>79</v>
      </c>
      <c r="G392" s="8" t="n">
        <v>2</v>
      </c>
      <c r="H392" s="13" t="n">
        <v>3</v>
      </c>
      <c r="I392" s="8" t="n">
        <v>4</v>
      </c>
      <c r="J392" s="20" t="s">
        <v>259</v>
      </c>
      <c r="K392" s="8"/>
      <c r="L392" s="20" t="s">
        <v>259</v>
      </c>
      <c r="M392" s="16" t="n">
        <f aca="false">H392*Scoring!$C$5</f>
        <v>3.9</v>
      </c>
      <c r="N392" s="16" t="n">
        <f aca="false">IF(I392&gt;=5,1,IF(I392=4,0.75,IF(I392=3,0.5,IF(I392=2,0.25,0))))*Scoring!$C$8</f>
        <v>0.75</v>
      </c>
      <c r="O392" s="16" t="n">
        <f aca="false">IF(J392="Yes",0,Scoring!$C$6)</f>
        <v>2</v>
      </c>
      <c r="P392" s="16" t="n">
        <f aca="false">IF(L392="Yes",0,Scoring!$C$7)</f>
        <v>0.5</v>
      </c>
      <c r="Q392" s="8" t="n">
        <f aca="false">ROUND(SUM(M392:P392),2)</f>
        <v>7.15</v>
      </c>
      <c r="R392" s="8" t="str">
        <f aca="false">IF(Q392&gt;=Scoring!$C$10-0.000001,"Keep","Remove")</f>
        <v>Keep</v>
      </c>
      <c r="S392" s="8" t="s">
        <v>166</v>
      </c>
    </row>
    <row r="393" customFormat="false" ht="15" hidden="false" customHeight="false" outlineLevel="0" collapsed="false">
      <c r="A393" s="8" t="s">
        <v>2808</v>
      </c>
      <c r="B393" s="8" t="s">
        <v>2809</v>
      </c>
      <c r="C393" s="8" t="s">
        <v>178</v>
      </c>
      <c r="D393" s="8" t="s">
        <v>2532</v>
      </c>
      <c r="E393" s="8"/>
      <c r="F393" s="8" t="s">
        <v>82</v>
      </c>
      <c r="G393" s="8" t="n">
        <v>2</v>
      </c>
      <c r="H393" s="13" t="n">
        <v>3</v>
      </c>
      <c r="I393" s="8" t="n">
        <v>5</v>
      </c>
      <c r="J393" s="20" t="s">
        <v>259</v>
      </c>
      <c r="K393" s="8"/>
      <c r="L393" s="20" t="s">
        <v>259</v>
      </c>
      <c r="M393" s="16" t="n">
        <f aca="false">H393*Scoring!$C$5</f>
        <v>3.9</v>
      </c>
      <c r="N393" s="16" t="n">
        <f aca="false">IF(I393&gt;=5,1,IF(I393=4,0.75,IF(I393=3,0.5,IF(I393=2,0.25,0))))*Scoring!$C$8</f>
        <v>1</v>
      </c>
      <c r="O393" s="16" t="n">
        <f aca="false">IF(J393="Yes",0,Scoring!$C$6)</f>
        <v>2</v>
      </c>
      <c r="P393" s="16" t="n">
        <f aca="false">IF(L393="Yes",0,Scoring!$C$7)</f>
        <v>0.5</v>
      </c>
      <c r="Q393" s="8" t="n">
        <f aca="false">ROUND(SUM(M393:P393),2)</f>
        <v>7.4</v>
      </c>
      <c r="R393" s="8" t="str">
        <f aca="false">IF(Q393&gt;=Scoring!$C$10-0.000001,"Keep","Remove")</f>
        <v>Keep</v>
      </c>
      <c r="S393" s="8" t="s">
        <v>166</v>
      </c>
    </row>
    <row r="394" customFormat="false" ht="15" hidden="false" customHeight="false" outlineLevel="0" collapsed="false">
      <c r="A394" s="8" t="s">
        <v>7482</v>
      </c>
      <c r="B394" s="8" t="s">
        <v>7483</v>
      </c>
      <c r="C394" s="8" t="s">
        <v>178</v>
      </c>
      <c r="D394" s="8" t="s">
        <v>2532</v>
      </c>
      <c r="E394" s="8"/>
      <c r="F394" s="8" t="s">
        <v>78</v>
      </c>
      <c r="G394" s="8" t="n">
        <v>3</v>
      </c>
      <c r="H394" s="13" t="n">
        <v>2</v>
      </c>
      <c r="I394" s="8" t="n">
        <v>4</v>
      </c>
      <c r="J394" s="20" t="s">
        <v>259</v>
      </c>
      <c r="K394" s="8"/>
      <c r="L394" s="20" t="s">
        <v>259</v>
      </c>
      <c r="M394" s="16" t="n">
        <f aca="false">H394*Scoring!$C$5</f>
        <v>2.6</v>
      </c>
      <c r="N394" s="16" t="n">
        <f aca="false">IF(I394&gt;=5,1,IF(I394=4,0.75,IF(I394=3,0.5,IF(I394=2,0.25,0))))*Scoring!$C$8</f>
        <v>0.75</v>
      </c>
      <c r="O394" s="16" t="n">
        <f aca="false">IF(J394="Yes",0,Scoring!$C$6)</f>
        <v>2</v>
      </c>
      <c r="P394" s="16" t="n">
        <f aca="false">IF(L394="Yes",0,Scoring!$C$7)</f>
        <v>0.5</v>
      </c>
      <c r="Q394" s="8" t="n">
        <f aca="false">ROUND(SUM(M394:P394),2)</f>
        <v>5.85</v>
      </c>
      <c r="R394" s="8" t="str">
        <f aca="false">IF(Q394&gt;=Scoring!$C$10-0.000001,"Keep","Remove")</f>
        <v>Remove</v>
      </c>
      <c r="S394" s="8" t="s">
        <v>7243</v>
      </c>
    </row>
    <row r="395" customFormat="false" ht="15" hidden="false" customHeight="false" outlineLevel="0" collapsed="false">
      <c r="A395" s="8" t="s">
        <v>2817</v>
      </c>
      <c r="B395" s="8" t="s">
        <v>2818</v>
      </c>
      <c r="C395" s="8" t="s">
        <v>178</v>
      </c>
      <c r="D395" s="8" t="s">
        <v>2532</v>
      </c>
      <c r="E395" s="8"/>
      <c r="F395" s="8" t="s">
        <v>78</v>
      </c>
      <c r="G395" s="8" t="n">
        <v>2</v>
      </c>
      <c r="H395" s="13" t="n">
        <v>3</v>
      </c>
      <c r="I395" s="8" t="n">
        <v>4</v>
      </c>
      <c r="J395" s="20" t="s">
        <v>259</v>
      </c>
      <c r="K395" s="8"/>
      <c r="L395" s="20" t="s">
        <v>259</v>
      </c>
      <c r="M395" s="16" t="n">
        <f aca="false">H395*Scoring!$C$5</f>
        <v>3.9</v>
      </c>
      <c r="N395" s="16" t="n">
        <f aca="false">IF(I395&gt;=5,1,IF(I395=4,0.75,IF(I395=3,0.5,IF(I395=2,0.25,0))))*Scoring!$C$8</f>
        <v>0.75</v>
      </c>
      <c r="O395" s="16" t="n">
        <f aca="false">IF(J395="Yes",0,Scoring!$C$6)</f>
        <v>2</v>
      </c>
      <c r="P395" s="16" t="n">
        <f aca="false">IF(L395="Yes",0,Scoring!$C$7)</f>
        <v>0.5</v>
      </c>
      <c r="Q395" s="8" t="n">
        <f aca="false">ROUND(SUM(M395:P395),2)</f>
        <v>7.15</v>
      </c>
      <c r="R395" s="8" t="str">
        <f aca="false">IF(Q395&gt;=Scoring!$C$10-0.000001,"Keep","Remove")</f>
        <v>Keep</v>
      </c>
      <c r="S395" s="8" t="s">
        <v>166</v>
      </c>
    </row>
    <row r="396" customFormat="false" ht="15" hidden="false" customHeight="false" outlineLevel="0" collapsed="false">
      <c r="A396" s="8" t="s">
        <v>7284</v>
      </c>
      <c r="B396" s="8" t="s">
        <v>7285</v>
      </c>
      <c r="C396" s="8" t="s">
        <v>178</v>
      </c>
      <c r="D396" s="8" t="s">
        <v>2532</v>
      </c>
      <c r="E396" s="8"/>
      <c r="F396" s="8" t="s">
        <v>78</v>
      </c>
      <c r="G396" s="8" t="n">
        <v>3</v>
      </c>
      <c r="H396" s="13" t="n">
        <v>2</v>
      </c>
      <c r="I396" s="8" t="n">
        <v>5</v>
      </c>
      <c r="J396" s="20" t="s">
        <v>259</v>
      </c>
      <c r="K396" s="8"/>
      <c r="L396" s="20" t="s">
        <v>259</v>
      </c>
      <c r="M396" s="16" t="n">
        <f aca="false">H396*Scoring!$C$5</f>
        <v>2.6</v>
      </c>
      <c r="N396" s="16" t="n">
        <f aca="false">IF(I396&gt;=5,1,IF(I396=4,0.75,IF(I396=3,0.5,IF(I396=2,0.25,0))))*Scoring!$C$8</f>
        <v>1</v>
      </c>
      <c r="O396" s="16" t="n">
        <f aca="false">IF(J396="Yes",0,Scoring!$C$6)</f>
        <v>2</v>
      </c>
      <c r="P396" s="16" t="n">
        <f aca="false">IF(L396="Yes",0,Scoring!$C$7)</f>
        <v>0.5</v>
      </c>
      <c r="Q396" s="8" t="n">
        <f aca="false">ROUND(SUM(M396:P396),2)</f>
        <v>6.1</v>
      </c>
      <c r="R396" s="8" t="str">
        <f aca="false">IF(Q396&gt;=Scoring!$C$10-0.000001,"Keep","Remove")</f>
        <v>Remove</v>
      </c>
      <c r="S396" s="8" t="s">
        <v>7243</v>
      </c>
    </row>
    <row r="397" customFormat="false" ht="15" hidden="false" customHeight="false" outlineLevel="0" collapsed="false">
      <c r="A397" s="8" t="s">
        <v>2829</v>
      </c>
      <c r="B397" s="8" t="s">
        <v>2830</v>
      </c>
      <c r="C397" s="8" t="s">
        <v>178</v>
      </c>
      <c r="D397" s="8" t="s">
        <v>2532</v>
      </c>
      <c r="E397" s="8"/>
      <c r="F397" s="8" t="s">
        <v>78</v>
      </c>
      <c r="G397" s="8" t="n">
        <v>2</v>
      </c>
      <c r="H397" s="13" t="n">
        <v>3</v>
      </c>
      <c r="I397" s="8" t="n">
        <v>5</v>
      </c>
      <c r="J397" s="20" t="s">
        <v>259</v>
      </c>
      <c r="K397" s="8"/>
      <c r="L397" s="20" t="s">
        <v>259</v>
      </c>
      <c r="M397" s="16" t="n">
        <f aca="false">H397*Scoring!$C$5</f>
        <v>3.9</v>
      </c>
      <c r="N397" s="16" t="n">
        <f aca="false">IF(I397&gt;=5,1,IF(I397=4,0.75,IF(I397=3,0.5,IF(I397=2,0.25,0))))*Scoring!$C$8</f>
        <v>1</v>
      </c>
      <c r="O397" s="16" t="n">
        <f aca="false">IF(J397="Yes",0,Scoring!$C$6)</f>
        <v>2</v>
      </c>
      <c r="P397" s="16" t="n">
        <f aca="false">IF(L397="Yes",0,Scoring!$C$7)</f>
        <v>0.5</v>
      </c>
      <c r="Q397" s="8" t="n">
        <f aca="false">ROUND(SUM(M397:P397),2)</f>
        <v>7.4</v>
      </c>
      <c r="R397" s="8" t="str">
        <f aca="false">IF(Q397&gt;=Scoring!$C$10-0.000001,"Keep","Remove")</f>
        <v>Keep</v>
      </c>
      <c r="S397" s="8" t="s">
        <v>166</v>
      </c>
    </row>
    <row r="398" customFormat="false" ht="15" hidden="false" customHeight="false" outlineLevel="0" collapsed="false">
      <c r="A398" s="8" t="s">
        <v>2839</v>
      </c>
      <c r="B398" s="8" t="s">
        <v>2840</v>
      </c>
      <c r="C398" s="8" t="s">
        <v>178</v>
      </c>
      <c r="D398" s="8" t="s">
        <v>2532</v>
      </c>
      <c r="E398" s="8"/>
      <c r="F398" s="8" t="s">
        <v>81</v>
      </c>
      <c r="G398" s="8" t="n">
        <v>2</v>
      </c>
      <c r="H398" s="13" t="n">
        <v>3</v>
      </c>
      <c r="I398" s="8" t="n">
        <v>3</v>
      </c>
      <c r="J398" s="20" t="s">
        <v>259</v>
      </c>
      <c r="K398" s="8"/>
      <c r="L398" s="20" t="s">
        <v>259</v>
      </c>
      <c r="M398" s="16" t="n">
        <f aca="false">H398*Scoring!$C$5</f>
        <v>3.9</v>
      </c>
      <c r="N398" s="16" t="n">
        <f aca="false">IF(I398&gt;=5,1,IF(I398=4,0.75,IF(I398=3,0.5,IF(I398=2,0.25,0))))*Scoring!$C$8</f>
        <v>0.5</v>
      </c>
      <c r="O398" s="16" t="n">
        <f aca="false">IF(J398="Yes",0,Scoring!$C$6)</f>
        <v>2</v>
      </c>
      <c r="P398" s="16" t="n">
        <f aca="false">IF(L398="Yes",0,Scoring!$C$7)</f>
        <v>0.5</v>
      </c>
      <c r="Q398" s="8" t="n">
        <f aca="false">ROUND(SUM(M398:P398),2)</f>
        <v>6.9</v>
      </c>
      <c r="R398" s="8" t="str">
        <f aca="false">IF(Q398&gt;=Scoring!$C$10-0.000001,"Keep","Remove")</f>
        <v>Keep</v>
      </c>
      <c r="S398" s="8" t="s">
        <v>166</v>
      </c>
    </row>
    <row r="399" customFormat="false" ht="15" hidden="false" customHeight="false" outlineLevel="0" collapsed="false">
      <c r="A399" s="8" t="s">
        <v>2848</v>
      </c>
      <c r="B399" s="8" t="s">
        <v>2849</v>
      </c>
      <c r="C399" s="8" t="s">
        <v>178</v>
      </c>
      <c r="D399" s="8" t="s">
        <v>2532</v>
      </c>
      <c r="E399" s="8"/>
      <c r="F399" s="8" t="s">
        <v>79</v>
      </c>
      <c r="G399" s="8" t="n">
        <v>2</v>
      </c>
      <c r="H399" s="13" t="n">
        <v>3</v>
      </c>
      <c r="I399" s="8" t="n">
        <v>5</v>
      </c>
      <c r="J399" s="20" t="s">
        <v>259</v>
      </c>
      <c r="K399" s="8"/>
      <c r="L399" s="20" t="s">
        <v>259</v>
      </c>
      <c r="M399" s="16" t="n">
        <f aca="false">H399*Scoring!$C$5</f>
        <v>3.9</v>
      </c>
      <c r="N399" s="16" t="n">
        <f aca="false">IF(I399&gt;=5,1,IF(I399=4,0.75,IF(I399=3,0.5,IF(I399=2,0.25,0))))*Scoring!$C$8</f>
        <v>1</v>
      </c>
      <c r="O399" s="16" t="n">
        <f aca="false">IF(J399="Yes",0,Scoring!$C$6)</f>
        <v>2</v>
      </c>
      <c r="P399" s="16" t="n">
        <f aca="false">IF(L399="Yes",0,Scoring!$C$7)</f>
        <v>0.5</v>
      </c>
      <c r="Q399" s="8" t="n">
        <f aca="false">ROUND(SUM(M399:P399),2)</f>
        <v>7.4</v>
      </c>
      <c r="R399" s="8" t="str">
        <f aca="false">IF(Q399&gt;=Scoring!$C$10-0.000001,"Keep","Remove")</f>
        <v>Keep</v>
      </c>
      <c r="S399" s="8" t="s">
        <v>166</v>
      </c>
    </row>
    <row r="400" customFormat="false" ht="15" hidden="false" customHeight="false" outlineLevel="0" collapsed="false">
      <c r="A400" s="8" t="s">
        <v>7286</v>
      </c>
      <c r="B400" s="8" t="s">
        <v>7287</v>
      </c>
      <c r="C400" s="8" t="s">
        <v>178</v>
      </c>
      <c r="D400" s="8" t="s">
        <v>2532</v>
      </c>
      <c r="E400" s="8"/>
      <c r="F400" s="8" t="s">
        <v>79</v>
      </c>
      <c r="G400" s="8" t="n">
        <v>3</v>
      </c>
      <c r="H400" s="13" t="n">
        <v>2</v>
      </c>
      <c r="I400" s="8" t="n">
        <v>5</v>
      </c>
      <c r="J400" s="20" t="s">
        <v>259</v>
      </c>
      <c r="K400" s="8"/>
      <c r="L400" s="20" t="s">
        <v>259</v>
      </c>
      <c r="M400" s="16" t="n">
        <f aca="false">H400*Scoring!$C$5</f>
        <v>2.6</v>
      </c>
      <c r="N400" s="16" t="n">
        <f aca="false">IF(I400&gt;=5,1,IF(I400=4,0.75,IF(I400=3,0.5,IF(I400=2,0.25,0))))*Scoring!$C$8</f>
        <v>1</v>
      </c>
      <c r="O400" s="16" t="n">
        <f aca="false">IF(J400="Yes",0,Scoring!$C$6)</f>
        <v>2</v>
      </c>
      <c r="P400" s="16" t="n">
        <f aca="false">IF(L400="Yes",0,Scoring!$C$7)</f>
        <v>0.5</v>
      </c>
      <c r="Q400" s="8" t="n">
        <f aca="false">ROUND(SUM(M400:P400),2)</f>
        <v>6.1</v>
      </c>
      <c r="R400" s="8" t="str">
        <f aca="false">IF(Q400&gt;=Scoring!$C$10-0.000001,"Keep","Remove")</f>
        <v>Remove</v>
      </c>
      <c r="S400" s="8" t="s">
        <v>7243</v>
      </c>
    </row>
    <row r="401" customFormat="false" ht="15" hidden="false" customHeight="false" outlineLevel="0" collapsed="false">
      <c r="A401" s="8" t="s">
        <v>7288</v>
      </c>
      <c r="B401" s="8" t="s">
        <v>7289</v>
      </c>
      <c r="C401" s="8" t="s">
        <v>178</v>
      </c>
      <c r="D401" s="8" t="s">
        <v>2532</v>
      </c>
      <c r="E401" s="8"/>
      <c r="F401" s="8" t="s">
        <v>85</v>
      </c>
      <c r="G401" s="8" t="n">
        <v>3</v>
      </c>
      <c r="H401" s="13" t="n">
        <v>2</v>
      </c>
      <c r="I401" s="8" t="n">
        <v>5</v>
      </c>
      <c r="J401" s="20" t="s">
        <v>259</v>
      </c>
      <c r="K401" s="8"/>
      <c r="L401" s="20" t="s">
        <v>259</v>
      </c>
      <c r="M401" s="16" t="n">
        <f aca="false">H401*Scoring!$C$5</f>
        <v>2.6</v>
      </c>
      <c r="N401" s="16" t="n">
        <f aca="false">IF(I401&gt;=5,1,IF(I401=4,0.75,IF(I401=3,0.5,IF(I401=2,0.25,0))))*Scoring!$C$8</f>
        <v>1</v>
      </c>
      <c r="O401" s="16" t="n">
        <f aca="false">IF(J401="Yes",0,Scoring!$C$6)</f>
        <v>2</v>
      </c>
      <c r="P401" s="16" t="n">
        <f aca="false">IF(L401="Yes",0,Scoring!$C$7)</f>
        <v>0.5</v>
      </c>
      <c r="Q401" s="8" t="n">
        <f aca="false">ROUND(SUM(M401:P401),2)</f>
        <v>6.1</v>
      </c>
      <c r="R401" s="8" t="str">
        <f aca="false">IF(Q401&gt;=Scoring!$C$10-0.000001,"Keep","Remove")</f>
        <v>Remove</v>
      </c>
      <c r="S401" s="8" t="s">
        <v>7243</v>
      </c>
    </row>
    <row r="402" customFormat="false" ht="15" hidden="false" customHeight="false" outlineLevel="0" collapsed="false">
      <c r="A402" s="8" t="s">
        <v>2857</v>
      </c>
      <c r="B402" s="8" t="s">
        <v>2858</v>
      </c>
      <c r="C402" s="8" t="s">
        <v>178</v>
      </c>
      <c r="D402" s="8" t="s">
        <v>2859</v>
      </c>
      <c r="E402" s="8"/>
      <c r="F402" s="8" t="s">
        <v>78</v>
      </c>
      <c r="G402" s="8" t="n">
        <v>1</v>
      </c>
      <c r="H402" s="13" t="n">
        <v>5</v>
      </c>
      <c r="I402" s="8" t="n">
        <v>6</v>
      </c>
      <c r="J402" s="20" t="s">
        <v>259</v>
      </c>
      <c r="K402" s="8"/>
      <c r="L402" s="20" t="s">
        <v>259</v>
      </c>
      <c r="M402" s="16" t="n">
        <f aca="false">H402*Scoring!$C$5</f>
        <v>6.5</v>
      </c>
      <c r="N402" s="16" t="n">
        <f aca="false">IF(I402&gt;=5,1,IF(I402=4,0.75,IF(I402=3,0.5,IF(I402=2,0.25,0))))*Scoring!$C$8</f>
        <v>1</v>
      </c>
      <c r="O402" s="16" t="n">
        <f aca="false">IF(J402="Yes",0,Scoring!$C$6)</f>
        <v>2</v>
      </c>
      <c r="P402" s="16" t="n">
        <f aca="false">IF(L402="Yes",0,Scoring!$C$7)</f>
        <v>0.5</v>
      </c>
      <c r="Q402" s="8" t="n">
        <f aca="false">ROUND(SUM(M402:P402),2)</f>
        <v>10</v>
      </c>
      <c r="R402" s="8" t="str">
        <f aca="false">IF(Q402&gt;=Scoring!$C$10-0.000001,"Keep","Remove")</f>
        <v>Keep</v>
      </c>
      <c r="S402" s="8" t="s">
        <v>166</v>
      </c>
    </row>
    <row r="403" customFormat="false" ht="15" hidden="false" customHeight="false" outlineLevel="0" collapsed="false">
      <c r="A403" s="8" t="s">
        <v>2869</v>
      </c>
      <c r="B403" s="8" t="s">
        <v>2870</v>
      </c>
      <c r="C403" s="8" t="s">
        <v>178</v>
      </c>
      <c r="D403" s="8" t="s">
        <v>2859</v>
      </c>
      <c r="E403" s="8"/>
      <c r="F403" s="8" t="s">
        <v>78</v>
      </c>
      <c r="G403" s="8" t="n">
        <v>1</v>
      </c>
      <c r="H403" s="13" t="n">
        <v>4</v>
      </c>
      <c r="I403" s="8" t="n">
        <v>5</v>
      </c>
      <c r="J403" s="20" t="s">
        <v>259</v>
      </c>
      <c r="K403" s="8"/>
      <c r="L403" s="20" t="s">
        <v>259</v>
      </c>
      <c r="M403" s="16" t="n">
        <f aca="false">H403*Scoring!$C$5</f>
        <v>5.2</v>
      </c>
      <c r="N403" s="16" t="n">
        <f aca="false">IF(I403&gt;=5,1,IF(I403=4,0.75,IF(I403=3,0.5,IF(I403=2,0.25,0))))*Scoring!$C$8</f>
        <v>1</v>
      </c>
      <c r="O403" s="16" t="n">
        <f aca="false">IF(J403="Yes",0,Scoring!$C$6)</f>
        <v>2</v>
      </c>
      <c r="P403" s="16" t="n">
        <f aca="false">IF(L403="Yes",0,Scoring!$C$7)</f>
        <v>0.5</v>
      </c>
      <c r="Q403" s="8" t="n">
        <f aca="false">ROUND(SUM(M403:P403),2)</f>
        <v>8.7</v>
      </c>
      <c r="R403" s="8" t="str">
        <f aca="false">IF(Q403&gt;=Scoring!$C$10-0.000001,"Keep","Remove")</f>
        <v>Keep</v>
      </c>
      <c r="S403" s="8" t="s">
        <v>166</v>
      </c>
    </row>
    <row r="404" customFormat="false" ht="15" hidden="false" customHeight="false" outlineLevel="0" collapsed="false">
      <c r="A404" s="8" t="s">
        <v>2880</v>
      </c>
      <c r="B404" s="8" t="s">
        <v>2881</v>
      </c>
      <c r="C404" s="8" t="s">
        <v>178</v>
      </c>
      <c r="D404" s="8" t="s">
        <v>2859</v>
      </c>
      <c r="E404" s="8"/>
      <c r="F404" s="8" t="s">
        <v>83</v>
      </c>
      <c r="G404" s="8" t="n">
        <v>1</v>
      </c>
      <c r="H404" s="13" t="n">
        <v>5</v>
      </c>
      <c r="I404" s="8" t="n">
        <v>6</v>
      </c>
      <c r="J404" s="20" t="s">
        <v>259</v>
      </c>
      <c r="K404" s="8"/>
      <c r="L404" s="20" t="s">
        <v>259</v>
      </c>
      <c r="M404" s="16" t="n">
        <f aca="false">H404*Scoring!$C$5</f>
        <v>6.5</v>
      </c>
      <c r="N404" s="16" t="n">
        <f aca="false">IF(I404&gt;=5,1,IF(I404=4,0.75,IF(I404=3,0.5,IF(I404=2,0.25,0))))*Scoring!$C$8</f>
        <v>1</v>
      </c>
      <c r="O404" s="16" t="n">
        <f aca="false">IF(J404="Yes",0,Scoring!$C$6)</f>
        <v>2</v>
      </c>
      <c r="P404" s="16" t="n">
        <f aca="false">IF(L404="Yes",0,Scoring!$C$7)</f>
        <v>0.5</v>
      </c>
      <c r="Q404" s="8" t="n">
        <f aca="false">ROUND(SUM(M404:P404),2)</f>
        <v>10</v>
      </c>
      <c r="R404" s="8" t="str">
        <f aca="false">IF(Q404&gt;=Scoring!$C$10-0.000001,"Keep","Remove")</f>
        <v>Keep</v>
      </c>
      <c r="S404" s="8" t="s">
        <v>166</v>
      </c>
    </row>
    <row r="405" customFormat="false" ht="15" hidden="false" customHeight="false" outlineLevel="0" collapsed="false">
      <c r="A405" s="8" t="s">
        <v>7816</v>
      </c>
      <c r="B405" s="8" t="s">
        <v>7817</v>
      </c>
      <c r="C405" s="8" t="s">
        <v>178</v>
      </c>
      <c r="D405" s="8" t="s">
        <v>2859</v>
      </c>
      <c r="E405" s="8"/>
      <c r="F405" s="8" t="s">
        <v>83</v>
      </c>
      <c r="G405" s="8" t="n">
        <v>2</v>
      </c>
      <c r="H405" s="13" t="n">
        <v>3</v>
      </c>
      <c r="I405" s="8" t="n">
        <v>4</v>
      </c>
      <c r="J405" s="20" t="s">
        <v>218</v>
      </c>
      <c r="K405" s="8" t="s">
        <v>8173</v>
      </c>
      <c r="L405" s="20" t="s">
        <v>259</v>
      </c>
      <c r="M405" s="16" t="n">
        <f aca="false">H405*Scoring!$C$5</f>
        <v>3.9</v>
      </c>
      <c r="N405" s="16" t="n">
        <f aca="false">IF(I405&gt;=5,1,IF(I405=4,0.75,IF(I405=3,0.5,IF(I405=2,0.25,0))))*Scoring!$C$8</f>
        <v>0.75</v>
      </c>
      <c r="O405" s="16" t="n">
        <f aca="false">IF(J405="Yes",0,Scoring!$C$6)</f>
        <v>0</v>
      </c>
      <c r="P405" s="16" t="n">
        <f aca="false">IF(L405="Yes",0,Scoring!$C$7)</f>
        <v>0.5</v>
      </c>
      <c r="Q405" s="8" t="n">
        <f aca="false">ROUND(SUM(M405:P405),2)</f>
        <v>5.15</v>
      </c>
      <c r="R405" s="8" t="str">
        <f aca="false">IF(Q405&gt;=Scoring!$C$10-0.000001,"Keep","Remove")</f>
        <v>Remove</v>
      </c>
      <c r="S405" s="8" t="s">
        <v>7818</v>
      </c>
    </row>
    <row r="406" customFormat="false" ht="15" hidden="false" customHeight="false" outlineLevel="0" collapsed="false">
      <c r="A406" s="8" t="s">
        <v>2889</v>
      </c>
      <c r="B406" s="8" t="s">
        <v>2890</v>
      </c>
      <c r="C406" s="8" t="s">
        <v>178</v>
      </c>
      <c r="D406" s="8" t="s">
        <v>2859</v>
      </c>
      <c r="E406" s="8"/>
      <c r="F406" s="8" t="s">
        <v>78</v>
      </c>
      <c r="G406" s="8" t="n">
        <v>1</v>
      </c>
      <c r="H406" s="13" t="n">
        <v>4</v>
      </c>
      <c r="I406" s="8" t="n">
        <v>6</v>
      </c>
      <c r="J406" s="20" t="s">
        <v>259</v>
      </c>
      <c r="K406" s="8"/>
      <c r="L406" s="20" t="s">
        <v>259</v>
      </c>
      <c r="M406" s="16" t="n">
        <f aca="false">H406*Scoring!$C$5</f>
        <v>5.2</v>
      </c>
      <c r="N406" s="16" t="n">
        <f aca="false">IF(I406&gt;=5,1,IF(I406=4,0.75,IF(I406=3,0.5,IF(I406=2,0.25,0))))*Scoring!$C$8</f>
        <v>1</v>
      </c>
      <c r="O406" s="16" t="n">
        <f aca="false">IF(J406="Yes",0,Scoring!$C$6)</f>
        <v>2</v>
      </c>
      <c r="P406" s="16" t="n">
        <f aca="false">IF(L406="Yes",0,Scoring!$C$7)</f>
        <v>0.5</v>
      </c>
      <c r="Q406" s="8" t="n">
        <f aca="false">ROUND(SUM(M406:P406),2)</f>
        <v>8.7</v>
      </c>
      <c r="R406" s="8" t="str">
        <f aca="false">IF(Q406&gt;=Scoring!$C$10-0.000001,"Keep","Remove")</f>
        <v>Keep</v>
      </c>
      <c r="S406" s="8" t="s">
        <v>166</v>
      </c>
    </row>
    <row r="407" customFormat="false" ht="15" hidden="false" customHeight="false" outlineLevel="0" collapsed="false">
      <c r="A407" s="8" t="s">
        <v>2899</v>
      </c>
      <c r="B407" s="8" t="s">
        <v>2900</v>
      </c>
      <c r="C407" s="8" t="s">
        <v>178</v>
      </c>
      <c r="D407" s="8" t="s">
        <v>2859</v>
      </c>
      <c r="E407" s="8"/>
      <c r="F407" s="8" t="s">
        <v>78</v>
      </c>
      <c r="G407" s="8" t="n">
        <v>1</v>
      </c>
      <c r="H407" s="13" t="n">
        <v>4</v>
      </c>
      <c r="I407" s="8" t="n">
        <v>5</v>
      </c>
      <c r="J407" s="20" t="s">
        <v>259</v>
      </c>
      <c r="K407" s="8"/>
      <c r="L407" s="20" t="s">
        <v>259</v>
      </c>
      <c r="M407" s="16" t="n">
        <f aca="false">H407*Scoring!$C$5</f>
        <v>5.2</v>
      </c>
      <c r="N407" s="16" t="n">
        <f aca="false">IF(I407&gt;=5,1,IF(I407=4,0.75,IF(I407=3,0.5,IF(I407=2,0.25,0))))*Scoring!$C$8</f>
        <v>1</v>
      </c>
      <c r="O407" s="16" t="n">
        <f aca="false">IF(J407="Yes",0,Scoring!$C$6)</f>
        <v>2</v>
      </c>
      <c r="P407" s="16" t="n">
        <f aca="false">IF(L407="Yes",0,Scoring!$C$7)</f>
        <v>0.5</v>
      </c>
      <c r="Q407" s="8" t="n">
        <f aca="false">ROUND(SUM(M407:P407),2)</f>
        <v>8.7</v>
      </c>
      <c r="R407" s="8" t="str">
        <f aca="false">IF(Q407&gt;=Scoring!$C$10-0.000001,"Keep","Remove")</f>
        <v>Keep</v>
      </c>
      <c r="S407" s="8" t="s">
        <v>166</v>
      </c>
    </row>
    <row r="408" customFormat="false" ht="15" hidden="false" customHeight="false" outlineLevel="0" collapsed="false">
      <c r="A408" s="8" t="s">
        <v>2910</v>
      </c>
      <c r="B408" s="8" t="s">
        <v>2911</v>
      </c>
      <c r="C408" s="8" t="s">
        <v>178</v>
      </c>
      <c r="D408" s="8" t="s">
        <v>2859</v>
      </c>
      <c r="E408" s="8"/>
      <c r="F408" s="8" t="s">
        <v>83</v>
      </c>
      <c r="G408" s="8" t="n">
        <v>1</v>
      </c>
      <c r="H408" s="13" t="n">
        <v>4</v>
      </c>
      <c r="I408" s="8" t="n">
        <v>5</v>
      </c>
      <c r="J408" s="20" t="s">
        <v>259</v>
      </c>
      <c r="K408" s="8"/>
      <c r="L408" s="20" t="s">
        <v>259</v>
      </c>
      <c r="M408" s="16" t="n">
        <f aca="false">H408*Scoring!$C$5</f>
        <v>5.2</v>
      </c>
      <c r="N408" s="16" t="n">
        <f aca="false">IF(I408&gt;=5,1,IF(I408=4,0.75,IF(I408=3,0.5,IF(I408=2,0.25,0))))*Scoring!$C$8</f>
        <v>1</v>
      </c>
      <c r="O408" s="16" t="n">
        <f aca="false">IF(J408="Yes",0,Scoring!$C$6)</f>
        <v>2</v>
      </c>
      <c r="P408" s="16" t="n">
        <f aca="false">IF(L408="Yes",0,Scoring!$C$7)</f>
        <v>0.5</v>
      </c>
      <c r="Q408" s="8" t="n">
        <f aca="false">ROUND(SUM(M408:P408),2)</f>
        <v>8.7</v>
      </c>
      <c r="R408" s="8" t="str">
        <f aca="false">IF(Q408&gt;=Scoring!$C$10-0.000001,"Keep","Remove")</f>
        <v>Keep</v>
      </c>
      <c r="S408" s="8" t="s">
        <v>166</v>
      </c>
    </row>
    <row r="409" customFormat="false" ht="15" hidden="false" customHeight="false" outlineLevel="0" collapsed="false">
      <c r="A409" s="8" t="s">
        <v>2922</v>
      </c>
      <c r="B409" s="8" t="s">
        <v>2923</v>
      </c>
      <c r="C409" s="8" t="s">
        <v>178</v>
      </c>
      <c r="D409" s="8" t="s">
        <v>2859</v>
      </c>
      <c r="E409" s="8"/>
      <c r="F409" s="8" t="s">
        <v>78</v>
      </c>
      <c r="G409" s="8" t="n">
        <v>2</v>
      </c>
      <c r="H409" s="13" t="n">
        <v>3</v>
      </c>
      <c r="I409" s="8" t="n">
        <v>5</v>
      </c>
      <c r="J409" s="20" t="s">
        <v>259</v>
      </c>
      <c r="K409" s="8"/>
      <c r="L409" s="20" t="s">
        <v>259</v>
      </c>
      <c r="M409" s="16" t="n">
        <f aca="false">H409*Scoring!$C$5</f>
        <v>3.9</v>
      </c>
      <c r="N409" s="16" t="n">
        <f aca="false">IF(I409&gt;=5,1,IF(I409=4,0.75,IF(I409=3,0.5,IF(I409=2,0.25,0))))*Scoring!$C$8</f>
        <v>1</v>
      </c>
      <c r="O409" s="16" t="n">
        <f aca="false">IF(J409="Yes",0,Scoring!$C$6)</f>
        <v>2</v>
      </c>
      <c r="P409" s="16" t="n">
        <f aca="false">IF(L409="Yes",0,Scoring!$C$7)</f>
        <v>0.5</v>
      </c>
      <c r="Q409" s="8" t="n">
        <f aca="false">ROUND(SUM(M409:P409),2)</f>
        <v>7.4</v>
      </c>
      <c r="R409" s="8" t="str">
        <f aca="false">IF(Q409&gt;=Scoring!$C$10-0.000001,"Keep","Remove")</f>
        <v>Keep</v>
      </c>
      <c r="S409" s="8" t="s">
        <v>166</v>
      </c>
    </row>
    <row r="410" customFormat="false" ht="15" hidden="false" customHeight="false" outlineLevel="0" collapsed="false">
      <c r="A410" s="8" t="s">
        <v>2930</v>
      </c>
      <c r="B410" s="8" t="s">
        <v>2931</v>
      </c>
      <c r="C410" s="8" t="s">
        <v>178</v>
      </c>
      <c r="D410" s="8" t="s">
        <v>2859</v>
      </c>
      <c r="E410" s="8"/>
      <c r="F410" s="8" t="s">
        <v>78</v>
      </c>
      <c r="G410" s="8" t="n">
        <v>1</v>
      </c>
      <c r="H410" s="13" t="n">
        <v>3</v>
      </c>
      <c r="I410" s="8" t="n">
        <v>5</v>
      </c>
      <c r="J410" s="20" t="s">
        <v>259</v>
      </c>
      <c r="K410" s="8"/>
      <c r="L410" s="20" t="s">
        <v>259</v>
      </c>
      <c r="M410" s="16" t="n">
        <f aca="false">H410*Scoring!$C$5</f>
        <v>3.9</v>
      </c>
      <c r="N410" s="16" t="n">
        <f aca="false">IF(I410&gt;=5,1,IF(I410=4,0.75,IF(I410=3,0.5,IF(I410=2,0.25,0))))*Scoring!$C$8</f>
        <v>1</v>
      </c>
      <c r="O410" s="16" t="n">
        <f aca="false">IF(J410="Yes",0,Scoring!$C$6)</f>
        <v>2</v>
      </c>
      <c r="P410" s="16" t="n">
        <f aca="false">IF(L410="Yes",0,Scoring!$C$7)</f>
        <v>0.5</v>
      </c>
      <c r="Q410" s="8" t="n">
        <f aca="false">ROUND(SUM(M410:P410),2)</f>
        <v>7.4</v>
      </c>
      <c r="R410" s="8" t="str">
        <f aca="false">IF(Q410&gt;=Scoring!$C$10-0.000001,"Keep","Remove")</f>
        <v>Keep</v>
      </c>
      <c r="S410" s="8" t="s">
        <v>166</v>
      </c>
    </row>
    <row r="411" customFormat="false" ht="15" hidden="false" customHeight="false" outlineLevel="0" collapsed="false">
      <c r="A411" s="8" t="s">
        <v>2941</v>
      </c>
      <c r="B411" s="8" t="s">
        <v>2942</v>
      </c>
      <c r="C411" s="8" t="s">
        <v>178</v>
      </c>
      <c r="D411" s="8" t="s">
        <v>2859</v>
      </c>
      <c r="E411" s="8"/>
      <c r="F411" s="8" t="s">
        <v>81</v>
      </c>
      <c r="G411" s="8" t="n">
        <v>1</v>
      </c>
      <c r="H411" s="13" t="n">
        <v>3</v>
      </c>
      <c r="I411" s="8" t="n">
        <v>5</v>
      </c>
      <c r="J411" s="20" t="s">
        <v>259</v>
      </c>
      <c r="K411" s="8"/>
      <c r="L411" s="20" t="s">
        <v>259</v>
      </c>
      <c r="M411" s="16" t="n">
        <f aca="false">H411*Scoring!$C$5</f>
        <v>3.9</v>
      </c>
      <c r="N411" s="16" t="n">
        <f aca="false">IF(I411&gt;=5,1,IF(I411=4,0.75,IF(I411=3,0.5,IF(I411=2,0.25,0))))*Scoring!$C$8</f>
        <v>1</v>
      </c>
      <c r="O411" s="16" t="n">
        <f aca="false">IF(J411="Yes",0,Scoring!$C$6)</f>
        <v>2</v>
      </c>
      <c r="P411" s="16" t="n">
        <f aca="false">IF(L411="Yes",0,Scoring!$C$7)</f>
        <v>0.5</v>
      </c>
      <c r="Q411" s="8" t="n">
        <f aca="false">ROUND(SUM(M411:P411),2)</f>
        <v>7.4</v>
      </c>
      <c r="R411" s="8" t="str">
        <f aca="false">IF(Q411&gt;=Scoring!$C$10-0.000001,"Keep","Remove")</f>
        <v>Keep</v>
      </c>
      <c r="S411" s="8" t="s">
        <v>166</v>
      </c>
    </row>
    <row r="412" customFormat="false" ht="15" hidden="false" customHeight="false" outlineLevel="0" collapsed="false">
      <c r="A412" s="8" t="s">
        <v>2951</v>
      </c>
      <c r="B412" s="8" t="s">
        <v>2952</v>
      </c>
      <c r="C412" s="8" t="s">
        <v>178</v>
      </c>
      <c r="D412" s="8" t="s">
        <v>2859</v>
      </c>
      <c r="E412" s="8"/>
      <c r="F412" s="8" t="s">
        <v>79</v>
      </c>
      <c r="G412" s="8" t="n">
        <v>1</v>
      </c>
      <c r="H412" s="13" t="n">
        <v>4</v>
      </c>
      <c r="I412" s="8" t="n">
        <v>4</v>
      </c>
      <c r="J412" s="20" t="s">
        <v>259</v>
      </c>
      <c r="K412" s="8"/>
      <c r="L412" s="20" t="s">
        <v>259</v>
      </c>
      <c r="M412" s="16" t="n">
        <f aca="false">H412*Scoring!$C$5</f>
        <v>5.2</v>
      </c>
      <c r="N412" s="16" t="n">
        <f aca="false">IF(I412&gt;=5,1,IF(I412=4,0.75,IF(I412=3,0.5,IF(I412=2,0.25,0))))*Scoring!$C$8</f>
        <v>0.75</v>
      </c>
      <c r="O412" s="16" t="n">
        <f aca="false">IF(J412="Yes",0,Scoring!$C$6)</f>
        <v>2</v>
      </c>
      <c r="P412" s="16" t="n">
        <f aca="false">IF(L412="Yes",0,Scoring!$C$7)</f>
        <v>0.5</v>
      </c>
      <c r="Q412" s="8" t="n">
        <f aca="false">ROUND(SUM(M412:P412),2)</f>
        <v>8.45</v>
      </c>
      <c r="R412" s="8" t="str">
        <f aca="false">IF(Q412&gt;=Scoring!$C$10-0.000001,"Keep","Remove")</f>
        <v>Keep</v>
      </c>
      <c r="S412" s="8" t="s">
        <v>166</v>
      </c>
    </row>
    <row r="413" customFormat="false" ht="15" hidden="false" customHeight="false" outlineLevel="0" collapsed="false">
      <c r="A413" s="8" t="s">
        <v>2959</v>
      </c>
      <c r="B413" s="8" t="s">
        <v>2960</v>
      </c>
      <c r="C413" s="8" t="s">
        <v>178</v>
      </c>
      <c r="D413" s="8" t="s">
        <v>2859</v>
      </c>
      <c r="E413" s="8"/>
      <c r="F413" s="8" t="s">
        <v>81</v>
      </c>
      <c r="G413" s="8" t="n">
        <v>1</v>
      </c>
      <c r="H413" s="13" t="n">
        <v>4</v>
      </c>
      <c r="I413" s="8" t="n">
        <v>6</v>
      </c>
      <c r="J413" s="20" t="s">
        <v>259</v>
      </c>
      <c r="K413" s="8"/>
      <c r="L413" s="20" t="s">
        <v>259</v>
      </c>
      <c r="M413" s="16" t="n">
        <f aca="false">H413*Scoring!$C$5</f>
        <v>5.2</v>
      </c>
      <c r="N413" s="16" t="n">
        <f aca="false">IF(I413&gt;=5,1,IF(I413=4,0.75,IF(I413=3,0.5,IF(I413=2,0.25,0))))*Scoring!$C$8</f>
        <v>1</v>
      </c>
      <c r="O413" s="16" t="n">
        <f aca="false">IF(J413="Yes",0,Scoring!$C$6)</f>
        <v>2</v>
      </c>
      <c r="P413" s="16" t="n">
        <f aca="false">IF(L413="Yes",0,Scoring!$C$7)</f>
        <v>0.5</v>
      </c>
      <c r="Q413" s="8" t="n">
        <f aca="false">ROUND(SUM(M413:P413),2)</f>
        <v>8.7</v>
      </c>
      <c r="R413" s="8" t="str">
        <f aca="false">IF(Q413&gt;=Scoring!$C$10-0.000001,"Keep","Remove")</f>
        <v>Keep</v>
      </c>
      <c r="S413" s="8" t="s">
        <v>166</v>
      </c>
    </row>
    <row r="414" customFormat="false" ht="15" hidden="false" customHeight="false" outlineLevel="0" collapsed="false">
      <c r="A414" s="8" t="s">
        <v>2968</v>
      </c>
      <c r="B414" s="8" t="s">
        <v>2969</v>
      </c>
      <c r="C414" s="8" t="s">
        <v>178</v>
      </c>
      <c r="D414" s="8" t="s">
        <v>2859</v>
      </c>
      <c r="E414" s="8"/>
      <c r="F414" s="8" t="s">
        <v>78</v>
      </c>
      <c r="G414" s="8" t="n">
        <v>2</v>
      </c>
      <c r="H414" s="13" t="n">
        <v>4</v>
      </c>
      <c r="I414" s="8" t="n">
        <v>5</v>
      </c>
      <c r="J414" s="20" t="s">
        <v>259</v>
      </c>
      <c r="K414" s="8"/>
      <c r="L414" s="20" t="s">
        <v>259</v>
      </c>
      <c r="M414" s="16" t="n">
        <f aca="false">H414*Scoring!$C$5</f>
        <v>5.2</v>
      </c>
      <c r="N414" s="16" t="n">
        <f aca="false">IF(I414&gt;=5,1,IF(I414=4,0.75,IF(I414=3,0.5,IF(I414=2,0.25,0))))*Scoring!$C$8</f>
        <v>1</v>
      </c>
      <c r="O414" s="16" t="n">
        <f aca="false">IF(J414="Yes",0,Scoring!$C$6)</f>
        <v>2</v>
      </c>
      <c r="P414" s="16" t="n">
        <f aca="false">IF(L414="Yes",0,Scoring!$C$7)</f>
        <v>0.5</v>
      </c>
      <c r="Q414" s="8" t="n">
        <f aca="false">ROUND(SUM(M414:P414),2)</f>
        <v>8.7</v>
      </c>
      <c r="R414" s="8" t="str">
        <f aca="false">IF(Q414&gt;=Scoring!$C$10-0.000001,"Keep","Remove")</f>
        <v>Keep</v>
      </c>
      <c r="S414" s="8" t="s">
        <v>166</v>
      </c>
    </row>
    <row r="415" customFormat="false" ht="15" hidden="false" customHeight="false" outlineLevel="0" collapsed="false">
      <c r="A415" s="8" t="s">
        <v>2976</v>
      </c>
      <c r="B415" s="8" t="s">
        <v>2977</v>
      </c>
      <c r="C415" s="8" t="s">
        <v>178</v>
      </c>
      <c r="D415" s="8" t="s">
        <v>2859</v>
      </c>
      <c r="E415" s="8"/>
      <c r="F415" s="8" t="s">
        <v>83</v>
      </c>
      <c r="G415" s="8" t="n">
        <v>1</v>
      </c>
      <c r="H415" s="13" t="n">
        <v>4</v>
      </c>
      <c r="I415" s="8" t="n">
        <v>5</v>
      </c>
      <c r="J415" s="20" t="s">
        <v>259</v>
      </c>
      <c r="K415" s="8"/>
      <c r="L415" s="20" t="s">
        <v>259</v>
      </c>
      <c r="M415" s="16" t="n">
        <f aca="false">H415*Scoring!$C$5</f>
        <v>5.2</v>
      </c>
      <c r="N415" s="16" t="n">
        <f aca="false">IF(I415&gt;=5,1,IF(I415=4,0.75,IF(I415=3,0.5,IF(I415=2,0.25,0))))*Scoring!$C$8</f>
        <v>1</v>
      </c>
      <c r="O415" s="16" t="n">
        <f aca="false">IF(J415="Yes",0,Scoring!$C$6)</f>
        <v>2</v>
      </c>
      <c r="P415" s="16" t="n">
        <f aca="false">IF(L415="Yes",0,Scoring!$C$7)</f>
        <v>0.5</v>
      </c>
      <c r="Q415" s="8" t="n">
        <f aca="false">ROUND(SUM(M415:P415),2)</f>
        <v>8.7</v>
      </c>
      <c r="R415" s="8" t="str">
        <f aca="false">IF(Q415&gt;=Scoring!$C$10-0.000001,"Keep","Remove")</f>
        <v>Keep</v>
      </c>
      <c r="S415" s="8" t="s">
        <v>166</v>
      </c>
    </row>
    <row r="416" customFormat="false" ht="15" hidden="false" customHeight="false" outlineLevel="0" collapsed="false">
      <c r="A416" s="8" t="s">
        <v>2988</v>
      </c>
      <c r="B416" s="8" t="s">
        <v>2989</v>
      </c>
      <c r="C416" s="8" t="s">
        <v>178</v>
      </c>
      <c r="D416" s="8" t="s">
        <v>2859</v>
      </c>
      <c r="E416" s="8"/>
      <c r="F416" s="8" t="s">
        <v>79</v>
      </c>
      <c r="G416" s="8" t="n">
        <v>1</v>
      </c>
      <c r="H416" s="13" t="n">
        <v>3</v>
      </c>
      <c r="I416" s="8" t="n">
        <v>5</v>
      </c>
      <c r="J416" s="20" t="s">
        <v>259</v>
      </c>
      <c r="K416" s="8"/>
      <c r="L416" s="20" t="s">
        <v>259</v>
      </c>
      <c r="M416" s="16" t="n">
        <f aca="false">H416*Scoring!$C$5</f>
        <v>3.9</v>
      </c>
      <c r="N416" s="16" t="n">
        <f aca="false">IF(I416&gt;=5,1,IF(I416=4,0.75,IF(I416=3,0.5,IF(I416=2,0.25,0))))*Scoring!$C$8</f>
        <v>1</v>
      </c>
      <c r="O416" s="16" t="n">
        <f aca="false">IF(J416="Yes",0,Scoring!$C$6)</f>
        <v>2</v>
      </c>
      <c r="P416" s="16" t="n">
        <f aca="false">IF(L416="Yes",0,Scoring!$C$7)</f>
        <v>0.5</v>
      </c>
      <c r="Q416" s="8" t="n">
        <f aca="false">ROUND(SUM(M416:P416),2)</f>
        <v>7.4</v>
      </c>
      <c r="R416" s="8" t="str">
        <f aca="false">IF(Q416&gt;=Scoring!$C$10-0.000001,"Keep","Remove")</f>
        <v>Keep</v>
      </c>
      <c r="S416" s="8" t="s">
        <v>166</v>
      </c>
    </row>
    <row r="417" customFormat="false" ht="15" hidden="false" customHeight="false" outlineLevel="0" collapsed="false">
      <c r="A417" s="8" t="s">
        <v>2998</v>
      </c>
      <c r="B417" s="8" t="s">
        <v>2999</v>
      </c>
      <c r="C417" s="8" t="s">
        <v>178</v>
      </c>
      <c r="D417" s="8" t="s">
        <v>2859</v>
      </c>
      <c r="E417" s="8"/>
      <c r="F417" s="8" t="s">
        <v>78</v>
      </c>
      <c r="G417" s="8" t="n">
        <v>2</v>
      </c>
      <c r="H417" s="13" t="n">
        <v>4</v>
      </c>
      <c r="I417" s="8" t="n">
        <v>5</v>
      </c>
      <c r="J417" s="20" t="s">
        <v>259</v>
      </c>
      <c r="K417" s="8"/>
      <c r="L417" s="20" t="s">
        <v>259</v>
      </c>
      <c r="M417" s="16" t="n">
        <f aca="false">H417*Scoring!$C$5</f>
        <v>5.2</v>
      </c>
      <c r="N417" s="16" t="n">
        <f aca="false">IF(I417&gt;=5,1,IF(I417=4,0.75,IF(I417=3,0.5,IF(I417=2,0.25,0))))*Scoring!$C$8</f>
        <v>1</v>
      </c>
      <c r="O417" s="16" t="n">
        <f aca="false">IF(J417="Yes",0,Scoring!$C$6)</f>
        <v>2</v>
      </c>
      <c r="P417" s="16" t="n">
        <f aca="false">IF(L417="Yes",0,Scoring!$C$7)</f>
        <v>0.5</v>
      </c>
      <c r="Q417" s="8" t="n">
        <f aca="false">ROUND(SUM(M417:P417),2)</f>
        <v>8.7</v>
      </c>
      <c r="R417" s="8" t="str">
        <f aca="false">IF(Q417&gt;=Scoring!$C$10-0.000001,"Keep","Remove")</f>
        <v>Keep</v>
      </c>
      <c r="S417" s="8" t="s">
        <v>166</v>
      </c>
    </row>
    <row r="418" customFormat="false" ht="15" hidden="false" customHeight="false" outlineLevel="0" collapsed="false">
      <c r="A418" s="8" t="s">
        <v>3006</v>
      </c>
      <c r="B418" s="8" t="s">
        <v>3007</v>
      </c>
      <c r="C418" s="8" t="s">
        <v>178</v>
      </c>
      <c r="D418" s="8" t="s">
        <v>2859</v>
      </c>
      <c r="E418" s="8"/>
      <c r="F418" s="8" t="s">
        <v>85</v>
      </c>
      <c r="G418" s="8" t="n">
        <v>2</v>
      </c>
      <c r="H418" s="13" t="n">
        <v>3</v>
      </c>
      <c r="I418" s="8" t="n">
        <v>4</v>
      </c>
      <c r="J418" s="20" t="s">
        <v>259</v>
      </c>
      <c r="K418" s="8"/>
      <c r="L418" s="20" t="s">
        <v>259</v>
      </c>
      <c r="M418" s="16" t="n">
        <f aca="false">H418*Scoring!$C$5</f>
        <v>3.9</v>
      </c>
      <c r="N418" s="16" t="n">
        <f aca="false">IF(I418&gt;=5,1,IF(I418=4,0.75,IF(I418=3,0.5,IF(I418=2,0.25,0))))*Scoring!$C$8</f>
        <v>0.75</v>
      </c>
      <c r="O418" s="16" t="n">
        <f aca="false">IF(J418="Yes",0,Scoring!$C$6)</f>
        <v>2</v>
      </c>
      <c r="P418" s="16" t="n">
        <f aca="false">IF(L418="Yes",0,Scoring!$C$7)</f>
        <v>0.5</v>
      </c>
      <c r="Q418" s="8" t="n">
        <f aca="false">ROUND(SUM(M418:P418),2)</f>
        <v>7.15</v>
      </c>
      <c r="R418" s="8" t="str">
        <f aca="false">IF(Q418&gt;=Scoring!$C$10-0.000001,"Keep","Remove")</f>
        <v>Keep</v>
      </c>
      <c r="S418" s="8" t="s">
        <v>166</v>
      </c>
    </row>
    <row r="419" customFormat="false" ht="15" hidden="false" customHeight="false" outlineLevel="0" collapsed="false">
      <c r="A419" s="8" t="s">
        <v>3015</v>
      </c>
      <c r="B419" s="8" t="s">
        <v>3016</v>
      </c>
      <c r="C419" s="8" t="s">
        <v>178</v>
      </c>
      <c r="D419" s="8" t="s">
        <v>2859</v>
      </c>
      <c r="E419" s="8"/>
      <c r="F419" s="8" t="s">
        <v>85</v>
      </c>
      <c r="G419" s="8" t="n">
        <v>2</v>
      </c>
      <c r="H419" s="13" t="n">
        <v>3</v>
      </c>
      <c r="I419" s="8" t="n">
        <v>5</v>
      </c>
      <c r="J419" s="20" t="s">
        <v>259</v>
      </c>
      <c r="K419" s="8"/>
      <c r="L419" s="20" t="s">
        <v>259</v>
      </c>
      <c r="M419" s="16" t="n">
        <f aca="false">H419*Scoring!$C$5</f>
        <v>3.9</v>
      </c>
      <c r="N419" s="16" t="n">
        <f aca="false">IF(I419&gt;=5,1,IF(I419=4,0.75,IF(I419=3,0.5,IF(I419=2,0.25,0))))*Scoring!$C$8</f>
        <v>1</v>
      </c>
      <c r="O419" s="16" t="n">
        <f aca="false">IF(J419="Yes",0,Scoring!$C$6)</f>
        <v>2</v>
      </c>
      <c r="P419" s="16" t="n">
        <f aca="false">IF(L419="Yes",0,Scoring!$C$7)</f>
        <v>0.5</v>
      </c>
      <c r="Q419" s="8" t="n">
        <f aca="false">ROUND(SUM(M419:P419),2)</f>
        <v>7.4</v>
      </c>
      <c r="R419" s="8" t="str">
        <f aca="false">IF(Q419&gt;=Scoring!$C$10-0.000001,"Keep","Remove")</f>
        <v>Keep</v>
      </c>
      <c r="S419" s="8" t="s">
        <v>166</v>
      </c>
    </row>
    <row r="420" customFormat="false" ht="15" hidden="false" customHeight="false" outlineLevel="0" collapsed="false">
      <c r="A420" s="8" t="s">
        <v>3022</v>
      </c>
      <c r="B420" s="8" t="s">
        <v>3023</v>
      </c>
      <c r="C420" s="8" t="s">
        <v>178</v>
      </c>
      <c r="D420" s="8" t="s">
        <v>2859</v>
      </c>
      <c r="E420" s="8"/>
      <c r="F420" s="8" t="s">
        <v>78</v>
      </c>
      <c r="G420" s="8" t="n">
        <v>2</v>
      </c>
      <c r="H420" s="13" t="n">
        <v>3</v>
      </c>
      <c r="I420" s="8" t="n">
        <v>6</v>
      </c>
      <c r="J420" s="20" t="s">
        <v>259</v>
      </c>
      <c r="K420" s="8"/>
      <c r="L420" s="20" t="s">
        <v>259</v>
      </c>
      <c r="M420" s="16" t="n">
        <f aca="false">H420*Scoring!$C$5</f>
        <v>3.9</v>
      </c>
      <c r="N420" s="16" t="n">
        <f aca="false">IF(I420&gt;=5,1,IF(I420=4,0.75,IF(I420=3,0.5,IF(I420=2,0.25,0))))*Scoring!$C$8</f>
        <v>1</v>
      </c>
      <c r="O420" s="16" t="n">
        <f aca="false">IF(J420="Yes",0,Scoring!$C$6)</f>
        <v>2</v>
      </c>
      <c r="P420" s="16" t="n">
        <f aca="false">IF(L420="Yes",0,Scoring!$C$7)</f>
        <v>0.5</v>
      </c>
      <c r="Q420" s="8" t="n">
        <f aca="false">ROUND(SUM(M420:P420),2)</f>
        <v>7.4</v>
      </c>
      <c r="R420" s="8" t="str">
        <f aca="false">IF(Q420&gt;=Scoring!$C$10-0.000001,"Keep","Remove")</f>
        <v>Keep</v>
      </c>
      <c r="S420" s="8" t="s">
        <v>166</v>
      </c>
    </row>
    <row r="421" customFormat="false" ht="15" hidden="false" customHeight="false" outlineLevel="0" collapsed="false">
      <c r="A421" s="8" t="s">
        <v>3032</v>
      </c>
      <c r="B421" s="8" t="s">
        <v>3033</v>
      </c>
      <c r="C421" s="8" t="s">
        <v>178</v>
      </c>
      <c r="D421" s="8" t="s">
        <v>2859</v>
      </c>
      <c r="E421" s="8"/>
      <c r="F421" s="8" t="s">
        <v>78</v>
      </c>
      <c r="G421" s="8" t="n">
        <v>2</v>
      </c>
      <c r="H421" s="13" t="n">
        <v>3</v>
      </c>
      <c r="I421" s="8" t="n">
        <v>5</v>
      </c>
      <c r="J421" s="20" t="s">
        <v>259</v>
      </c>
      <c r="K421" s="8"/>
      <c r="L421" s="20" t="s">
        <v>259</v>
      </c>
      <c r="M421" s="16" t="n">
        <f aca="false">H421*Scoring!$C$5</f>
        <v>3.9</v>
      </c>
      <c r="N421" s="16" t="n">
        <f aca="false">IF(I421&gt;=5,1,IF(I421=4,0.75,IF(I421=3,0.5,IF(I421=2,0.25,0))))*Scoring!$C$8</f>
        <v>1</v>
      </c>
      <c r="O421" s="16" t="n">
        <f aca="false">IF(J421="Yes",0,Scoring!$C$6)</f>
        <v>2</v>
      </c>
      <c r="P421" s="16" t="n">
        <f aca="false">IF(L421="Yes",0,Scoring!$C$7)</f>
        <v>0.5</v>
      </c>
      <c r="Q421" s="8" t="n">
        <f aca="false">ROUND(SUM(M421:P421),2)</f>
        <v>7.4</v>
      </c>
      <c r="R421" s="8" t="str">
        <f aca="false">IF(Q421&gt;=Scoring!$C$10-0.000001,"Keep","Remove")</f>
        <v>Keep</v>
      </c>
      <c r="S421" s="8" t="s">
        <v>166</v>
      </c>
    </row>
    <row r="422" customFormat="false" ht="15" hidden="false" customHeight="false" outlineLevel="0" collapsed="false">
      <c r="A422" s="8" t="s">
        <v>3041</v>
      </c>
      <c r="B422" s="8" t="s">
        <v>3042</v>
      </c>
      <c r="C422" s="8" t="s">
        <v>178</v>
      </c>
      <c r="D422" s="8" t="s">
        <v>2859</v>
      </c>
      <c r="E422" s="8"/>
      <c r="F422" s="8" t="s">
        <v>79</v>
      </c>
      <c r="G422" s="8" t="n">
        <v>2</v>
      </c>
      <c r="H422" s="13" t="n">
        <v>3</v>
      </c>
      <c r="I422" s="8" t="n">
        <v>3</v>
      </c>
      <c r="J422" s="20" t="s">
        <v>259</v>
      </c>
      <c r="K422" s="8"/>
      <c r="L422" s="20" t="s">
        <v>259</v>
      </c>
      <c r="M422" s="16" t="n">
        <f aca="false">H422*Scoring!$C$5</f>
        <v>3.9</v>
      </c>
      <c r="N422" s="16" t="n">
        <f aca="false">IF(I422&gt;=5,1,IF(I422=4,0.75,IF(I422=3,0.5,IF(I422=2,0.25,0))))*Scoring!$C$8</f>
        <v>0.5</v>
      </c>
      <c r="O422" s="16" t="n">
        <f aca="false">IF(J422="Yes",0,Scoring!$C$6)</f>
        <v>2</v>
      </c>
      <c r="P422" s="16" t="n">
        <f aca="false">IF(L422="Yes",0,Scoring!$C$7)</f>
        <v>0.5</v>
      </c>
      <c r="Q422" s="8" t="n">
        <f aca="false">ROUND(SUM(M422:P422),2)</f>
        <v>6.9</v>
      </c>
      <c r="R422" s="8" t="str">
        <f aca="false">IF(Q422&gt;=Scoring!$C$10-0.000001,"Keep","Remove")</f>
        <v>Keep</v>
      </c>
      <c r="S422" s="8" t="s">
        <v>166</v>
      </c>
    </row>
    <row r="423" customFormat="false" ht="15" hidden="false" customHeight="false" outlineLevel="0" collapsed="false">
      <c r="A423" s="8" t="s">
        <v>3050</v>
      </c>
      <c r="B423" s="8" t="s">
        <v>3051</v>
      </c>
      <c r="C423" s="8" t="s">
        <v>178</v>
      </c>
      <c r="D423" s="8" t="s">
        <v>2859</v>
      </c>
      <c r="E423" s="8"/>
      <c r="F423" s="8" t="s">
        <v>85</v>
      </c>
      <c r="G423" s="8" t="n">
        <v>2</v>
      </c>
      <c r="H423" s="13" t="n">
        <v>3</v>
      </c>
      <c r="I423" s="8" t="n">
        <v>5</v>
      </c>
      <c r="J423" s="20" t="s">
        <v>259</v>
      </c>
      <c r="K423" s="8"/>
      <c r="L423" s="20" t="s">
        <v>259</v>
      </c>
      <c r="M423" s="16" t="n">
        <f aca="false">H423*Scoring!$C$5</f>
        <v>3.9</v>
      </c>
      <c r="N423" s="16" t="n">
        <f aca="false">IF(I423&gt;=5,1,IF(I423=4,0.75,IF(I423=3,0.5,IF(I423=2,0.25,0))))*Scoring!$C$8</f>
        <v>1</v>
      </c>
      <c r="O423" s="16" t="n">
        <f aca="false">IF(J423="Yes",0,Scoring!$C$6)</f>
        <v>2</v>
      </c>
      <c r="P423" s="16" t="n">
        <f aca="false">IF(L423="Yes",0,Scoring!$C$7)</f>
        <v>0.5</v>
      </c>
      <c r="Q423" s="8" t="n">
        <f aca="false">ROUND(SUM(M423:P423),2)</f>
        <v>7.4</v>
      </c>
      <c r="R423" s="8" t="str">
        <f aca="false">IF(Q423&gt;=Scoring!$C$10-0.000001,"Keep","Remove")</f>
        <v>Keep</v>
      </c>
      <c r="S423" s="8" t="s">
        <v>166</v>
      </c>
    </row>
    <row r="424" customFormat="false" ht="15" hidden="false" customHeight="false" outlineLevel="0" collapsed="false">
      <c r="A424" s="8" t="s">
        <v>7290</v>
      </c>
      <c r="B424" s="8" t="s">
        <v>7291</v>
      </c>
      <c r="C424" s="8" t="s">
        <v>178</v>
      </c>
      <c r="D424" s="8" t="s">
        <v>2859</v>
      </c>
      <c r="E424" s="8"/>
      <c r="F424" s="8" t="s">
        <v>86</v>
      </c>
      <c r="G424" s="8" t="n">
        <v>3</v>
      </c>
      <c r="H424" s="13" t="n">
        <v>2</v>
      </c>
      <c r="I424" s="8" t="n">
        <v>5</v>
      </c>
      <c r="J424" s="20" t="s">
        <v>259</v>
      </c>
      <c r="K424" s="8"/>
      <c r="L424" s="20" t="s">
        <v>259</v>
      </c>
      <c r="M424" s="16" t="n">
        <f aca="false">H424*Scoring!$C$5</f>
        <v>2.6</v>
      </c>
      <c r="N424" s="16" t="n">
        <f aca="false">IF(I424&gt;=5,1,IF(I424=4,0.75,IF(I424=3,0.5,IF(I424=2,0.25,0))))*Scoring!$C$8</f>
        <v>1</v>
      </c>
      <c r="O424" s="16" t="n">
        <f aca="false">IF(J424="Yes",0,Scoring!$C$6)</f>
        <v>2</v>
      </c>
      <c r="P424" s="16" t="n">
        <f aca="false">IF(L424="Yes",0,Scoring!$C$7)</f>
        <v>0.5</v>
      </c>
      <c r="Q424" s="8" t="n">
        <f aca="false">ROUND(SUM(M424:P424),2)</f>
        <v>6.1</v>
      </c>
      <c r="R424" s="8" t="str">
        <f aca="false">IF(Q424&gt;=Scoring!$C$10-0.000001,"Keep","Remove")</f>
        <v>Remove</v>
      </c>
      <c r="S424" s="8" t="s">
        <v>7243</v>
      </c>
    </row>
    <row r="425" customFormat="false" ht="15" hidden="false" customHeight="false" outlineLevel="0" collapsed="false">
      <c r="A425" s="8" t="s">
        <v>3059</v>
      </c>
      <c r="B425" s="8" t="s">
        <v>3060</v>
      </c>
      <c r="C425" s="8" t="s">
        <v>178</v>
      </c>
      <c r="D425" s="8" t="s">
        <v>2859</v>
      </c>
      <c r="E425" s="8"/>
      <c r="F425" s="8" t="s">
        <v>82</v>
      </c>
      <c r="G425" s="8" t="n">
        <v>2</v>
      </c>
      <c r="H425" s="13" t="n">
        <v>3</v>
      </c>
      <c r="I425" s="8" t="n">
        <v>5</v>
      </c>
      <c r="J425" s="20" t="s">
        <v>259</v>
      </c>
      <c r="K425" s="8"/>
      <c r="L425" s="20" t="s">
        <v>259</v>
      </c>
      <c r="M425" s="16" t="n">
        <f aca="false">H425*Scoring!$C$5</f>
        <v>3.9</v>
      </c>
      <c r="N425" s="16" t="n">
        <f aca="false">IF(I425&gt;=5,1,IF(I425=4,0.75,IF(I425=3,0.5,IF(I425=2,0.25,0))))*Scoring!$C$8</f>
        <v>1</v>
      </c>
      <c r="O425" s="16" t="n">
        <f aca="false">IF(J425="Yes",0,Scoring!$C$6)</f>
        <v>2</v>
      </c>
      <c r="P425" s="16" t="n">
        <f aca="false">IF(L425="Yes",0,Scoring!$C$7)</f>
        <v>0.5</v>
      </c>
      <c r="Q425" s="8" t="n">
        <f aca="false">ROUND(SUM(M425:P425),2)</f>
        <v>7.4</v>
      </c>
      <c r="R425" s="8" t="str">
        <f aca="false">IF(Q425&gt;=Scoring!$C$10-0.000001,"Keep","Remove")</f>
        <v>Keep</v>
      </c>
      <c r="S425" s="8" t="s">
        <v>166</v>
      </c>
    </row>
    <row r="426" customFormat="false" ht="15" hidden="false" customHeight="false" outlineLevel="0" collapsed="false">
      <c r="A426" s="8" t="s">
        <v>3070</v>
      </c>
      <c r="B426" s="8" t="s">
        <v>3071</v>
      </c>
      <c r="C426" s="8" t="s">
        <v>178</v>
      </c>
      <c r="D426" s="8" t="s">
        <v>2859</v>
      </c>
      <c r="E426" s="8"/>
      <c r="F426" s="8" t="s">
        <v>82</v>
      </c>
      <c r="G426" s="8" t="n">
        <v>2</v>
      </c>
      <c r="H426" s="13" t="n">
        <v>3</v>
      </c>
      <c r="I426" s="8" t="n">
        <v>5</v>
      </c>
      <c r="J426" s="20" t="s">
        <v>259</v>
      </c>
      <c r="K426" s="8"/>
      <c r="L426" s="20" t="s">
        <v>259</v>
      </c>
      <c r="M426" s="16" t="n">
        <f aca="false">H426*Scoring!$C$5</f>
        <v>3.9</v>
      </c>
      <c r="N426" s="16" t="n">
        <f aca="false">IF(I426&gt;=5,1,IF(I426=4,0.75,IF(I426=3,0.5,IF(I426=2,0.25,0))))*Scoring!$C$8</f>
        <v>1</v>
      </c>
      <c r="O426" s="16" t="n">
        <f aca="false">IF(J426="Yes",0,Scoring!$C$6)</f>
        <v>2</v>
      </c>
      <c r="P426" s="16" t="n">
        <f aca="false">IF(L426="Yes",0,Scoring!$C$7)</f>
        <v>0.5</v>
      </c>
      <c r="Q426" s="8" t="n">
        <f aca="false">ROUND(SUM(M426:P426),2)</f>
        <v>7.4</v>
      </c>
      <c r="R426" s="8" t="str">
        <f aca="false">IF(Q426&gt;=Scoring!$C$10-0.000001,"Keep","Remove")</f>
        <v>Keep</v>
      </c>
      <c r="S426" s="8" t="s">
        <v>166</v>
      </c>
    </row>
    <row r="427" customFormat="false" ht="15" hidden="false" customHeight="false" outlineLevel="0" collapsed="false">
      <c r="A427" s="8" t="s">
        <v>3080</v>
      </c>
      <c r="B427" s="8" t="s">
        <v>3081</v>
      </c>
      <c r="C427" s="8" t="s">
        <v>178</v>
      </c>
      <c r="D427" s="8" t="s">
        <v>2859</v>
      </c>
      <c r="E427" s="8"/>
      <c r="F427" s="8" t="s">
        <v>80</v>
      </c>
      <c r="G427" s="8" t="n">
        <v>1</v>
      </c>
      <c r="H427" s="13" t="n">
        <v>4</v>
      </c>
      <c r="I427" s="8" t="n">
        <v>4</v>
      </c>
      <c r="J427" s="20" t="s">
        <v>259</v>
      </c>
      <c r="K427" s="8"/>
      <c r="L427" s="20" t="s">
        <v>259</v>
      </c>
      <c r="M427" s="16" t="n">
        <f aca="false">H427*Scoring!$C$5</f>
        <v>5.2</v>
      </c>
      <c r="N427" s="16" t="n">
        <f aca="false">IF(I427&gt;=5,1,IF(I427=4,0.75,IF(I427=3,0.5,IF(I427=2,0.25,0))))*Scoring!$C$8</f>
        <v>0.75</v>
      </c>
      <c r="O427" s="16" t="n">
        <f aca="false">IF(J427="Yes",0,Scoring!$C$6)</f>
        <v>2</v>
      </c>
      <c r="P427" s="16" t="n">
        <f aca="false">IF(L427="Yes",0,Scoring!$C$7)</f>
        <v>0.5</v>
      </c>
      <c r="Q427" s="8" t="n">
        <f aca="false">ROUND(SUM(M427:P427),2)</f>
        <v>8.45</v>
      </c>
      <c r="R427" s="8" t="str">
        <f aca="false">IF(Q427&gt;=Scoring!$C$10-0.000001,"Keep","Remove")</f>
        <v>Keep</v>
      </c>
      <c r="S427" s="8" t="s">
        <v>166</v>
      </c>
    </row>
    <row r="428" customFormat="false" ht="15" hidden="false" customHeight="false" outlineLevel="0" collapsed="false">
      <c r="A428" s="8" t="s">
        <v>3088</v>
      </c>
      <c r="B428" s="8" t="s">
        <v>3089</v>
      </c>
      <c r="C428" s="8" t="s">
        <v>178</v>
      </c>
      <c r="D428" s="8" t="s">
        <v>2859</v>
      </c>
      <c r="E428" s="8"/>
      <c r="F428" s="8" t="s">
        <v>80</v>
      </c>
      <c r="G428" s="8" t="n">
        <v>2</v>
      </c>
      <c r="H428" s="13" t="n">
        <v>3</v>
      </c>
      <c r="I428" s="8" t="n">
        <v>4</v>
      </c>
      <c r="J428" s="20" t="s">
        <v>259</v>
      </c>
      <c r="K428" s="8"/>
      <c r="L428" s="20" t="s">
        <v>259</v>
      </c>
      <c r="M428" s="16" t="n">
        <f aca="false">H428*Scoring!$C$5</f>
        <v>3.9</v>
      </c>
      <c r="N428" s="16" t="n">
        <f aca="false">IF(I428&gt;=5,1,IF(I428=4,0.75,IF(I428=3,0.5,IF(I428=2,0.25,0))))*Scoring!$C$8</f>
        <v>0.75</v>
      </c>
      <c r="O428" s="16" t="n">
        <f aca="false">IF(J428="Yes",0,Scoring!$C$6)</f>
        <v>2</v>
      </c>
      <c r="P428" s="16" t="n">
        <f aca="false">IF(L428="Yes",0,Scoring!$C$7)</f>
        <v>0.5</v>
      </c>
      <c r="Q428" s="8" t="n">
        <f aca="false">ROUND(SUM(M428:P428),2)</f>
        <v>7.15</v>
      </c>
      <c r="R428" s="8" t="str">
        <f aca="false">IF(Q428&gt;=Scoring!$C$10-0.000001,"Keep","Remove")</f>
        <v>Keep</v>
      </c>
      <c r="S428" s="8" t="s">
        <v>166</v>
      </c>
    </row>
    <row r="429" customFormat="false" ht="15" hidden="false" customHeight="false" outlineLevel="0" collapsed="false">
      <c r="A429" s="8" t="s">
        <v>3097</v>
      </c>
      <c r="B429" s="8" t="s">
        <v>3098</v>
      </c>
      <c r="C429" s="8" t="s">
        <v>178</v>
      </c>
      <c r="D429" s="8" t="s">
        <v>2859</v>
      </c>
      <c r="E429" s="8"/>
      <c r="F429" s="8" t="s">
        <v>80</v>
      </c>
      <c r="G429" s="8" t="n">
        <v>2</v>
      </c>
      <c r="H429" s="13" t="n">
        <v>3</v>
      </c>
      <c r="I429" s="8" t="n">
        <v>2</v>
      </c>
      <c r="J429" s="20" t="s">
        <v>259</v>
      </c>
      <c r="K429" s="8"/>
      <c r="L429" s="20" t="s">
        <v>259</v>
      </c>
      <c r="M429" s="16" t="n">
        <f aca="false">H429*Scoring!$C$5</f>
        <v>3.9</v>
      </c>
      <c r="N429" s="16" t="n">
        <f aca="false">IF(I429&gt;=5,1,IF(I429=4,0.75,IF(I429=3,0.5,IF(I429=2,0.25,0))))*Scoring!$C$8</f>
        <v>0.25</v>
      </c>
      <c r="O429" s="16" t="n">
        <f aca="false">IF(J429="Yes",0,Scoring!$C$6)</f>
        <v>2</v>
      </c>
      <c r="P429" s="16" t="n">
        <f aca="false">IF(L429="Yes",0,Scoring!$C$7)</f>
        <v>0.5</v>
      </c>
      <c r="Q429" s="8" t="n">
        <f aca="false">ROUND(SUM(M429:P429),2)</f>
        <v>6.65</v>
      </c>
      <c r="R429" s="8" t="str">
        <f aca="false">IF(Q429&gt;=Scoring!$C$10-0.000001,"Keep","Remove")</f>
        <v>Keep</v>
      </c>
      <c r="S429" s="8" t="s">
        <v>166</v>
      </c>
    </row>
    <row r="430" customFormat="false" ht="15" hidden="false" customHeight="false" outlineLevel="0" collapsed="false">
      <c r="A430" s="8" t="s">
        <v>3106</v>
      </c>
      <c r="B430" s="8" t="s">
        <v>3107</v>
      </c>
      <c r="C430" s="8" t="s">
        <v>178</v>
      </c>
      <c r="D430" s="8" t="s">
        <v>2859</v>
      </c>
      <c r="E430" s="8"/>
      <c r="F430" s="8" t="s">
        <v>80</v>
      </c>
      <c r="G430" s="8" t="n">
        <v>2</v>
      </c>
      <c r="H430" s="13" t="n">
        <v>4</v>
      </c>
      <c r="I430" s="8" t="n">
        <v>3</v>
      </c>
      <c r="J430" s="20" t="s">
        <v>259</v>
      </c>
      <c r="K430" s="8"/>
      <c r="L430" s="20" t="s">
        <v>259</v>
      </c>
      <c r="M430" s="16" t="n">
        <f aca="false">H430*Scoring!$C$5</f>
        <v>5.2</v>
      </c>
      <c r="N430" s="16" t="n">
        <f aca="false">IF(I430&gt;=5,1,IF(I430=4,0.75,IF(I430=3,0.5,IF(I430=2,0.25,0))))*Scoring!$C$8</f>
        <v>0.5</v>
      </c>
      <c r="O430" s="16" t="n">
        <f aca="false">IF(J430="Yes",0,Scoring!$C$6)</f>
        <v>2</v>
      </c>
      <c r="P430" s="16" t="n">
        <f aca="false">IF(L430="Yes",0,Scoring!$C$7)</f>
        <v>0.5</v>
      </c>
      <c r="Q430" s="8" t="n">
        <f aca="false">ROUND(SUM(M430:P430),2)</f>
        <v>8.2</v>
      </c>
      <c r="R430" s="8" t="str">
        <f aca="false">IF(Q430&gt;=Scoring!$C$10-0.000001,"Keep","Remove")</f>
        <v>Keep</v>
      </c>
      <c r="S430" s="8" t="s">
        <v>166</v>
      </c>
    </row>
    <row r="431" customFormat="false" ht="15" hidden="false" customHeight="false" outlineLevel="0" collapsed="false">
      <c r="A431" s="8" t="s">
        <v>3115</v>
      </c>
      <c r="B431" s="8" t="s">
        <v>3116</v>
      </c>
      <c r="C431" s="8" t="s">
        <v>178</v>
      </c>
      <c r="D431" s="8" t="s">
        <v>2859</v>
      </c>
      <c r="E431" s="8"/>
      <c r="F431" s="8" t="s">
        <v>80</v>
      </c>
      <c r="G431" s="8" t="n">
        <v>3</v>
      </c>
      <c r="H431" s="13" t="n">
        <v>3</v>
      </c>
      <c r="I431" s="8" t="n">
        <v>4</v>
      </c>
      <c r="J431" s="20" t="s">
        <v>259</v>
      </c>
      <c r="K431" s="8"/>
      <c r="L431" s="20" t="s">
        <v>259</v>
      </c>
      <c r="M431" s="16" t="n">
        <f aca="false">H431*Scoring!$C$5</f>
        <v>3.9</v>
      </c>
      <c r="N431" s="16" t="n">
        <f aca="false">IF(I431&gt;=5,1,IF(I431=4,0.75,IF(I431=3,0.5,IF(I431=2,0.25,0))))*Scoring!$C$8</f>
        <v>0.75</v>
      </c>
      <c r="O431" s="16" t="n">
        <f aca="false">IF(J431="Yes",0,Scoring!$C$6)</f>
        <v>2</v>
      </c>
      <c r="P431" s="16" t="n">
        <f aca="false">IF(L431="Yes",0,Scoring!$C$7)</f>
        <v>0.5</v>
      </c>
      <c r="Q431" s="8" t="n">
        <f aca="false">ROUND(SUM(M431:P431),2)</f>
        <v>7.15</v>
      </c>
      <c r="R431" s="8" t="str">
        <f aca="false">IF(Q431&gt;=Scoring!$C$10-0.000001,"Keep","Remove")</f>
        <v>Keep</v>
      </c>
      <c r="S431" s="8" t="s">
        <v>166</v>
      </c>
    </row>
    <row r="432" customFormat="false" ht="15" hidden="false" customHeight="false" outlineLevel="0" collapsed="false">
      <c r="A432" s="8" t="s">
        <v>3125</v>
      </c>
      <c r="B432" s="8" t="s">
        <v>3126</v>
      </c>
      <c r="C432" s="8" t="s">
        <v>178</v>
      </c>
      <c r="D432" s="8" t="s">
        <v>2859</v>
      </c>
      <c r="E432" s="8"/>
      <c r="F432" s="8" t="s">
        <v>81</v>
      </c>
      <c r="G432" s="8" t="n">
        <v>2</v>
      </c>
      <c r="H432" s="13" t="n">
        <v>3</v>
      </c>
      <c r="I432" s="8" t="n">
        <v>5</v>
      </c>
      <c r="J432" s="20" t="s">
        <v>259</v>
      </c>
      <c r="K432" s="8"/>
      <c r="L432" s="20" t="s">
        <v>259</v>
      </c>
      <c r="M432" s="16" t="n">
        <f aca="false">H432*Scoring!$C$5</f>
        <v>3.9</v>
      </c>
      <c r="N432" s="16" t="n">
        <f aca="false">IF(I432&gt;=5,1,IF(I432=4,0.75,IF(I432=3,0.5,IF(I432=2,0.25,0))))*Scoring!$C$8</f>
        <v>1</v>
      </c>
      <c r="O432" s="16" t="n">
        <f aca="false">IF(J432="Yes",0,Scoring!$C$6)</f>
        <v>2</v>
      </c>
      <c r="P432" s="16" t="n">
        <f aca="false">IF(L432="Yes",0,Scoring!$C$7)</f>
        <v>0.5</v>
      </c>
      <c r="Q432" s="8" t="n">
        <f aca="false">ROUND(SUM(M432:P432),2)</f>
        <v>7.4</v>
      </c>
      <c r="R432" s="8" t="str">
        <f aca="false">IF(Q432&gt;=Scoring!$C$10-0.000001,"Keep","Remove")</f>
        <v>Keep</v>
      </c>
      <c r="S432" s="8" t="s">
        <v>166</v>
      </c>
    </row>
    <row r="433" customFormat="false" ht="15" hidden="false" customHeight="false" outlineLevel="0" collapsed="false">
      <c r="A433" s="8" t="s">
        <v>7292</v>
      </c>
      <c r="B433" s="8" t="s">
        <v>7293</v>
      </c>
      <c r="C433" s="8" t="s">
        <v>178</v>
      </c>
      <c r="D433" s="8" t="s">
        <v>2859</v>
      </c>
      <c r="E433" s="8"/>
      <c r="F433" s="8" t="s">
        <v>78</v>
      </c>
      <c r="G433" s="8" t="n">
        <v>3</v>
      </c>
      <c r="H433" s="13" t="n">
        <v>2</v>
      </c>
      <c r="I433" s="8" t="n">
        <v>5</v>
      </c>
      <c r="J433" s="20" t="s">
        <v>259</v>
      </c>
      <c r="K433" s="8"/>
      <c r="L433" s="20" t="s">
        <v>259</v>
      </c>
      <c r="M433" s="16" t="n">
        <f aca="false">H433*Scoring!$C$5</f>
        <v>2.6</v>
      </c>
      <c r="N433" s="16" t="n">
        <f aca="false">IF(I433&gt;=5,1,IF(I433=4,0.75,IF(I433=3,0.5,IF(I433=2,0.25,0))))*Scoring!$C$8</f>
        <v>1</v>
      </c>
      <c r="O433" s="16" t="n">
        <f aca="false">IF(J433="Yes",0,Scoring!$C$6)</f>
        <v>2</v>
      </c>
      <c r="P433" s="16" t="n">
        <f aca="false">IF(L433="Yes",0,Scoring!$C$7)</f>
        <v>0.5</v>
      </c>
      <c r="Q433" s="8" t="n">
        <f aca="false">ROUND(SUM(M433:P433),2)</f>
        <v>6.1</v>
      </c>
      <c r="R433" s="8" t="str">
        <f aca="false">IF(Q433&gt;=Scoring!$C$10-0.000001,"Keep","Remove")</f>
        <v>Remove</v>
      </c>
      <c r="S433" s="8" t="s">
        <v>7243</v>
      </c>
    </row>
    <row r="434" customFormat="false" ht="15" hidden="false" customHeight="false" outlineLevel="0" collapsed="false">
      <c r="A434" s="8" t="s">
        <v>7484</v>
      </c>
      <c r="B434" s="8" t="s">
        <v>7485</v>
      </c>
      <c r="C434" s="8" t="s">
        <v>178</v>
      </c>
      <c r="D434" s="8" t="s">
        <v>2859</v>
      </c>
      <c r="E434" s="8"/>
      <c r="F434" s="8" t="s">
        <v>78</v>
      </c>
      <c r="G434" s="8" t="n">
        <v>3</v>
      </c>
      <c r="H434" s="13" t="n">
        <v>2</v>
      </c>
      <c r="I434" s="8" t="n">
        <v>4</v>
      </c>
      <c r="J434" s="20" t="s">
        <v>259</v>
      </c>
      <c r="K434" s="8"/>
      <c r="L434" s="20" t="s">
        <v>259</v>
      </c>
      <c r="M434" s="16" t="n">
        <f aca="false">H434*Scoring!$C$5</f>
        <v>2.6</v>
      </c>
      <c r="N434" s="16" t="n">
        <f aca="false">IF(I434&gt;=5,1,IF(I434=4,0.75,IF(I434=3,0.5,IF(I434=2,0.25,0))))*Scoring!$C$8</f>
        <v>0.75</v>
      </c>
      <c r="O434" s="16" t="n">
        <f aca="false">IF(J434="Yes",0,Scoring!$C$6)</f>
        <v>2</v>
      </c>
      <c r="P434" s="16" t="n">
        <f aca="false">IF(L434="Yes",0,Scoring!$C$7)</f>
        <v>0.5</v>
      </c>
      <c r="Q434" s="8" t="n">
        <f aca="false">ROUND(SUM(M434:P434),2)</f>
        <v>5.85</v>
      </c>
      <c r="R434" s="8" t="str">
        <f aca="false">IF(Q434&gt;=Scoring!$C$10-0.000001,"Keep","Remove")</f>
        <v>Remove</v>
      </c>
      <c r="S434" s="8" t="s">
        <v>7243</v>
      </c>
    </row>
    <row r="435" customFormat="false" ht="15" hidden="false" customHeight="false" outlineLevel="0" collapsed="false">
      <c r="A435" s="8" t="s">
        <v>7294</v>
      </c>
      <c r="B435" s="8" t="s">
        <v>7295</v>
      </c>
      <c r="C435" s="8" t="s">
        <v>178</v>
      </c>
      <c r="D435" s="8" t="s">
        <v>2859</v>
      </c>
      <c r="E435" s="8"/>
      <c r="F435" s="8" t="s">
        <v>85</v>
      </c>
      <c r="G435" s="8" t="n">
        <v>3</v>
      </c>
      <c r="H435" s="13" t="n">
        <v>2</v>
      </c>
      <c r="I435" s="8" t="n">
        <v>5</v>
      </c>
      <c r="J435" s="20" t="s">
        <v>259</v>
      </c>
      <c r="K435" s="8"/>
      <c r="L435" s="20" t="s">
        <v>259</v>
      </c>
      <c r="M435" s="16" t="n">
        <f aca="false">H435*Scoring!$C$5</f>
        <v>2.6</v>
      </c>
      <c r="N435" s="16" t="n">
        <f aca="false">IF(I435&gt;=5,1,IF(I435=4,0.75,IF(I435=3,0.5,IF(I435=2,0.25,0))))*Scoring!$C$8</f>
        <v>1</v>
      </c>
      <c r="O435" s="16" t="n">
        <f aca="false">IF(J435="Yes",0,Scoring!$C$6)</f>
        <v>2</v>
      </c>
      <c r="P435" s="16" t="n">
        <f aca="false">IF(L435="Yes",0,Scoring!$C$7)</f>
        <v>0.5</v>
      </c>
      <c r="Q435" s="8" t="n">
        <f aca="false">ROUND(SUM(M435:P435),2)</f>
        <v>6.1</v>
      </c>
      <c r="R435" s="8" t="str">
        <f aca="false">IF(Q435&gt;=Scoring!$C$10-0.000001,"Keep","Remove")</f>
        <v>Remove</v>
      </c>
      <c r="S435" s="8" t="s">
        <v>7243</v>
      </c>
    </row>
    <row r="436" customFormat="false" ht="15" hidden="false" customHeight="false" outlineLevel="0" collapsed="false">
      <c r="A436" s="8" t="s">
        <v>3135</v>
      </c>
      <c r="B436" s="8" t="s">
        <v>3136</v>
      </c>
      <c r="C436" s="8" t="s">
        <v>178</v>
      </c>
      <c r="D436" s="8" t="s">
        <v>3137</v>
      </c>
      <c r="E436" s="8"/>
      <c r="F436" s="8" t="s">
        <v>85</v>
      </c>
      <c r="G436" s="8" t="n">
        <v>1</v>
      </c>
      <c r="H436" s="13" t="n">
        <v>4</v>
      </c>
      <c r="I436" s="8" t="n">
        <v>6</v>
      </c>
      <c r="J436" s="20" t="s">
        <v>259</v>
      </c>
      <c r="K436" s="8"/>
      <c r="L436" s="20" t="s">
        <v>259</v>
      </c>
      <c r="M436" s="16" t="n">
        <f aca="false">H436*Scoring!$C$5</f>
        <v>5.2</v>
      </c>
      <c r="N436" s="16" t="n">
        <f aca="false">IF(I436&gt;=5,1,IF(I436=4,0.75,IF(I436=3,0.5,IF(I436=2,0.25,0))))*Scoring!$C$8</f>
        <v>1</v>
      </c>
      <c r="O436" s="16" t="n">
        <f aca="false">IF(J436="Yes",0,Scoring!$C$6)</f>
        <v>2</v>
      </c>
      <c r="P436" s="16" t="n">
        <f aca="false">IF(L436="Yes",0,Scoring!$C$7)</f>
        <v>0.5</v>
      </c>
      <c r="Q436" s="8" t="n">
        <f aca="false">ROUND(SUM(M436:P436),2)</f>
        <v>8.7</v>
      </c>
      <c r="R436" s="8" t="str">
        <f aca="false">IF(Q436&gt;=Scoring!$C$10-0.000001,"Keep","Remove")</f>
        <v>Keep</v>
      </c>
      <c r="S436" s="8" t="s">
        <v>166</v>
      </c>
    </row>
    <row r="437" customFormat="false" ht="15" hidden="false" customHeight="false" outlineLevel="0" collapsed="false">
      <c r="A437" s="8" t="s">
        <v>3147</v>
      </c>
      <c r="B437" s="8" t="s">
        <v>3148</v>
      </c>
      <c r="C437" s="8" t="s">
        <v>178</v>
      </c>
      <c r="D437" s="8" t="s">
        <v>3137</v>
      </c>
      <c r="E437" s="8"/>
      <c r="F437" s="8" t="s">
        <v>86</v>
      </c>
      <c r="G437" s="8" t="n">
        <v>1</v>
      </c>
      <c r="H437" s="13" t="n">
        <v>5</v>
      </c>
      <c r="I437" s="8" t="n">
        <v>4</v>
      </c>
      <c r="J437" s="20" t="s">
        <v>259</v>
      </c>
      <c r="K437" s="8"/>
      <c r="L437" s="20" t="s">
        <v>259</v>
      </c>
      <c r="M437" s="16" t="n">
        <f aca="false">H437*Scoring!$C$5</f>
        <v>6.5</v>
      </c>
      <c r="N437" s="16" t="n">
        <f aca="false">IF(I437&gt;=5,1,IF(I437=4,0.75,IF(I437=3,0.5,IF(I437=2,0.25,0))))*Scoring!$C$8</f>
        <v>0.75</v>
      </c>
      <c r="O437" s="16" t="n">
        <f aca="false">IF(J437="Yes",0,Scoring!$C$6)</f>
        <v>2</v>
      </c>
      <c r="P437" s="16" t="n">
        <f aca="false">IF(L437="Yes",0,Scoring!$C$7)</f>
        <v>0.5</v>
      </c>
      <c r="Q437" s="8" t="n">
        <f aca="false">ROUND(SUM(M437:P437),2)</f>
        <v>9.75</v>
      </c>
      <c r="R437" s="8" t="str">
        <f aca="false">IF(Q437&gt;=Scoring!$C$10-0.000001,"Keep","Remove")</f>
        <v>Keep</v>
      </c>
      <c r="S437" s="8" t="s">
        <v>166</v>
      </c>
    </row>
    <row r="438" customFormat="false" ht="15" hidden="false" customHeight="false" outlineLevel="0" collapsed="false">
      <c r="A438" s="8" t="s">
        <v>3157</v>
      </c>
      <c r="B438" s="8" t="s">
        <v>3158</v>
      </c>
      <c r="C438" s="8" t="s">
        <v>178</v>
      </c>
      <c r="D438" s="8" t="s">
        <v>3137</v>
      </c>
      <c r="E438" s="8"/>
      <c r="F438" s="8" t="s">
        <v>78</v>
      </c>
      <c r="G438" s="8" t="n">
        <v>1</v>
      </c>
      <c r="H438" s="13" t="n">
        <v>4</v>
      </c>
      <c r="I438" s="8" t="n">
        <v>4</v>
      </c>
      <c r="J438" s="20" t="s">
        <v>259</v>
      </c>
      <c r="K438" s="8"/>
      <c r="L438" s="20" t="s">
        <v>259</v>
      </c>
      <c r="M438" s="16" t="n">
        <f aca="false">H438*Scoring!$C$5</f>
        <v>5.2</v>
      </c>
      <c r="N438" s="16" t="n">
        <f aca="false">IF(I438&gt;=5,1,IF(I438=4,0.75,IF(I438=3,0.5,IF(I438=2,0.25,0))))*Scoring!$C$8</f>
        <v>0.75</v>
      </c>
      <c r="O438" s="16" t="n">
        <f aca="false">IF(J438="Yes",0,Scoring!$C$6)</f>
        <v>2</v>
      </c>
      <c r="P438" s="16" t="n">
        <f aca="false">IF(L438="Yes",0,Scoring!$C$7)</f>
        <v>0.5</v>
      </c>
      <c r="Q438" s="8" t="n">
        <f aca="false">ROUND(SUM(M438:P438),2)</f>
        <v>8.45</v>
      </c>
      <c r="R438" s="8" t="str">
        <f aca="false">IF(Q438&gt;=Scoring!$C$10-0.000001,"Keep","Remove")</f>
        <v>Keep</v>
      </c>
      <c r="S438" s="8" t="s">
        <v>166</v>
      </c>
    </row>
    <row r="439" customFormat="false" ht="15" hidden="false" customHeight="false" outlineLevel="0" collapsed="false">
      <c r="A439" s="8" t="s">
        <v>3166</v>
      </c>
      <c r="B439" s="8" t="s">
        <v>3167</v>
      </c>
      <c r="C439" s="8" t="s">
        <v>178</v>
      </c>
      <c r="D439" s="8" t="s">
        <v>3137</v>
      </c>
      <c r="E439" s="8"/>
      <c r="F439" s="8" t="s">
        <v>78</v>
      </c>
      <c r="G439" s="8" t="n">
        <v>1</v>
      </c>
      <c r="H439" s="13" t="n">
        <v>4</v>
      </c>
      <c r="I439" s="8" t="n">
        <v>4</v>
      </c>
      <c r="J439" s="20" t="s">
        <v>259</v>
      </c>
      <c r="K439" s="8"/>
      <c r="L439" s="20" t="s">
        <v>259</v>
      </c>
      <c r="M439" s="16" t="n">
        <f aca="false">H439*Scoring!$C$5</f>
        <v>5.2</v>
      </c>
      <c r="N439" s="16" t="n">
        <f aca="false">IF(I439&gt;=5,1,IF(I439=4,0.75,IF(I439=3,0.5,IF(I439=2,0.25,0))))*Scoring!$C$8</f>
        <v>0.75</v>
      </c>
      <c r="O439" s="16" t="n">
        <f aca="false">IF(J439="Yes",0,Scoring!$C$6)</f>
        <v>2</v>
      </c>
      <c r="P439" s="16" t="n">
        <f aca="false">IF(L439="Yes",0,Scoring!$C$7)</f>
        <v>0.5</v>
      </c>
      <c r="Q439" s="8" t="n">
        <f aca="false">ROUND(SUM(M439:P439),2)</f>
        <v>8.45</v>
      </c>
      <c r="R439" s="8" t="str">
        <f aca="false">IF(Q439&gt;=Scoring!$C$10-0.000001,"Keep","Remove")</f>
        <v>Keep</v>
      </c>
      <c r="S439" s="8" t="s">
        <v>166</v>
      </c>
    </row>
    <row r="440" customFormat="false" ht="15" hidden="false" customHeight="false" outlineLevel="0" collapsed="false">
      <c r="A440" s="8" t="s">
        <v>3175</v>
      </c>
      <c r="B440" s="8" t="s">
        <v>3176</v>
      </c>
      <c r="C440" s="8" t="s">
        <v>178</v>
      </c>
      <c r="D440" s="8" t="s">
        <v>3137</v>
      </c>
      <c r="E440" s="8"/>
      <c r="F440" s="8" t="s">
        <v>81</v>
      </c>
      <c r="G440" s="8" t="n">
        <v>1</v>
      </c>
      <c r="H440" s="13" t="n">
        <v>4</v>
      </c>
      <c r="I440" s="8" t="n">
        <v>4</v>
      </c>
      <c r="J440" s="20" t="s">
        <v>259</v>
      </c>
      <c r="K440" s="8"/>
      <c r="L440" s="20" t="s">
        <v>259</v>
      </c>
      <c r="M440" s="16" t="n">
        <f aca="false">H440*Scoring!$C$5</f>
        <v>5.2</v>
      </c>
      <c r="N440" s="16" t="n">
        <f aca="false">IF(I440&gt;=5,1,IF(I440=4,0.75,IF(I440=3,0.5,IF(I440=2,0.25,0))))*Scoring!$C$8</f>
        <v>0.75</v>
      </c>
      <c r="O440" s="16" t="n">
        <f aca="false">IF(J440="Yes",0,Scoring!$C$6)</f>
        <v>2</v>
      </c>
      <c r="P440" s="16" t="n">
        <f aca="false">IF(L440="Yes",0,Scoring!$C$7)</f>
        <v>0.5</v>
      </c>
      <c r="Q440" s="8" t="n">
        <f aca="false">ROUND(SUM(M440:P440),2)</f>
        <v>8.45</v>
      </c>
      <c r="R440" s="8" t="str">
        <f aca="false">IF(Q440&gt;=Scoring!$C$10-0.000001,"Keep","Remove")</f>
        <v>Keep</v>
      </c>
      <c r="S440" s="8" t="s">
        <v>166</v>
      </c>
    </row>
    <row r="441" customFormat="false" ht="15" hidden="false" customHeight="false" outlineLevel="0" collapsed="false">
      <c r="A441" s="8" t="s">
        <v>3183</v>
      </c>
      <c r="B441" s="8" t="s">
        <v>3184</v>
      </c>
      <c r="C441" s="8" t="s">
        <v>178</v>
      </c>
      <c r="D441" s="8" t="s">
        <v>3137</v>
      </c>
      <c r="E441" s="8"/>
      <c r="F441" s="8" t="s">
        <v>86</v>
      </c>
      <c r="G441" s="8" t="n">
        <v>1</v>
      </c>
      <c r="H441" s="13" t="n">
        <v>3</v>
      </c>
      <c r="I441" s="8" t="n">
        <v>5</v>
      </c>
      <c r="J441" s="20" t="s">
        <v>259</v>
      </c>
      <c r="K441" s="8"/>
      <c r="L441" s="20" t="s">
        <v>259</v>
      </c>
      <c r="M441" s="16" t="n">
        <f aca="false">H441*Scoring!$C$5</f>
        <v>3.9</v>
      </c>
      <c r="N441" s="16" t="n">
        <f aca="false">IF(I441&gt;=5,1,IF(I441=4,0.75,IF(I441=3,0.5,IF(I441=2,0.25,0))))*Scoring!$C$8</f>
        <v>1</v>
      </c>
      <c r="O441" s="16" t="n">
        <f aca="false">IF(J441="Yes",0,Scoring!$C$6)</f>
        <v>2</v>
      </c>
      <c r="P441" s="16" t="n">
        <f aca="false">IF(L441="Yes",0,Scoring!$C$7)</f>
        <v>0.5</v>
      </c>
      <c r="Q441" s="8" t="n">
        <f aca="false">ROUND(SUM(M441:P441),2)</f>
        <v>7.4</v>
      </c>
      <c r="R441" s="8" t="str">
        <f aca="false">IF(Q441&gt;=Scoring!$C$10-0.000001,"Keep","Remove")</f>
        <v>Keep</v>
      </c>
      <c r="S441" s="8" t="s">
        <v>166</v>
      </c>
    </row>
    <row r="442" customFormat="false" ht="15" hidden="false" customHeight="false" outlineLevel="0" collapsed="false">
      <c r="A442" s="8" t="s">
        <v>3191</v>
      </c>
      <c r="B442" s="8" t="s">
        <v>3192</v>
      </c>
      <c r="C442" s="8" t="s">
        <v>178</v>
      </c>
      <c r="D442" s="8" t="s">
        <v>3137</v>
      </c>
      <c r="E442" s="8"/>
      <c r="F442" s="8" t="s">
        <v>83</v>
      </c>
      <c r="G442" s="8" t="n">
        <v>1</v>
      </c>
      <c r="H442" s="13" t="n">
        <v>3</v>
      </c>
      <c r="I442" s="8" t="n">
        <v>4</v>
      </c>
      <c r="J442" s="20" t="s">
        <v>259</v>
      </c>
      <c r="K442" s="8"/>
      <c r="L442" s="20" t="s">
        <v>259</v>
      </c>
      <c r="M442" s="16" t="n">
        <f aca="false">H442*Scoring!$C$5</f>
        <v>3.9</v>
      </c>
      <c r="N442" s="16" t="n">
        <f aca="false">IF(I442&gt;=5,1,IF(I442=4,0.75,IF(I442=3,0.5,IF(I442=2,0.25,0))))*Scoring!$C$8</f>
        <v>0.75</v>
      </c>
      <c r="O442" s="16" t="n">
        <f aca="false">IF(J442="Yes",0,Scoring!$C$6)</f>
        <v>2</v>
      </c>
      <c r="P442" s="16" t="n">
        <f aca="false">IF(L442="Yes",0,Scoring!$C$7)</f>
        <v>0.5</v>
      </c>
      <c r="Q442" s="8" t="n">
        <f aca="false">ROUND(SUM(M442:P442),2)</f>
        <v>7.15</v>
      </c>
      <c r="R442" s="8" t="str">
        <f aca="false">IF(Q442&gt;=Scoring!$C$10-0.000001,"Keep","Remove")</f>
        <v>Keep</v>
      </c>
      <c r="S442" s="8" t="s">
        <v>166</v>
      </c>
    </row>
    <row r="443" customFormat="false" ht="15" hidden="false" customHeight="false" outlineLevel="0" collapsed="false">
      <c r="A443" s="8" t="s">
        <v>3198</v>
      </c>
      <c r="B443" s="8" t="s">
        <v>3199</v>
      </c>
      <c r="C443" s="8" t="s">
        <v>178</v>
      </c>
      <c r="D443" s="8" t="s">
        <v>3137</v>
      </c>
      <c r="E443" s="8"/>
      <c r="F443" s="8" t="s">
        <v>78</v>
      </c>
      <c r="G443" s="8" t="n">
        <v>1</v>
      </c>
      <c r="H443" s="13" t="n">
        <v>3</v>
      </c>
      <c r="I443" s="8" t="n">
        <v>4</v>
      </c>
      <c r="J443" s="20" t="s">
        <v>259</v>
      </c>
      <c r="K443" s="8"/>
      <c r="L443" s="20" t="s">
        <v>259</v>
      </c>
      <c r="M443" s="16" t="n">
        <f aca="false">H443*Scoring!$C$5</f>
        <v>3.9</v>
      </c>
      <c r="N443" s="16" t="n">
        <f aca="false">IF(I443&gt;=5,1,IF(I443=4,0.75,IF(I443=3,0.5,IF(I443=2,0.25,0))))*Scoring!$C$8</f>
        <v>0.75</v>
      </c>
      <c r="O443" s="16" t="n">
        <f aca="false">IF(J443="Yes",0,Scoring!$C$6)</f>
        <v>2</v>
      </c>
      <c r="P443" s="16" t="n">
        <f aca="false">IF(L443="Yes",0,Scoring!$C$7)</f>
        <v>0.5</v>
      </c>
      <c r="Q443" s="8" t="n">
        <f aca="false">ROUND(SUM(M443:P443),2)</f>
        <v>7.15</v>
      </c>
      <c r="R443" s="8" t="str">
        <f aca="false">IF(Q443&gt;=Scoring!$C$10-0.000001,"Keep","Remove")</f>
        <v>Keep</v>
      </c>
      <c r="S443" s="8" t="s">
        <v>166</v>
      </c>
    </row>
    <row r="444" customFormat="false" ht="15" hidden="false" customHeight="false" outlineLevel="0" collapsed="false">
      <c r="A444" s="8" t="s">
        <v>3209</v>
      </c>
      <c r="B444" s="8" t="s">
        <v>3210</v>
      </c>
      <c r="C444" s="8" t="s">
        <v>178</v>
      </c>
      <c r="D444" s="8" t="s">
        <v>3137</v>
      </c>
      <c r="E444" s="8"/>
      <c r="F444" s="8" t="s">
        <v>83</v>
      </c>
      <c r="G444" s="8" t="n">
        <v>2</v>
      </c>
      <c r="H444" s="13" t="n">
        <v>3</v>
      </c>
      <c r="I444" s="8" t="n">
        <v>5</v>
      </c>
      <c r="J444" s="20" t="s">
        <v>259</v>
      </c>
      <c r="K444" s="8"/>
      <c r="L444" s="20" t="s">
        <v>259</v>
      </c>
      <c r="M444" s="16" t="n">
        <f aca="false">H444*Scoring!$C$5</f>
        <v>3.9</v>
      </c>
      <c r="N444" s="16" t="n">
        <f aca="false">IF(I444&gt;=5,1,IF(I444=4,0.75,IF(I444=3,0.5,IF(I444=2,0.25,0))))*Scoring!$C$8</f>
        <v>1</v>
      </c>
      <c r="O444" s="16" t="n">
        <f aca="false">IF(J444="Yes",0,Scoring!$C$6)</f>
        <v>2</v>
      </c>
      <c r="P444" s="16" t="n">
        <f aca="false">IF(L444="Yes",0,Scoring!$C$7)</f>
        <v>0.5</v>
      </c>
      <c r="Q444" s="8" t="n">
        <f aca="false">ROUND(SUM(M444:P444),2)</f>
        <v>7.4</v>
      </c>
      <c r="R444" s="8" t="str">
        <f aca="false">IF(Q444&gt;=Scoring!$C$10-0.000001,"Keep","Remove")</f>
        <v>Keep</v>
      </c>
      <c r="S444" s="8" t="s">
        <v>166</v>
      </c>
    </row>
    <row r="445" customFormat="false" ht="15" hidden="false" customHeight="false" outlineLevel="0" collapsed="false">
      <c r="A445" s="8" t="s">
        <v>3218</v>
      </c>
      <c r="B445" s="8" t="s">
        <v>3219</v>
      </c>
      <c r="C445" s="8" t="s">
        <v>178</v>
      </c>
      <c r="D445" s="8" t="s">
        <v>3137</v>
      </c>
      <c r="E445" s="8"/>
      <c r="F445" s="8" t="s">
        <v>78</v>
      </c>
      <c r="G445" s="8" t="n">
        <v>2</v>
      </c>
      <c r="H445" s="13" t="n">
        <v>3</v>
      </c>
      <c r="I445" s="8" t="n">
        <v>4</v>
      </c>
      <c r="J445" s="20" t="s">
        <v>259</v>
      </c>
      <c r="K445" s="8"/>
      <c r="L445" s="20" t="s">
        <v>259</v>
      </c>
      <c r="M445" s="16" t="n">
        <f aca="false">H445*Scoring!$C$5</f>
        <v>3.9</v>
      </c>
      <c r="N445" s="16" t="n">
        <f aca="false">IF(I445&gt;=5,1,IF(I445=4,0.75,IF(I445=3,0.5,IF(I445=2,0.25,0))))*Scoring!$C$8</f>
        <v>0.75</v>
      </c>
      <c r="O445" s="16" t="n">
        <f aca="false">IF(J445="Yes",0,Scoring!$C$6)</f>
        <v>2</v>
      </c>
      <c r="P445" s="16" t="n">
        <f aca="false">IF(L445="Yes",0,Scoring!$C$7)</f>
        <v>0.5</v>
      </c>
      <c r="Q445" s="8" t="n">
        <f aca="false">ROUND(SUM(M445:P445),2)</f>
        <v>7.15</v>
      </c>
      <c r="R445" s="8" t="str">
        <f aca="false">IF(Q445&gt;=Scoring!$C$10-0.000001,"Keep","Remove")</f>
        <v>Keep</v>
      </c>
      <c r="S445" s="8" t="s">
        <v>166</v>
      </c>
    </row>
    <row r="446" customFormat="false" ht="15" hidden="false" customHeight="false" outlineLevel="0" collapsed="false">
      <c r="A446" s="8" t="s">
        <v>3225</v>
      </c>
      <c r="B446" s="8" t="s">
        <v>3226</v>
      </c>
      <c r="C446" s="8" t="s">
        <v>178</v>
      </c>
      <c r="D446" s="8" t="s">
        <v>3137</v>
      </c>
      <c r="E446" s="8"/>
      <c r="F446" s="8" t="s">
        <v>83</v>
      </c>
      <c r="G446" s="8" t="n">
        <v>2</v>
      </c>
      <c r="H446" s="13" t="n">
        <v>3</v>
      </c>
      <c r="I446" s="8" t="n">
        <v>4</v>
      </c>
      <c r="J446" s="20" t="s">
        <v>259</v>
      </c>
      <c r="K446" s="8"/>
      <c r="L446" s="20" t="s">
        <v>259</v>
      </c>
      <c r="M446" s="16" t="n">
        <f aca="false">H446*Scoring!$C$5</f>
        <v>3.9</v>
      </c>
      <c r="N446" s="16" t="n">
        <f aca="false">IF(I446&gt;=5,1,IF(I446=4,0.75,IF(I446=3,0.5,IF(I446=2,0.25,0))))*Scoring!$C$8</f>
        <v>0.75</v>
      </c>
      <c r="O446" s="16" t="n">
        <f aca="false">IF(J446="Yes",0,Scoring!$C$6)</f>
        <v>2</v>
      </c>
      <c r="P446" s="16" t="n">
        <f aca="false">IF(L446="Yes",0,Scoring!$C$7)</f>
        <v>0.5</v>
      </c>
      <c r="Q446" s="8" t="n">
        <f aca="false">ROUND(SUM(M446:P446),2)</f>
        <v>7.15</v>
      </c>
      <c r="R446" s="8" t="str">
        <f aca="false">IF(Q446&gt;=Scoring!$C$10-0.000001,"Keep","Remove")</f>
        <v>Keep</v>
      </c>
      <c r="S446" s="8" t="s">
        <v>166</v>
      </c>
    </row>
    <row r="447" customFormat="false" ht="15" hidden="false" customHeight="false" outlineLevel="0" collapsed="false">
      <c r="A447" s="8" t="s">
        <v>3237</v>
      </c>
      <c r="B447" s="8" t="s">
        <v>3238</v>
      </c>
      <c r="C447" s="8" t="s">
        <v>178</v>
      </c>
      <c r="D447" s="8" t="s">
        <v>3137</v>
      </c>
      <c r="E447" s="8"/>
      <c r="F447" s="8" t="s">
        <v>79</v>
      </c>
      <c r="G447" s="8" t="n">
        <v>1</v>
      </c>
      <c r="H447" s="13" t="n">
        <v>3</v>
      </c>
      <c r="I447" s="8" t="n">
        <v>6</v>
      </c>
      <c r="J447" s="20" t="s">
        <v>259</v>
      </c>
      <c r="K447" s="8"/>
      <c r="L447" s="20" t="s">
        <v>259</v>
      </c>
      <c r="M447" s="16" t="n">
        <f aca="false">H447*Scoring!$C$5</f>
        <v>3.9</v>
      </c>
      <c r="N447" s="16" t="n">
        <f aca="false">IF(I447&gt;=5,1,IF(I447=4,0.75,IF(I447=3,0.5,IF(I447=2,0.25,0))))*Scoring!$C$8</f>
        <v>1</v>
      </c>
      <c r="O447" s="16" t="n">
        <f aca="false">IF(J447="Yes",0,Scoring!$C$6)</f>
        <v>2</v>
      </c>
      <c r="P447" s="16" t="n">
        <f aca="false">IF(L447="Yes",0,Scoring!$C$7)</f>
        <v>0.5</v>
      </c>
      <c r="Q447" s="8" t="n">
        <f aca="false">ROUND(SUM(M447:P447),2)</f>
        <v>7.4</v>
      </c>
      <c r="R447" s="8" t="str">
        <f aca="false">IF(Q447&gt;=Scoring!$C$10-0.000001,"Keep","Remove")</f>
        <v>Keep</v>
      </c>
      <c r="S447" s="8" t="s">
        <v>166</v>
      </c>
    </row>
    <row r="448" customFormat="false" ht="15" hidden="false" customHeight="false" outlineLevel="0" collapsed="false">
      <c r="A448" s="8" t="s">
        <v>3247</v>
      </c>
      <c r="B448" s="8" t="s">
        <v>3248</v>
      </c>
      <c r="C448" s="8" t="s">
        <v>178</v>
      </c>
      <c r="D448" s="8" t="s">
        <v>3137</v>
      </c>
      <c r="E448" s="8"/>
      <c r="F448" s="8" t="s">
        <v>79</v>
      </c>
      <c r="G448" s="8" t="n">
        <v>2</v>
      </c>
      <c r="H448" s="13" t="n">
        <v>3</v>
      </c>
      <c r="I448" s="8" t="n">
        <v>4</v>
      </c>
      <c r="J448" s="20" t="s">
        <v>259</v>
      </c>
      <c r="K448" s="8"/>
      <c r="L448" s="20" t="s">
        <v>259</v>
      </c>
      <c r="M448" s="16" t="n">
        <f aca="false">H448*Scoring!$C$5</f>
        <v>3.9</v>
      </c>
      <c r="N448" s="16" t="n">
        <f aca="false">IF(I448&gt;=5,1,IF(I448=4,0.75,IF(I448=3,0.5,IF(I448=2,0.25,0))))*Scoring!$C$8</f>
        <v>0.75</v>
      </c>
      <c r="O448" s="16" t="n">
        <f aca="false">IF(J448="Yes",0,Scoring!$C$6)</f>
        <v>2</v>
      </c>
      <c r="P448" s="16" t="n">
        <f aca="false">IF(L448="Yes",0,Scoring!$C$7)</f>
        <v>0.5</v>
      </c>
      <c r="Q448" s="8" t="n">
        <f aca="false">ROUND(SUM(M448:P448),2)</f>
        <v>7.15</v>
      </c>
      <c r="R448" s="8" t="str">
        <f aca="false">IF(Q448&gt;=Scoring!$C$10-0.000001,"Keep","Remove")</f>
        <v>Keep</v>
      </c>
      <c r="S448" s="8" t="s">
        <v>166</v>
      </c>
    </row>
    <row r="449" customFormat="false" ht="15" hidden="false" customHeight="false" outlineLevel="0" collapsed="false">
      <c r="A449" s="8" t="s">
        <v>3256</v>
      </c>
      <c r="B449" s="8" t="s">
        <v>3257</v>
      </c>
      <c r="C449" s="8" t="s">
        <v>178</v>
      </c>
      <c r="D449" s="8" t="s">
        <v>3137</v>
      </c>
      <c r="E449" s="8"/>
      <c r="F449" s="8" t="s">
        <v>78</v>
      </c>
      <c r="G449" s="8" t="n">
        <v>2</v>
      </c>
      <c r="H449" s="13" t="n">
        <v>3</v>
      </c>
      <c r="I449" s="8" t="n">
        <v>5</v>
      </c>
      <c r="J449" s="20" t="s">
        <v>259</v>
      </c>
      <c r="K449" s="8"/>
      <c r="L449" s="20" t="s">
        <v>259</v>
      </c>
      <c r="M449" s="16" t="n">
        <f aca="false">H449*Scoring!$C$5</f>
        <v>3.9</v>
      </c>
      <c r="N449" s="16" t="n">
        <f aca="false">IF(I449&gt;=5,1,IF(I449=4,0.75,IF(I449=3,0.5,IF(I449=2,0.25,0))))*Scoring!$C$8</f>
        <v>1</v>
      </c>
      <c r="O449" s="16" t="n">
        <f aca="false">IF(J449="Yes",0,Scoring!$C$6)</f>
        <v>2</v>
      </c>
      <c r="P449" s="16" t="n">
        <f aca="false">IF(L449="Yes",0,Scoring!$C$7)</f>
        <v>0.5</v>
      </c>
      <c r="Q449" s="8" t="n">
        <f aca="false">ROUND(SUM(M449:P449),2)</f>
        <v>7.4</v>
      </c>
      <c r="R449" s="8" t="str">
        <f aca="false">IF(Q449&gt;=Scoring!$C$10-0.000001,"Keep","Remove")</f>
        <v>Keep</v>
      </c>
      <c r="S449" s="8" t="s">
        <v>166</v>
      </c>
    </row>
    <row r="450" customFormat="false" ht="15" hidden="false" customHeight="false" outlineLevel="0" collapsed="false">
      <c r="A450" s="8" t="s">
        <v>3264</v>
      </c>
      <c r="B450" s="8" t="s">
        <v>3265</v>
      </c>
      <c r="C450" s="8" t="s">
        <v>178</v>
      </c>
      <c r="D450" s="8" t="s">
        <v>3137</v>
      </c>
      <c r="E450" s="8"/>
      <c r="F450" s="8" t="s">
        <v>78</v>
      </c>
      <c r="G450" s="8" t="n">
        <v>2</v>
      </c>
      <c r="H450" s="13" t="n">
        <v>3</v>
      </c>
      <c r="I450" s="8" t="n">
        <v>4</v>
      </c>
      <c r="J450" s="20" t="s">
        <v>259</v>
      </c>
      <c r="K450" s="8"/>
      <c r="L450" s="20" t="s">
        <v>259</v>
      </c>
      <c r="M450" s="16" t="n">
        <f aca="false">H450*Scoring!$C$5</f>
        <v>3.9</v>
      </c>
      <c r="N450" s="16" t="n">
        <f aca="false">IF(I450&gt;=5,1,IF(I450=4,0.75,IF(I450=3,0.5,IF(I450=2,0.25,0))))*Scoring!$C$8</f>
        <v>0.75</v>
      </c>
      <c r="O450" s="16" t="n">
        <f aca="false">IF(J450="Yes",0,Scoring!$C$6)</f>
        <v>2</v>
      </c>
      <c r="P450" s="16" t="n">
        <f aca="false">IF(L450="Yes",0,Scoring!$C$7)</f>
        <v>0.5</v>
      </c>
      <c r="Q450" s="8" t="n">
        <f aca="false">ROUND(SUM(M450:P450),2)</f>
        <v>7.15</v>
      </c>
      <c r="R450" s="8" t="str">
        <f aca="false">IF(Q450&gt;=Scoring!$C$10-0.000001,"Keep","Remove")</f>
        <v>Keep</v>
      </c>
      <c r="S450" s="8" t="s">
        <v>166</v>
      </c>
    </row>
    <row r="451" customFormat="false" ht="15" hidden="false" customHeight="false" outlineLevel="0" collapsed="false">
      <c r="A451" s="8" t="s">
        <v>3273</v>
      </c>
      <c r="B451" s="8" t="s">
        <v>3274</v>
      </c>
      <c r="C451" s="8" t="s">
        <v>178</v>
      </c>
      <c r="D451" s="8" t="s">
        <v>3137</v>
      </c>
      <c r="E451" s="8"/>
      <c r="F451" s="8" t="s">
        <v>83</v>
      </c>
      <c r="G451" s="8" t="n">
        <v>2</v>
      </c>
      <c r="H451" s="13" t="n">
        <v>3</v>
      </c>
      <c r="I451" s="8" t="n">
        <v>6</v>
      </c>
      <c r="J451" s="20" t="s">
        <v>259</v>
      </c>
      <c r="K451" s="8"/>
      <c r="L451" s="20" t="s">
        <v>259</v>
      </c>
      <c r="M451" s="16" t="n">
        <f aca="false">H451*Scoring!$C$5</f>
        <v>3.9</v>
      </c>
      <c r="N451" s="16" t="n">
        <f aca="false">IF(I451&gt;=5,1,IF(I451=4,0.75,IF(I451=3,0.5,IF(I451=2,0.25,0))))*Scoring!$C$8</f>
        <v>1</v>
      </c>
      <c r="O451" s="16" t="n">
        <f aca="false">IF(J451="Yes",0,Scoring!$C$6)</f>
        <v>2</v>
      </c>
      <c r="P451" s="16" t="n">
        <f aca="false">IF(L451="Yes",0,Scoring!$C$7)</f>
        <v>0.5</v>
      </c>
      <c r="Q451" s="8" t="n">
        <f aca="false">ROUND(SUM(M451:P451),2)</f>
        <v>7.4</v>
      </c>
      <c r="R451" s="8" t="str">
        <f aca="false">IF(Q451&gt;=Scoring!$C$10-0.000001,"Keep","Remove")</f>
        <v>Keep</v>
      </c>
      <c r="S451" s="8" t="s">
        <v>166</v>
      </c>
    </row>
    <row r="452" customFormat="false" ht="15" hidden="false" customHeight="false" outlineLevel="0" collapsed="false">
      <c r="A452" s="8" t="s">
        <v>7296</v>
      </c>
      <c r="B452" s="8" t="s">
        <v>7297</v>
      </c>
      <c r="C452" s="8" t="s">
        <v>178</v>
      </c>
      <c r="D452" s="8" t="s">
        <v>3137</v>
      </c>
      <c r="E452" s="8"/>
      <c r="F452" s="8" t="s">
        <v>78</v>
      </c>
      <c r="G452" s="8" t="n">
        <v>3</v>
      </c>
      <c r="H452" s="13" t="n">
        <v>2</v>
      </c>
      <c r="I452" s="8" t="n">
        <v>5</v>
      </c>
      <c r="J452" s="20" t="s">
        <v>259</v>
      </c>
      <c r="K452" s="8"/>
      <c r="L452" s="20" t="s">
        <v>259</v>
      </c>
      <c r="M452" s="16" t="n">
        <f aca="false">H452*Scoring!$C$5</f>
        <v>2.6</v>
      </c>
      <c r="N452" s="16" t="n">
        <f aca="false">IF(I452&gt;=5,1,IF(I452=4,0.75,IF(I452=3,0.5,IF(I452=2,0.25,0))))*Scoring!$C$8</f>
        <v>1</v>
      </c>
      <c r="O452" s="16" t="n">
        <f aca="false">IF(J452="Yes",0,Scoring!$C$6)</f>
        <v>2</v>
      </c>
      <c r="P452" s="16" t="n">
        <f aca="false">IF(L452="Yes",0,Scoring!$C$7)</f>
        <v>0.5</v>
      </c>
      <c r="Q452" s="8" t="n">
        <f aca="false">ROUND(SUM(M452:P452),2)</f>
        <v>6.1</v>
      </c>
      <c r="R452" s="8" t="str">
        <f aca="false">IF(Q452&gt;=Scoring!$C$10-0.000001,"Keep","Remove")</f>
        <v>Remove</v>
      </c>
      <c r="S452" s="8" t="s">
        <v>7243</v>
      </c>
    </row>
    <row r="453" customFormat="false" ht="15" hidden="false" customHeight="false" outlineLevel="0" collapsed="false">
      <c r="A453" s="8" t="s">
        <v>3283</v>
      </c>
      <c r="B453" s="8" t="s">
        <v>3284</v>
      </c>
      <c r="C453" s="8" t="s">
        <v>178</v>
      </c>
      <c r="D453" s="8" t="s">
        <v>3137</v>
      </c>
      <c r="E453" s="8"/>
      <c r="F453" s="8" t="s">
        <v>81</v>
      </c>
      <c r="G453" s="8" t="n">
        <v>2</v>
      </c>
      <c r="H453" s="13" t="n">
        <v>3</v>
      </c>
      <c r="I453" s="8" t="n">
        <v>4</v>
      </c>
      <c r="J453" s="20" t="s">
        <v>259</v>
      </c>
      <c r="K453" s="8"/>
      <c r="L453" s="20" t="s">
        <v>259</v>
      </c>
      <c r="M453" s="16" t="n">
        <f aca="false">H453*Scoring!$C$5</f>
        <v>3.9</v>
      </c>
      <c r="N453" s="16" t="n">
        <f aca="false">IF(I453&gt;=5,1,IF(I453=4,0.75,IF(I453=3,0.5,IF(I453=2,0.25,0))))*Scoring!$C$8</f>
        <v>0.75</v>
      </c>
      <c r="O453" s="16" t="n">
        <f aca="false">IF(J453="Yes",0,Scoring!$C$6)</f>
        <v>2</v>
      </c>
      <c r="P453" s="16" t="n">
        <f aca="false">IF(L453="Yes",0,Scoring!$C$7)</f>
        <v>0.5</v>
      </c>
      <c r="Q453" s="8" t="n">
        <f aca="false">ROUND(SUM(M453:P453),2)</f>
        <v>7.15</v>
      </c>
      <c r="R453" s="8" t="str">
        <f aca="false">IF(Q453&gt;=Scoring!$C$10-0.000001,"Keep","Remove")</f>
        <v>Keep</v>
      </c>
      <c r="S453" s="8" t="s">
        <v>166</v>
      </c>
    </row>
    <row r="454" customFormat="false" ht="15" hidden="false" customHeight="false" outlineLevel="0" collapsed="false">
      <c r="A454" s="8" t="s">
        <v>3291</v>
      </c>
      <c r="B454" s="8" t="s">
        <v>3292</v>
      </c>
      <c r="C454" s="8" t="s">
        <v>178</v>
      </c>
      <c r="D454" s="8" t="s">
        <v>3137</v>
      </c>
      <c r="E454" s="8"/>
      <c r="F454" s="8" t="s">
        <v>80</v>
      </c>
      <c r="G454" s="8" t="n">
        <v>2</v>
      </c>
      <c r="H454" s="13" t="n">
        <v>3</v>
      </c>
      <c r="I454" s="8" t="n">
        <v>5</v>
      </c>
      <c r="J454" s="20" t="s">
        <v>259</v>
      </c>
      <c r="K454" s="8"/>
      <c r="L454" s="20" t="s">
        <v>259</v>
      </c>
      <c r="M454" s="16" t="n">
        <f aca="false">H454*Scoring!$C$5</f>
        <v>3.9</v>
      </c>
      <c r="N454" s="16" t="n">
        <f aca="false">IF(I454&gt;=5,1,IF(I454=4,0.75,IF(I454=3,0.5,IF(I454=2,0.25,0))))*Scoring!$C$8</f>
        <v>1</v>
      </c>
      <c r="O454" s="16" t="n">
        <f aca="false">IF(J454="Yes",0,Scoring!$C$6)</f>
        <v>2</v>
      </c>
      <c r="P454" s="16" t="n">
        <f aca="false">IF(L454="Yes",0,Scoring!$C$7)</f>
        <v>0.5</v>
      </c>
      <c r="Q454" s="8" t="n">
        <f aca="false">ROUND(SUM(M454:P454),2)</f>
        <v>7.4</v>
      </c>
      <c r="R454" s="8" t="str">
        <f aca="false">IF(Q454&gt;=Scoring!$C$10-0.000001,"Keep","Remove")</f>
        <v>Keep</v>
      </c>
      <c r="S454" s="8" t="s">
        <v>166</v>
      </c>
    </row>
    <row r="455" customFormat="false" ht="15" hidden="false" customHeight="false" outlineLevel="0" collapsed="false">
      <c r="A455" s="8" t="s">
        <v>3300</v>
      </c>
      <c r="B455" s="8" t="s">
        <v>3301</v>
      </c>
      <c r="C455" s="8" t="s">
        <v>178</v>
      </c>
      <c r="D455" s="8" t="s">
        <v>3137</v>
      </c>
      <c r="E455" s="8"/>
      <c r="F455" s="8" t="s">
        <v>85</v>
      </c>
      <c r="G455" s="8" t="n">
        <v>2</v>
      </c>
      <c r="H455" s="13" t="n">
        <v>4</v>
      </c>
      <c r="I455" s="8" t="n">
        <v>5</v>
      </c>
      <c r="J455" s="20" t="s">
        <v>259</v>
      </c>
      <c r="K455" s="8"/>
      <c r="L455" s="20" t="s">
        <v>259</v>
      </c>
      <c r="M455" s="16" t="n">
        <f aca="false">H455*Scoring!$C$5</f>
        <v>5.2</v>
      </c>
      <c r="N455" s="16" t="n">
        <f aca="false">IF(I455&gt;=5,1,IF(I455=4,0.75,IF(I455=3,0.5,IF(I455=2,0.25,0))))*Scoring!$C$8</f>
        <v>1</v>
      </c>
      <c r="O455" s="16" t="n">
        <f aca="false">IF(J455="Yes",0,Scoring!$C$6)</f>
        <v>2</v>
      </c>
      <c r="P455" s="16" t="n">
        <f aca="false">IF(L455="Yes",0,Scoring!$C$7)</f>
        <v>0.5</v>
      </c>
      <c r="Q455" s="8" t="n">
        <f aca="false">ROUND(SUM(M455:P455),2)</f>
        <v>8.7</v>
      </c>
      <c r="R455" s="8" t="str">
        <f aca="false">IF(Q455&gt;=Scoring!$C$10-0.000001,"Keep","Remove")</f>
        <v>Keep</v>
      </c>
      <c r="S455" s="8" t="s">
        <v>166</v>
      </c>
    </row>
    <row r="456" customFormat="false" ht="15" hidden="false" customHeight="false" outlineLevel="0" collapsed="false">
      <c r="A456" s="8" t="s">
        <v>7694</v>
      </c>
      <c r="B456" s="8" t="s">
        <v>7695</v>
      </c>
      <c r="C456" s="8" t="s">
        <v>178</v>
      </c>
      <c r="D456" s="8" t="s">
        <v>3137</v>
      </c>
      <c r="E456" s="8"/>
      <c r="F456" s="8" t="s">
        <v>78</v>
      </c>
      <c r="G456" s="8" t="n">
        <v>3</v>
      </c>
      <c r="H456" s="13" t="n">
        <v>2</v>
      </c>
      <c r="I456" s="8" t="n">
        <v>3</v>
      </c>
      <c r="J456" s="20" t="s">
        <v>259</v>
      </c>
      <c r="K456" s="8"/>
      <c r="L456" s="20" t="s">
        <v>259</v>
      </c>
      <c r="M456" s="16" t="n">
        <f aca="false">H456*Scoring!$C$5</f>
        <v>2.6</v>
      </c>
      <c r="N456" s="16" t="n">
        <f aca="false">IF(I456&gt;=5,1,IF(I456=4,0.75,IF(I456=3,0.5,IF(I456=2,0.25,0))))*Scoring!$C$8</f>
        <v>0.5</v>
      </c>
      <c r="O456" s="16" t="n">
        <f aca="false">IF(J456="Yes",0,Scoring!$C$6)</f>
        <v>2</v>
      </c>
      <c r="P456" s="16" t="n">
        <f aca="false">IF(L456="Yes",0,Scoring!$C$7)</f>
        <v>0.5</v>
      </c>
      <c r="Q456" s="8" t="n">
        <f aca="false">ROUND(SUM(M456:P456),2)</f>
        <v>5.6</v>
      </c>
      <c r="R456" s="8" t="str">
        <f aca="false">IF(Q456&gt;=Scoring!$C$10-0.000001,"Keep","Remove")</f>
        <v>Remove</v>
      </c>
      <c r="S456" s="8" t="s">
        <v>7243</v>
      </c>
    </row>
    <row r="457" customFormat="false" ht="15" hidden="false" customHeight="false" outlineLevel="0" collapsed="false">
      <c r="A457" s="8" t="s">
        <v>7696</v>
      </c>
      <c r="B457" s="8" t="s">
        <v>7697</v>
      </c>
      <c r="C457" s="8" t="s">
        <v>178</v>
      </c>
      <c r="D457" s="8" t="s">
        <v>3137</v>
      </c>
      <c r="E457" s="8"/>
      <c r="F457" s="8" t="s">
        <v>83</v>
      </c>
      <c r="G457" s="8" t="n">
        <v>3</v>
      </c>
      <c r="H457" s="13" t="n">
        <v>2</v>
      </c>
      <c r="I457" s="8" t="n">
        <v>3</v>
      </c>
      <c r="J457" s="20" t="s">
        <v>259</v>
      </c>
      <c r="K457" s="8"/>
      <c r="L457" s="20" t="s">
        <v>259</v>
      </c>
      <c r="M457" s="16" t="n">
        <f aca="false">H457*Scoring!$C$5</f>
        <v>2.6</v>
      </c>
      <c r="N457" s="16" t="n">
        <f aca="false">IF(I457&gt;=5,1,IF(I457=4,0.75,IF(I457=3,0.5,IF(I457=2,0.25,0))))*Scoring!$C$8</f>
        <v>0.5</v>
      </c>
      <c r="O457" s="16" t="n">
        <f aca="false">IF(J457="Yes",0,Scoring!$C$6)</f>
        <v>2</v>
      </c>
      <c r="P457" s="16" t="n">
        <f aca="false">IF(L457="Yes",0,Scoring!$C$7)</f>
        <v>0.5</v>
      </c>
      <c r="Q457" s="8" t="n">
        <f aca="false">ROUND(SUM(M457:P457),2)</f>
        <v>5.6</v>
      </c>
      <c r="R457" s="8" t="str">
        <f aca="false">IF(Q457&gt;=Scoring!$C$10-0.000001,"Keep","Remove")</f>
        <v>Remove</v>
      </c>
      <c r="S457" s="8" t="s">
        <v>7243</v>
      </c>
    </row>
    <row r="458" customFormat="false" ht="15" hidden="false" customHeight="false" outlineLevel="0" collapsed="false">
      <c r="A458" s="8" t="s">
        <v>7298</v>
      </c>
      <c r="B458" s="8" t="s">
        <v>7299</v>
      </c>
      <c r="C458" s="8" t="s">
        <v>178</v>
      </c>
      <c r="D458" s="8" t="s">
        <v>3137</v>
      </c>
      <c r="E458" s="8"/>
      <c r="F458" s="8" t="s">
        <v>81</v>
      </c>
      <c r="G458" s="8" t="n">
        <v>3</v>
      </c>
      <c r="H458" s="13" t="n">
        <v>2</v>
      </c>
      <c r="I458" s="8" t="n">
        <v>5</v>
      </c>
      <c r="J458" s="20" t="s">
        <v>259</v>
      </c>
      <c r="K458" s="8"/>
      <c r="L458" s="20" t="s">
        <v>259</v>
      </c>
      <c r="M458" s="16" t="n">
        <f aca="false">H458*Scoring!$C$5</f>
        <v>2.6</v>
      </c>
      <c r="N458" s="16" t="n">
        <f aca="false">IF(I458&gt;=5,1,IF(I458=4,0.75,IF(I458=3,0.5,IF(I458=2,0.25,0))))*Scoring!$C$8</f>
        <v>1</v>
      </c>
      <c r="O458" s="16" t="n">
        <f aca="false">IF(J458="Yes",0,Scoring!$C$6)</f>
        <v>2</v>
      </c>
      <c r="P458" s="16" t="n">
        <f aca="false">IF(L458="Yes",0,Scoring!$C$7)</f>
        <v>0.5</v>
      </c>
      <c r="Q458" s="8" t="n">
        <f aca="false">ROUND(SUM(M458:P458),2)</f>
        <v>6.1</v>
      </c>
      <c r="R458" s="8" t="str">
        <f aca="false">IF(Q458&gt;=Scoring!$C$10-0.000001,"Keep","Remove")</f>
        <v>Remove</v>
      </c>
      <c r="S458" s="8" t="s">
        <v>7243</v>
      </c>
    </row>
    <row r="459" customFormat="false" ht="15" hidden="false" customHeight="false" outlineLevel="0" collapsed="false">
      <c r="A459" s="8" t="s">
        <v>3307</v>
      </c>
      <c r="B459" s="8" t="s">
        <v>3308</v>
      </c>
      <c r="C459" s="8" t="s">
        <v>178</v>
      </c>
      <c r="D459" s="8" t="s">
        <v>3309</v>
      </c>
      <c r="E459" s="8"/>
      <c r="F459" s="8" t="s">
        <v>78</v>
      </c>
      <c r="G459" s="8" t="n">
        <v>1</v>
      </c>
      <c r="H459" s="13" t="n">
        <v>5</v>
      </c>
      <c r="I459" s="8" t="n">
        <v>6</v>
      </c>
      <c r="J459" s="20" t="s">
        <v>259</v>
      </c>
      <c r="K459" s="8"/>
      <c r="L459" s="20" t="s">
        <v>259</v>
      </c>
      <c r="M459" s="16" t="n">
        <f aca="false">H459*Scoring!$C$5</f>
        <v>6.5</v>
      </c>
      <c r="N459" s="16" t="n">
        <f aca="false">IF(I459&gt;=5,1,IF(I459=4,0.75,IF(I459=3,0.5,IF(I459=2,0.25,0))))*Scoring!$C$8</f>
        <v>1</v>
      </c>
      <c r="O459" s="16" t="n">
        <f aca="false">IF(J459="Yes",0,Scoring!$C$6)</f>
        <v>2</v>
      </c>
      <c r="P459" s="16" t="n">
        <f aca="false">IF(L459="Yes",0,Scoring!$C$7)</f>
        <v>0.5</v>
      </c>
      <c r="Q459" s="8" t="n">
        <f aca="false">ROUND(SUM(M459:P459),2)</f>
        <v>10</v>
      </c>
      <c r="R459" s="8" t="str">
        <f aca="false">IF(Q459&gt;=Scoring!$C$10-0.000001,"Keep","Remove")</f>
        <v>Keep</v>
      </c>
      <c r="S459" s="8" t="s">
        <v>166</v>
      </c>
    </row>
    <row r="460" customFormat="false" ht="15" hidden="false" customHeight="false" outlineLevel="0" collapsed="false">
      <c r="A460" s="8" t="s">
        <v>3316</v>
      </c>
      <c r="B460" s="8" t="s">
        <v>3317</v>
      </c>
      <c r="C460" s="8" t="s">
        <v>178</v>
      </c>
      <c r="D460" s="8" t="s">
        <v>3309</v>
      </c>
      <c r="E460" s="8"/>
      <c r="F460" s="8" t="s">
        <v>83</v>
      </c>
      <c r="G460" s="8" t="n">
        <v>1</v>
      </c>
      <c r="H460" s="13" t="n">
        <v>4</v>
      </c>
      <c r="I460" s="8" t="n">
        <v>4</v>
      </c>
      <c r="J460" s="20" t="s">
        <v>259</v>
      </c>
      <c r="K460" s="8"/>
      <c r="L460" s="20" t="s">
        <v>259</v>
      </c>
      <c r="M460" s="16" t="n">
        <f aca="false">H460*Scoring!$C$5</f>
        <v>5.2</v>
      </c>
      <c r="N460" s="16" t="n">
        <f aca="false">IF(I460&gt;=5,1,IF(I460=4,0.75,IF(I460=3,0.5,IF(I460=2,0.25,0))))*Scoring!$C$8</f>
        <v>0.75</v>
      </c>
      <c r="O460" s="16" t="n">
        <f aca="false">IF(J460="Yes",0,Scoring!$C$6)</f>
        <v>2</v>
      </c>
      <c r="P460" s="16" t="n">
        <f aca="false">IF(L460="Yes",0,Scoring!$C$7)</f>
        <v>0.5</v>
      </c>
      <c r="Q460" s="8" t="n">
        <f aca="false">ROUND(SUM(M460:P460),2)</f>
        <v>8.45</v>
      </c>
      <c r="R460" s="8" t="str">
        <f aca="false">IF(Q460&gt;=Scoring!$C$10-0.000001,"Keep","Remove")</f>
        <v>Keep</v>
      </c>
      <c r="S460" s="8" t="s">
        <v>166</v>
      </c>
    </row>
    <row r="461" customFormat="false" ht="15" hidden="false" customHeight="false" outlineLevel="0" collapsed="false">
      <c r="A461" s="8" t="s">
        <v>3326</v>
      </c>
      <c r="B461" s="8" t="s">
        <v>3327</v>
      </c>
      <c r="C461" s="8" t="s">
        <v>178</v>
      </c>
      <c r="D461" s="8" t="s">
        <v>3309</v>
      </c>
      <c r="E461" s="8"/>
      <c r="F461" s="8" t="s">
        <v>78</v>
      </c>
      <c r="G461" s="8" t="n">
        <v>1</v>
      </c>
      <c r="H461" s="13" t="n">
        <v>4</v>
      </c>
      <c r="I461" s="8" t="n">
        <v>6</v>
      </c>
      <c r="J461" s="20" t="s">
        <v>259</v>
      </c>
      <c r="K461" s="8"/>
      <c r="L461" s="20" t="s">
        <v>259</v>
      </c>
      <c r="M461" s="16" t="n">
        <f aca="false">H461*Scoring!$C$5</f>
        <v>5.2</v>
      </c>
      <c r="N461" s="16" t="n">
        <f aca="false">IF(I461&gt;=5,1,IF(I461=4,0.75,IF(I461=3,0.5,IF(I461=2,0.25,0))))*Scoring!$C$8</f>
        <v>1</v>
      </c>
      <c r="O461" s="16" t="n">
        <f aca="false">IF(J461="Yes",0,Scoring!$C$6)</f>
        <v>2</v>
      </c>
      <c r="P461" s="16" t="n">
        <f aca="false">IF(L461="Yes",0,Scoring!$C$7)</f>
        <v>0.5</v>
      </c>
      <c r="Q461" s="8" t="n">
        <f aca="false">ROUND(SUM(M461:P461),2)</f>
        <v>8.7</v>
      </c>
      <c r="R461" s="8" t="str">
        <f aca="false">IF(Q461&gt;=Scoring!$C$10-0.000001,"Keep","Remove")</f>
        <v>Keep</v>
      </c>
      <c r="S461" s="8" t="s">
        <v>166</v>
      </c>
    </row>
    <row r="462" customFormat="false" ht="15" hidden="false" customHeight="false" outlineLevel="0" collapsed="false">
      <c r="A462" s="8" t="s">
        <v>3335</v>
      </c>
      <c r="B462" s="8" t="s">
        <v>3336</v>
      </c>
      <c r="C462" s="8" t="s">
        <v>178</v>
      </c>
      <c r="D462" s="8" t="s">
        <v>3309</v>
      </c>
      <c r="E462" s="8"/>
      <c r="F462" s="8" t="s">
        <v>78</v>
      </c>
      <c r="G462" s="8" t="n">
        <v>2</v>
      </c>
      <c r="H462" s="13" t="n">
        <v>4</v>
      </c>
      <c r="I462" s="8" t="n">
        <v>5</v>
      </c>
      <c r="J462" s="20" t="s">
        <v>259</v>
      </c>
      <c r="K462" s="8"/>
      <c r="L462" s="20" t="s">
        <v>259</v>
      </c>
      <c r="M462" s="16" t="n">
        <f aca="false">H462*Scoring!$C$5</f>
        <v>5.2</v>
      </c>
      <c r="N462" s="16" t="n">
        <f aca="false">IF(I462&gt;=5,1,IF(I462=4,0.75,IF(I462=3,0.5,IF(I462=2,0.25,0))))*Scoring!$C$8</f>
        <v>1</v>
      </c>
      <c r="O462" s="16" t="n">
        <f aca="false">IF(J462="Yes",0,Scoring!$C$6)</f>
        <v>2</v>
      </c>
      <c r="P462" s="16" t="n">
        <f aca="false">IF(L462="Yes",0,Scoring!$C$7)</f>
        <v>0.5</v>
      </c>
      <c r="Q462" s="8" t="n">
        <f aca="false">ROUND(SUM(M462:P462),2)</f>
        <v>8.7</v>
      </c>
      <c r="R462" s="8" t="str">
        <f aca="false">IF(Q462&gt;=Scoring!$C$10-0.000001,"Keep","Remove")</f>
        <v>Keep</v>
      </c>
      <c r="S462" s="8" t="s">
        <v>166</v>
      </c>
    </row>
    <row r="463" customFormat="false" ht="15" hidden="false" customHeight="false" outlineLevel="0" collapsed="false">
      <c r="A463" s="8" t="s">
        <v>3341</v>
      </c>
      <c r="B463" s="8" t="s">
        <v>3342</v>
      </c>
      <c r="C463" s="8" t="s">
        <v>178</v>
      </c>
      <c r="D463" s="8" t="s">
        <v>3309</v>
      </c>
      <c r="E463" s="8"/>
      <c r="F463" s="8" t="s">
        <v>78</v>
      </c>
      <c r="G463" s="8" t="n">
        <v>1</v>
      </c>
      <c r="H463" s="13" t="n">
        <v>3</v>
      </c>
      <c r="I463" s="8" t="n">
        <v>6</v>
      </c>
      <c r="J463" s="20" t="s">
        <v>259</v>
      </c>
      <c r="K463" s="8"/>
      <c r="L463" s="20" t="s">
        <v>259</v>
      </c>
      <c r="M463" s="16" t="n">
        <f aca="false">H463*Scoring!$C$5</f>
        <v>3.9</v>
      </c>
      <c r="N463" s="16" t="n">
        <f aca="false">IF(I463&gt;=5,1,IF(I463=4,0.75,IF(I463=3,0.5,IF(I463=2,0.25,0))))*Scoring!$C$8</f>
        <v>1</v>
      </c>
      <c r="O463" s="16" t="n">
        <f aca="false">IF(J463="Yes",0,Scoring!$C$6)</f>
        <v>2</v>
      </c>
      <c r="P463" s="16" t="n">
        <f aca="false">IF(L463="Yes",0,Scoring!$C$7)</f>
        <v>0.5</v>
      </c>
      <c r="Q463" s="8" t="n">
        <f aca="false">ROUND(SUM(M463:P463),2)</f>
        <v>7.4</v>
      </c>
      <c r="R463" s="8" t="str">
        <f aca="false">IF(Q463&gt;=Scoring!$C$10-0.000001,"Keep","Remove")</f>
        <v>Keep</v>
      </c>
      <c r="S463" s="8" t="s">
        <v>166</v>
      </c>
    </row>
    <row r="464" customFormat="false" ht="15" hidden="false" customHeight="false" outlineLevel="0" collapsed="false">
      <c r="A464" s="8" t="s">
        <v>3349</v>
      </c>
      <c r="B464" s="8" t="s">
        <v>3350</v>
      </c>
      <c r="C464" s="8" t="s">
        <v>178</v>
      </c>
      <c r="D464" s="8" t="s">
        <v>3309</v>
      </c>
      <c r="E464" s="8"/>
      <c r="F464" s="8" t="s">
        <v>78</v>
      </c>
      <c r="G464" s="8" t="n">
        <v>2</v>
      </c>
      <c r="H464" s="13" t="n">
        <v>3</v>
      </c>
      <c r="I464" s="8" t="n">
        <v>5</v>
      </c>
      <c r="J464" s="20" t="s">
        <v>259</v>
      </c>
      <c r="K464" s="8"/>
      <c r="L464" s="20" t="s">
        <v>259</v>
      </c>
      <c r="M464" s="16" t="n">
        <f aca="false">H464*Scoring!$C$5</f>
        <v>3.9</v>
      </c>
      <c r="N464" s="16" t="n">
        <f aca="false">IF(I464&gt;=5,1,IF(I464=4,0.75,IF(I464=3,0.5,IF(I464=2,0.25,0))))*Scoring!$C$8</f>
        <v>1</v>
      </c>
      <c r="O464" s="16" t="n">
        <f aca="false">IF(J464="Yes",0,Scoring!$C$6)</f>
        <v>2</v>
      </c>
      <c r="P464" s="16" t="n">
        <f aca="false">IF(L464="Yes",0,Scoring!$C$7)</f>
        <v>0.5</v>
      </c>
      <c r="Q464" s="8" t="n">
        <f aca="false">ROUND(SUM(M464:P464),2)</f>
        <v>7.4</v>
      </c>
      <c r="R464" s="8" t="str">
        <f aca="false">IF(Q464&gt;=Scoring!$C$10-0.000001,"Keep","Remove")</f>
        <v>Keep</v>
      </c>
      <c r="S464" s="8" t="s">
        <v>166</v>
      </c>
    </row>
    <row r="465" customFormat="false" ht="15" hidden="false" customHeight="false" outlineLevel="0" collapsed="false">
      <c r="A465" s="8" t="s">
        <v>3360</v>
      </c>
      <c r="B465" s="8" t="s">
        <v>3361</v>
      </c>
      <c r="C465" s="8" t="s">
        <v>178</v>
      </c>
      <c r="D465" s="8" t="s">
        <v>3309</v>
      </c>
      <c r="E465" s="8"/>
      <c r="F465" s="8" t="s">
        <v>89</v>
      </c>
      <c r="G465" s="8" t="n">
        <v>1</v>
      </c>
      <c r="H465" s="13" t="n">
        <v>3</v>
      </c>
      <c r="I465" s="8" t="n">
        <v>5</v>
      </c>
      <c r="J465" s="20" t="s">
        <v>259</v>
      </c>
      <c r="K465" s="8"/>
      <c r="L465" s="20" t="s">
        <v>259</v>
      </c>
      <c r="M465" s="16" t="n">
        <f aca="false">H465*Scoring!$C$5</f>
        <v>3.9</v>
      </c>
      <c r="N465" s="16" t="n">
        <f aca="false">IF(I465&gt;=5,1,IF(I465=4,0.75,IF(I465=3,0.5,IF(I465=2,0.25,0))))*Scoring!$C$8</f>
        <v>1</v>
      </c>
      <c r="O465" s="16" t="n">
        <f aca="false">IF(J465="Yes",0,Scoring!$C$6)</f>
        <v>2</v>
      </c>
      <c r="P465" s="16" t="n">
        <f aca="false">IF(L465="Yes",0,Scoring!$C$7)</f>
        <v>0.5</v>
      </c>
      <c r="Q465" s="8" t="n">
        <f aca="false">ROUND(SUM(M465:P465),2)</f>
        <v>7.4</v>
      </c>
      <c r="R465" s="8" t="str">
        <f aca="false">IF(Q465&gt;=Scoring!$C$10-0.000001,"Keep","Remove")</f>
        <v>Keep</v>
      </c>
      <c r="S465" s="8" t="s">
        <v>166</v>
      </c>
    </row>
    <row r="466" customFormat="false" ht="15" hidden="false" customHeight="false" outlineLevel="0" collapsed="false">
      <c r="A466" s="8" t="s">
        <v>3369</v>
      </c>
      <c r="B466" s="8" t="s">
        <v>3370</v>
      </c>
      <c r="C466" s="8" t="s">
        <v>178</v>
      </c>
      <c r="D466" s="8" t="s">
        <v>3309</v>
      </c>
      <c r="E466" s="8"/>
      <c r="F466" s="8" t="s">
        <v>83</v>
      </c>
      <c r="G466" s="8" t="n">
        <v>1</v>
      </c>
      <c r="H466" s="13" t="n">
        <v>3</v>
      </c>
      <c r="I466" s="8" t="n">
        <v>6</v>
      </c>
      <c r="J466" s="20" t="s">
        <v>259</v>
      </c>
      <c r="K466" s="8"/>
      <c r="L466" s="20" t="s">
        <v>259</v>
      </c>
      <c r="M466" s="16" t="n">
        <f aca="false">H466*Scoring!$C$5</f>
        <v>3.9</v>
      </c>
      <c r="N466" s="16" t="n">
        <f aca="false">IF(I466&gt;=5,1,IF(I466=4,0.75,IF(I466=3,0.5,IF(I466=2,0.25,0))))*Scoring!$C$8</f>
        <v>1</v>
      </c>
      <c r="O466" s="16" t="n">
        <f aca="false">IF(J466="Yes",0,Scoring!$C$6)</f>
        <v>2</v>
      </c>
      <c r="P466" s="16" t="n">
        <f aca="false">IF(L466="Yes",0,Scoring!$C$7)</f>
        <v>0.5</v>
      </c>
      <c r="Q466" s="8" t="n">
        <f aca="false">ROUND(SUM(M466:P466),2)</f>
        <v>7.4</v>
      </c>
      <c r="R466" s="8" t="str">
        <f aca="false">IF(Q466&gt;=Scoring!$C$10-0.000001,"Keep","Remove")</f>
        <v>Keep</v>
      </c>
      <c r="S466" s="8" t="s">
        <v>166</v>
      </c>
    </row>
    <row r="467" customFormat="false" ht="15" hidden="false" customHeight="false" outlineLevel="0" collapsed="false">
      <c r="A467" s="8" t="s">
        <v>3377</v>
      </c>
      <c r="B467" s="8" t="s">
        <v>3378</v>
      </c>
      <c r="C467" s="8" t="s">
        <v>178</v>
      </c>
      <c r="D467" s="8" t="s">
        <v>3309</v>
      </c>
      <c r="E467" s="8"/>
      <c r="F467" s="8" t="s">
        <v>78</v>
      </c>
      <c r="G467" s="8" t="n">
        <v>1</v>
      </c>
      <c r="H467" s="13" t="n">
        <v>3</v>
      </c>
      <c r="I467" s="8" t="n">
        <v>4</v>
      </c>
      <c r="J467" s="20" t="s">
        <v>259</v>
      </c>
      <c r="K467" s="8"/>
      <c r="L467" s="20" t="s">
        <v>259</v>
      </c>
      <c r="M467" s="16" t="n">
        <f aca="false">H467*Scoring!$C$5</f>
        <v>3.9</v>
      </c>
      <c r="N467" s="16" t="n">
        <f aca="false">IF(I467&gt;=5,1,IF(I467=4,0.75,IF(I467=3,0.5,IF(I467=2,0.25,0))))*Scoring!$C$8</f>
        <v>0.75</v>
      </c>
      <c r="O467" s="16" t="n">
        <f aca="false">IF(J467="Yes",0,Scoring!$C$6)</f>
        <v>2</v>
      </c>
      <c r="P467" s="16" t="n">
        <f aca="false">IF(L467="Yes",0,Scoring!$C$7)</f>
        <v>0.5</v>
      </c>
      <c r="Q467" s="8" t="n">
        <f aca="false">ROUND(SUM(M467:P467),2)</f>
        <v>7.15</v>
      </c>
      <c r="R467" s="8" t="str">
        <f aca="false">IF(Q467&gt;=Scoring!$C$10-0.000001,"Keep","Remove")</f>
        <v>Keep</v>
      </c>
      <c r="S467" s="8" t="s">
        <v>166</v>
      </c>
    </row>
    <row r="468" customFormat="false" ht="15" hidden="false" customHeight="false" outlineLevel="0" collapsed="false">
      <c r="A468" s="8" t="s">
        <v>3385</v>
      </c>
      <c r="B468" s="8" t="s">
        <v>3386</v>
      </c>
      <c r="C468" s="8" t="s">
        <v>178</v>
      </c>
      <c r="D468" s="8" t="s">
        <v>3309</v>
      </c>
      <c r="E468" s="8"/>
      <c r="F468" s="8" t="s">
        <v>85</v>
      </c>
      <c r="G468" s="8" t="n">
        <v>2</v>
      </c>
      <c r="H468" s="13" t="n">
        <v>3</v>
      </c>
      <c r="I468" s="8" t="n">
        <v>4</v>
      </c>
      <c r="J468" s="20" t="s">
        <v>259</v>
      </c>
      <c r="K468" s="8"/>
      <c r="L468" s="20" t="s">
        <v>259</v>
      </c>
      <c r="M468" s="16" t="n">
        <f aca="false">H468*Scoring!$C$5</f>
        <v>3.9</v>
      </c>
      <c r="N468" s="16" t="n">
        <f aca="false">IF(I468&gt;=5,1,IF(I468=4,0.75,IF(I468=3,0.5,IF(I468=2,0.25,0))))*Scoring!$C$8</f>
        <v>0.75</v>
      </c>
      <c r="O468" s="16" t="n">
        <f aca="false">IF(J468="Yes",0,Scoring!$C$6)</f>
        <v>2</v>
      </c>
      <c r="P468" s="16" t="n">
        <f aca="false">IF(L468="Yes",0,Scoring!$C$7)</f>
        <v>0.5</v>
      </c>
      <c r="Q468" s="8" t="n">
        <f aca="false">ROUND(SUM(M468:P468),2)</f>
        <v>7.15</v>
      </c>
      <c r="R468" s="8" t="str">
        <f aca="false">IF(Q468&gt;=Scoring!$C$10-0.000001,"Keep","Remove")</f>
        <v>Keep</v>
      </c>
      <c r="S468" s="8" t="s">
        <v>166</v>
      </c>
    </row>
    <row r="469" customFormat="false" ht="15" hidden="false" customHeight="false" outlineLevel="0" collapsed="false">
      <c r="A469" s="8" t="s">
        <v>3392</v>
      </c>
      <c r="B469" s="8" t="s">
        <v>3393</v>
      </c>
      <c r="C469" s="8" t="s">
        <v>178</v>
      </c>
      <c r="D469" s="8" t="s">
        <v>3309</v>
      </c>
      <c r="E469" s="8"/>
      <c r="F469" s="8" t="s">
        <v>80</v>
      </c>
      <c r="G469" s="8" t="n">
        <v>1</v>
      </c>
      <c r="H469" s="13" t="n">
        <v>4</v>
      </c>
      <c r="I469" s="8" t="n">
        <v>4</v>
      </c>
      <c r="J469" s="20" t="s">
        <v>259</v>
      </c>
      <c r="K469" s="8"/>
      <c r="L469" s="20" t="s">
        <v>259</v>
      </c>
      <c r="M469" s="16" t="n">
        <f aca="false">H469*Scoring!$C$5</f>
        <v>5.2</v>
      </c>
      <c r="N469" s="16" t="n">
        <f aca="false">IF(I469&gt;=5,1,IF(I469=4,0.75,IF(I469=3,0.5,IF(I469=2,0.25,0))))*Scoring!$C$8</f>
        <v>0.75</v>
      </c>
      <c r="O469" s="16" t="n">
        <f aca="false">IF(J469="Yes",0,Scoring!$C$6)</f>
        <v>2</v>
      </c>
      <c r="P469" s="16" t="n">
        <f aca="false">IF(L469="Yes",0,Scoring!$C$7)</f>
        <v>0.5</v>
      </c>
      <c r="Q469" s="8" t="n">
        <f aca="false">ROUND(SUM(M469:P469),2)</f>
        <v>8.45</v>
      </c>
      <c r="R469" s="8" t="str">
        <f aca="false">IF(Q469&gt;=Scoring!$C$10-0.000001,"Keep","Remove")</f>
        <v>Keep</v>
      </c>
      <c r="S469" s="8" t="s">
        <v>166</v>
      </c>
    </row>
    <row r="470" customFormat="false" ht="15" hidden="false" customHeight="false" outlineLevel="0" collapsed="false">
      <c r="A470" s="8" t="s">
        <v>3401</v>
      </c>
      <c r="B470" s="8" t="s">
        <v>3402</v>
      </c>
      <c r="C470" s="8" t="s">
        <v>178</v>
      </c>
      <c r="D470" s="8" t="s">
        <v>3309</v>
      </c>
      <c r="E470" s="8"/>
      <c r="F470" s="8" t="s">
        <v>83</v>
      </c>
      <c r="G470" s="8" t="n">
        <v>2</v>
      </c>
      <c r="H470" s="13" t="n">
        <v>3</v>
      </c>
      <c r="I470" s="8" t="n">
        <v>6</v>
      </c>
      <c r="J470" s="20" t="s">
        <v>259</v>
      </c>
      <c r="K470" s="8"/>
      <c r="L470" s="20" t="s">
        <v>259</v>
      </c>
      <c r="M470" s="16" t="n">
        <f aca="false">H470*Scoring!$C$5</f>
        <v>3.9</v>
      </c>
      <c r="N470" s="16" t="n">
        <f aca="false">IF(I470&gt;=5,1,IF(I470=4,0.75,IF(I470=3,0.5,IF(I470=2,0.25,0))))*Scoring!$C$8</f>
        <v>1</v>
      </c>
      <c r="O470" s="16" t="n">
        <f aca="false">IF(J470="Yes",0,Scoring!$C$6)</f>
        <v>2</v>
      </c>
      <c r="P470" s="16" t="n">
        <f aca="false">IF(L470="Yes",0,Scoring!$C$7)</f>
        <v>0.5</v>
      </c>
      <c r="Q470" s="8" t="n">
        <f aca="false">ROUND(SUM(M470:P470),2)</f>
        <v>7.4</v>
      </c>
      <c r="R470" s="8" t="str">
        <f aca="false">IF(Q470&gt;=Scoring!$C$10-0.000001,"Keep","Remove")</f>
        <v>Keep</v>
      </c>
      <c r="S470" s="8" t="s">
        <v>166</v>
      </c>
    </row>
    <row r="471" customFormat="false" ht="15" hidden="false" customHeight="false" outlineLevel="0" collapsed="false">
      <c r="A471" s="8" t="s">
        <v>3413</v>
      </c>
      <c r="B471" s="8" t="s">
        <v>3414</v>
      </c>
      <c r="C471" s="8" t="s">
        <v>178</v>
      </c>
      <c r="D471" s="8" t="s">
        <v>3309</v>
      </c>
      <c r="E471" s="8"/>
      <c r="F471" s="8" t="s">
        <v>89</v>
      </c>
      <c r="G471" s="8" t="n">
        <v>2</v>
      </c>
      <c r="H471" s="13" t="n">
        <v>3</v>
      </c>
      <c r="I471" s="8" t="n">
        <v>6</v>
      </c>
      <c r="J471" s="20" t="s">
        <v>259</v>
      </c>
      <c r="K471" s="8"/>
      <c r="L471" s="20" t="s">
        <v>259</v>
      </c>
      <c r="M471" s="16" t="n">
        <f aca="false">H471*Scoring!$C$5</f>
        <v>3.9</v>
      </c>
      <c r="N471" s="16" t="n">
        <f aca="false">IF(I471&gt;=5,1,IF(I471=4,0.75,IF(I471=3,0.5,IF(I471=2,0.25,0))))*Scoring!$C$8</f>
        <v>1</v>
      </c>
      <c r="O471" s="16" t="n">
        <f aca="false">IF(J471="Yes",0,Scoring!$C$6)</f>
        <v>2</v>
      </c>
      <c r="P471" s="16" t="n">
        <f aca="false">IF(L471="Yes",0,Scoring!$C$7)</f>
        <v>0.5</v>
      </c>
      <c r="Q471" s="8" t="n">
        <f aca="false">ROUND(SUM(M471:P471),2)</f>
        <v>7.4</v>
      </c>
      <c r="R471" s="8" t="str">
        <f aca="false">IF(Q471&gt;=Scoring!$C$10-0.000001,"Keep","Remove")</f>
        <v>Keep</v>
      </c>
      <c r="S471" s="8" t="s">
        <v>166</v>
      </c>
    </row>
    <row r="472" customFormat="false" ht="15" hidden="false" customHeight="false" outlineLevel="0" collapsed="false">
      <c r="A472" s="8" t="s">
        <v>3422</v>
      </c>
      <c r="B472" s="8" t="s">
        <v>3423</v>
      </c>
      <c r="C472" s="8" t="s">
        <v>178</v>
      </c>
      <c r="D472" s="8" t="s">
        <v>3309</v>
      </c>
      <c r="E472" s="8"/>
      <c r="F472" s="8" t="s">
        <v>78</v>
      </c>
      <c r="G472" s="8" t="n">
        <v>2</v>
      </c>
      <c r="H472" s="13" t="n">
        <v>3</v>
      </c>
      <c r="I472" s="8" t="n">
        <v>4</v>
      </c>
      <c r="J472" s="20" t="s">
        <v>259</v>
      </c>
      <c r="K472" s="8"/>
      <c r="L472" s="20" t="s">
        <v>259</v>
      </c>
      <c r="M472" s="16" t="n">
        <f aca="false">H472*Scoring!$C$5</f>
        <v>3.9</v>
      </c>
      <c r="N472" s="16" t="n">
        <f aca="false">IF(I472&gt;=5,1,IF(I472=4,0.75,IF(I472=3,0.5,IF(I472=2,0.25,0))))*Scoring!$C$8</f>
        <v>0.75</v>
      </c>
      <c r="O472" s="16" t="n">
        <f aca="false">IF(J472="Yes",0,Scoring!$C$6)</f>
        <v>2</v>
      </c>
      <c r="P472" s="16" t="n">
        <f aca="false">IF(L472="Yes",0,Scoring!$C$7)</f>
        <v>0.5</v>
      </c>
      <c r="Q472" s="8" t="n">
        <f aca="false">ROUND(SUM(M472:P472),2)</f>
        <v>7.15</v>
      </c>
      <c r="R472" s="8" t="str">
        <f aca="false">IF(Q472&gt;=Scoring!$C$10-0.000001,"Keep","Remove")</f>
        <v>Keep</v>
      </c>
      <c r="S472" s="8" t="s">
        <v>166</v>
      </c>
    </row>
    <row r="473" customFormat="false" ht="15" hidden="false" customHeight="false" outlineLevel="0" collapsed="false">
      <c r="A473" s="8" t="s">
        <v>7486</v>
      </c>
      <c r="B473" s="8" t="s">
        <v>7487</v>
      </c>
      <c r="C473" s="8" t="s">
        <v>178</v>
      </c>
      <c r="D473" s="8" t="s">
        <v>3309</v>
      </c>
      <c r="E473" s="8"/>
      <c r="F473" s="8" t="s">
        <v>78</v>
      </c>
      <c r="G473" s="8" t="n">
        <v>3</v>
      </c>
      <c r="H473" s="13" t="n">
        <v>2</v>
      </c>
      <c r="I473" s="8" t="n">
        <v>4</v>
      </c>
      <c r="J473" s="20" t="s">
        <v>259</v>
      </c>
      <c r="K473" s="8"/>
      <c r="L473" s="20" t="s">
        <v>259</v>
      </c>
      <c r="M473" s="16" t="n">
        <f aca="false">H473*Scoring!$C$5</f>
        <v>2.6</v>
      </c>
      <c r="N473" s="16" t="n">
        <f aca="false">IF(I473&gt;=5,1,IF(I473=4,0.75,IF(I473=3,0.5,IF(I473=2,0.25,0))))*Scoring!$C$8</f>
        <v>0.75</v>
      </c>
      <c r="O473" s="16" t="n">
        <f aca="false">IF(J473="Yes",0,Scoring!$C$6)</f>
        <v>2</v>
      </c>
      <c r="P473" s="16" t="n">
        <f aca="false">IF(L473="Yes",0,Scoring!$C$7)</f>
        <v>0.5</v>
      </c>
      <c r="Q473" s="8" t="n">
        <f aca="false">ROUND(SUM(M473:P473),2)</f>
        <v>5.85</v>
      </c>
      <c r="R473" s="8" t="str">
        <f aca="false">IF(Q473&gt;=Scoring!$C$10-0.000001,"Keep","Remove")</f>
        <v>Remove</v>
      </c>
      <c r="S473" s="8" t="s">
        <v>7243</v>
      </c>
    </row>
    <row r="474" customFormat="false" ht="15" hidden="false" customHeight="false" outlineLevel="0" collapsed="false">
      <c r="A474" s="8" t="s">
        <v>7300</v>
      </c>
      <c r="B474" s="8" t="s">
        <v>7301</v>
      </c>
      <c r="C474" s="8" t="s">
        <v>178</v>
      </c>
      <c r="D474" s="8" t="s">
        <v>3309</v>
      </c>
      <c r="E474" s="8"/>
      <c r="F474" s="8" t="s">
        <v>83</v>
      </c>
      <c r="G474" s="8" t="n">
        <v>3</v>
      </c>
      <c r="H474" s="13" t="n">
        <v>2</v>
      </c>
      <c r="I474" s="8" t="n">
        <v>5</v>
      </c>
      <c r="J474" s="20" t="s">
        <v>259</v>
      </c>
      <c r="K474" s="8"/>
      <c r="L474" s="20" t="s">
        <v>259</v>
      </c>
      <c r="M474" s="16" t="n">
        <f aca="false">H474*Scoring!$C$5</f>
        <v>2.6</v>
      </c>
      <c r="N474" s="16" t="n">
        <f aca="false">IF(I474&gt;=5,1,IF(I474=4,0.75,IF(I474=3,0.5,IF(I474=2,0.25,0))))*Scoring!$C$8</f>
        <v>1</v>
      </c>
      <c r="O474" s="16" t="n">
        <f aca="false">IF(J474="Yes",0,Scoring!$C$6)</f>
        <v>2</v>
      </c>
      <c r="P474" s="16" t="n">
        <f aca="false">IF(L474="Yes",0,Scoring!$C$7)</f>
        <v>0.5</v>
      </c>
      <c r="Q474" s="8" t="n">
        <f aca="false">ROUND(SUM(M474:P474),2)</f>
        <v>6.1</v>
      </c>
      <c r="R474" s="8" t="str">
        <f aca="false">IF(Q474&gt;=Scoring!$C$10-0.000001,"Keep","Remove")</f>
        <v>Remove</v>
      </c>
      <c r="S474" s="8" t="s">
        <v>7243</v>
      </c>
    </row>
    <row r="475" customFormat="false" ht="15" hidden="false" customHeight="false" outlineLevel="0" collapsed="false">
      <c r="A475" s="8" t="s">
        <v>7698</v>
      </c>
      <c r="B475" s="8" t="s">
        <v>7699</v>
      </c>
      <c r="C475" s="8" t="s">
        <v>178</v>
      </c>
      <c r="D475" s="8" t="s">
        <v>3309</v>
      </c>
      <c r="E475" s="8"/>
      <c r="F475" s="8" t="s">
        <v>81</v>
      </c>
      <c r="G475" s="8" t="n">
        <v>3</v>
      </c>
      <c r="H475" s="13" t="n">
        <v>2</v>
      </c>
      <c r="I475" s="8" t="n">
        <v>3</v>
      </c>
      <c r="J475" s="20" t="s">
        <v>259</v>
      </c>
      <c r="K475" s="8"/>
      <c r="L475" s="20" t="s">
        <v>259</v>
      </c>
      <c r="M475" s="16" t="n">
        <f aca="false">H475*Scoring!$C$5</f>
        <v>2.6</v>
      </c>
      <c r="N475" s="16" t="n">
        <f aca="false">IF(I475&gt;=5,1,IF(I475=4,0.75,IF(I475=3,0.5,IF(I475=2,0.25,0))))*Scoring!$C$8</f>
        <v>0.5</v>
      </c>
      <c r="O475" s="16" t="n">
        <f aca="false">IF(J475="Yes",0,Scoring!$C$6)</f>
        <v>2</v>
      </c>
      <c r="P475" s="16" t="n">
        <f aca="false">IF(L475="Yes",0,Scoring!$C$7)</f>
        <v>0.5</v>
      </c>
      <c r="Q475" s="8" t="n">
        <f aca="false">ROUND(SUM(M475:P475),2)</f>
        <v>5.6</v>
      </c>
      <c r="R475" s="8" t="str">
        <f aca="false">IF(Q475&gt;=Scoring!$C$10-0.000001,"Keep","Remove")</f>
        <v>Remove</v>
      </c>
      <c r="S475" s="8" t="s">
        <v>7243</v>
      </c>
    </row>
    <row r="476" customFormat="false" ht="15" hidden="false" customHeight="false" outlineLevel="0" collapsed="false">
      <c r="A476" s="8" t="s">
        <v>7488</v>
      </c>
      <c r="B476" s="8" t="s">
        <v>7489</v>
      </c>
      <c r="C476" s="8" t="s">
        <v>178</v>
      </c>
      <c r="D476" s="8" t="s">
        <v>3309</v>
      </c>
      <c r="E476" s="8"/>
      <c r="F476" s="8" t="s">
        <v>79</v>
      </c>
      <c r="G476" s="8" t="n">
        <v>3</v>
      </c>
      <c r="H476" s="13" t="n">
        <v>2</v>
      </c>
      <c r="I476" s="8" t="n">
        <v>4</v>
      </c>
      <c r="J476" s="20" t="s">
        <v>259</v>
      </c>
      <c r="K476" s="8"/>
      <c r="L476" s="20" t="s">
        <v>259</v>
      </c>
      <c r="M476" s="16" t="n">
        <f aca="false">H476*Scoring!$C$5</f>
        <v>2.6</v>
      </c>
      <c r="N476" s="16" t="n">
        <f aca="false">IF(I476&gt;=5,1,IF(I476=4,0.75,IF(I476=3,0.5,IF(I476=2,0.25,0))))*Scoring!$C$8</f>
        <v>0.75</v>
      </c>
      <c r="O476" s="16" t="n">
        <f aca="false">IF(J476="Yes",0,Scoring!$C$6)</f>
        <v>2</v>
      </c>
      <c r="P476" s="16" t="n">
        <f aca="false">IF(L476="Yes",0,Scoring!$C$7)</f>
        <v>0.5</v>
      </c>
      <c r="Q476" s="8" t="n">
        <f aca="false">ROUND(SUM(M476:P476),2)</f>
        <v>5.85</v>
      </c>
      <c r="R476" s="8" t="str">
        <f aca="false">IF(Q476&gt;=Scoring!$C$10-0.000001,"Keep","Remove")</f>
        <v>Remove</v>
      </c>
      <c r="S476" s="8" t="s">
        <v>7243</v>
      </c>
    </row>
    <row r="477" customFormat="false" ht="15" hidden="false" customHeight="false" outlineLevel="0" collapsed="false">
      <c r="A477" s="8" t="s">
        <v>3433</v>
      </c>
      <c r="B477" s="8" t="s">
        <v>3434</v>
      </c>
      <c r="C477" s="8" t="s">
        <v>178</v>
      </c>
      <c r="D477" s="8" t="s">
        <v>3435</v>
      </c>
      <c r="E477" s="8"/>
      <c r="F477" s="8" t="s">
        <v>83</v>
      </c>
      <c r="G477" s="8" t="n">
        <v>1</v>
      </c>
      <c r="H477" s="13" t="n">
        <v>4</v>
      </c>
      <c r="I477" s="8" t="n">
        <v>6</v>
      </c>
      <c r="J477" s="20" t="s">
        <v>259</v>
      </c>
      <c r="K477" s="8"/>
      <c r="L477" s="20" t="s">
        <v>259</v>
      </c>
      <c r="M477" s="16" t="n">
        <f aca="false">H477*Scoring!$C$5</f>
        <v>5.2</v>
      </c>
      <c r="N477" s="16" t="n">
        <f aca="false">IF(I477&gt;=5,1,IF(I477=4,0.75,IF(I477=3,0.5,IF(I477=2,0.25,0))))*Scoring!$C$8</f>
        <v>1</v>
      </c>
      <c r="O477" s="16" t="n">
        <f aca="false">IF(J477="Yes",0,Scoring!$C$6)</f>
        <v>2</v>
      </c>
      <c r="P477" s="16" t="n">
        <f aca="false">IF(L477="Yes",0,Scoring!$C$7)</f>
        <v>0.5</v>
      </c>
      <c r="Q477" s="8" t="n">
        <f aca="false">ROUND(SUM(M477:P477),2)</f>
        <v>8.7</v>
      </c>
      <c r="R477" s="8" t="str">
        <f aca="false">IF(Q477&gt;=Scoring!$C$10-0.000001,"Keep","Remove")</f>
        <v>Keep</v>
      </c>
      <c r="S477" s="8" t="s">
        <v>166</v>
      </c>
    </row>
    <row r="478" customFormat="false" ht="15" hidden="false" customHeight="false" outlineLevel="0" collapsed="false">
      <c r="A478" s="8" t="s">
        <v>3442</v>
      </c>
      <c r="B478" s="8" t="s">
        <v>3443</v>
      </c>
      <c r="C478" s="8" t="s">
        <v>178</v>
      </c>
      <c r="D478" s="8" t="s">
        <v>3435</v>
      </c>
      <c r="E478" s="8"/>
      <c r="F478" s="8" t="s">
        <v>81</v>
      </c>
      <c r="G478" s="8" t="n">
        <v>1</v>
      </c>
      <c r="H478" s="13" t="n">
        <v>4</v>
      </c>
      <c r="I478" s="8" t="n">
        <v>5</v>
      </c>
      <c r="J478" s="20" t="s">
        <v>259</v>
      </c>
      <c r="K478" s="8"/>
      <c r="L478" s="20" t="s">
        <v>259</v>
      </c>
      <c r="M478" s="16" t="n">
        <f aca="false">H478*Scoring!$C$5</f>
        <v>5.2</v>
      </c>
      <c r="N478" s="16" t="n">
        <f aca="false">IF(I478&gt;=5,1,IF(I478=4,0.75,IF(I478=3,0.5,IF(I478=2,0.25,0))))*Scoring!$C$8</f>
        <v>1</v>
      </c>
      <c r="O478" s="16" t="n">
        <f aca="false">IF(J478="Yes",0,Scoring!$C$6)</f>
        <v>2</v>
      </c>
      <c r="P478" s="16" t="n">
        <f aca="false">IF(L478="Yes",0,Scoring!$C$7)</f>
        <v>0.5</v>
      </c>
      <c r="Q478" s="8" t="n">
        <f aca="false">ROUND(SUM(M478:P478),2)</f>
        <v>8.7</v>
      </c>
      <c r="R478" s="8" t="str">
        <f aca="false">IF(Q478&gt;=Scoring!$C$10-0.000001,"Keep","Remove")</f>
        <v>Keep</v>
      </c>
      <c r="S478" s="8" t="s">
        <v>166</v>
      </c>
    </row>
    <row r="479" customFormat="false" ht="15" hidden="false" customHeight="false" outlineLevel="0" collapsed="false">
      <c r="A479" s="8" t="s">
        <v>3451</v>
      </c>
      <c r="B479" s="8" t="s">
        <v>3452</v>
      </c>
      <c r="C479" s="8" t="s">
        <v>178</v>
      </c>
      <c r="D479" s="8" t="s">
        <v>3435</v>
      </c>
      <c r="E479" s="8"/>
      <c r="F479" s="8" t="s">
        <v>78</v>
      </c>
      <c r="G479" s="8" t="n">
        <v>1</v>
      </c>
      <c r="H479" s="13" t="n">
        <v>4</v>
      </c>
      <c r="I479" s="8" t="n">
        <v>5</v>
      </c>
      <c r="J479" s="20" t="s">
        <v>259</v>
      </c>
      <c r="K479" s="8"/>
      <c r="L479" s="20" t="s">
        <v>259</v>
      </c>
      <c r="M479" s="16" t="n">
        <f aca="false">H479*Scoring!$C$5</f>
        <v>5.2</v>
      </c>
      <c r="N479" s="16" t="n">
        <f aca="false">IF(I479&gt;=5,1,IF(I479=4,0.75,IF(I479=3,0.5,IF(I479=2,0.25,0))))*Scoring!$C$8</f>
        <v>1</v>
      </c>
      <c r="O479" s="16" t="n">
        <f aca="false">IF(J479="Yes",0,Scoring!$C$6)</f>
        <v>2</v>
      </c>
      <c r="P479" s="16" t="n">
        <f aca="false">IF(L479="Yes",0,Scoring!$C$7)</f>
        <v>0.5</v>
      </c>
      <c r="Q479" s="8" t="n">
        <f aca="false">ROUND(SUM(M479:P479),2)</f>
        <v>8.7</v>
      </c>
      <c r="R479" s="8" t="str">
        <f aca="false">IF(Q479&gt;=Scoring!$C$10-0.000001,"Keep","Remove")</f>
        <v>Keep</v>
      </c>
      <c r="S479" s="8" t="s">
        <v>166</v>
      </c>
    </row>
    <row r="480" customFormat="false" ht="15" hidden="false" customHeight="false" outlineLevel="0" collapsed="false">
      <c r="A480" s="8" t="s">
        <v>3461</v>
      </c>
      <c r="B480" s="8" t="s">
        <v>3462</v>
      </c>
      <c r="C480" s="8" t="s">
        <v>178</v>
      </c>
      <c r="D480" s="8" t="s">
        <v>3435</v>
      </c>
      <c r="E480" s="8"/>
      <c r="F480" s="8" t="s">
        <v>79</v>
      </c>
      <c r="G480" s="8" t="n">
        <v>1</v>
      </c>
      <c r="H480" s="13" t="n">
        <v>4</v>
      </c>
      <c r="I480" s="8" t="n">
        <v>6</v>
      </c>
      <c r="J480" s="20" t="s">
        <v>259</v>
      </c>
      <c r="K480" s="8"/>
      <c r="L480" s="20" t="s">
        <v>259</v>
      </c>
      <c r="M480" s="16" t="n">
        <f aca="false">H480*Scoring!$C$5</f>
        <v>5.2</v>
      </c>
      <c r="N480" s="16" t="n">
        <f aca="false">IF(I480&gt;=5,1,IF(I480=4,0.75,IF(I480=3,0.5,IF(I480=2,0.25,0))))*Scoring!$C$8</f>
        <v>1</v>
      </c>
      <c r="O480" s="16" t="n">
        <f aca="false">IF(J480="Yes",0,Scoring!$C$6)</f>
        <v>2</v>
      </c>
      <c r="P480" s="16" t="n">
        <f aca="false">IF(L480="Yes",0,Scoring!$C$7)</f>
        <v>0.5</v>
      </c>
      <c r="Q480" s="8" t="n">
        <f aca="false">ROUND(SUM(M480:P480),2)</f>
        <v>8.7</v>
      </c>
      <c r="R480" s="8" t="str">
        <f aca="false">IF(Q480&gt;=Scoring!$C$10-0.000001,"Keep","Remove")</f>
        <v>Keep</v>
      </c>
      <c r="S480" s="8" t="s">
        <v>166</v>
      </c>
    </row>
    <row r="481" customFormat="false" ht="15" hidden="false" customHeight="false" outlineLevel="0" collapsed="false">
      <c r="A481" s="8" t="s">
        <v>3473</v>
      </c>
      <c r="B481" s="8" t="s">
        <v>3474</v>
      </c>
      <c r="C481" s="8" t="s">
        <v>178</v>
      </c>
      <c r="D481" s="8" t="s">
        <v>3435</v>
      </c>
      <c r="E481" s="8"/>
      <c r="F481" s="8" t="s">
        <v>79</v>
      </c>
      <c r="G481" s="8" t="n">
        <v>2</v>
      </c>
      <c r="H481" s="13" t="n">
        <v>3</v>
      </c>
      <c r="I481" s="8" t="n">
        <v>5</v>
      </c>
      <c r="J481" s="20" t="s">
        <v>259</v>
      </c>
      <c r="K481" s="8"/>
      <c r="L481" s="20" t="s">
        <v>259</v>
      </c>
      <c r="M481" s="16" t="n">
        <f aca="false">H481*Scoring!$C$5</f>
        <v>3.9</v>
      </c>
      <c r="N481" s="16" t="n">
        <f aca="false">IF(I481&gt;=5,1,IF(I481=4,0.75,IF(I481=3,0.5,IF(I481=2,0.25,0))))*Scoring!$C$8</f>
        <v>1</v>
      </c>
      <c r="O481" s="16" t="n">
        <f aca="false">IF(J481="Yes",0,Scoring!$C$6)</f>
        <v>2</v>
      </c>
      <c r="P481" s="16" t="n">
        <f aca="false">IF(L481="Yes",0,Scoring!$C$7)</f>
        <v>0.5</v>
      </c>
      <c r="Q481" s="8" t="n">
        <f aca="false">ROUND(SUM(M481:P481),2)</f>
        <v>7.4</v>
      </c>
      <c r="R481" s="8" t="str">
        <f aca="false">IF(Q481&gt;=Scoring!$C$10-0.000001,"Keep","Remove")</f>
        <v>Keep</v>
      </c>
      <c r="S481" s="8" t="s">
        <v>166</v>
      </c>
    </row>
    <row r="482" customFormat="false" ht="15" hidden="false" customHeight="false" outlineLevel="0" collapsed="false">
      <c r="A482" s="8" t="s">
        <v>3480</v>
      </c>
      <c r="B482" s="8" t="s">
        <v>3481</v>
      </c>
      <c r="C482" s="8" t="s">
        <v>178</v>
      </c>
      <c r="D482" s="8" t="s">
        <v>3435</v>
      </c>
      <c r="E482" s="8"/>
      <c r="F482" s="8" t="s">
        <v>83</v>
      </c>
      <c r="G482" s="8" t="n">
        <v>2</v>
      </c>
      <c r="H482" s="13" t="n">
        <v>3</v>
      </c>
      <c r="I482" s="8" t="n">
        <v>6</v>
      </c>
      <c r="J482" s="20" t="s">
        <v>259</v>
      </c>
      <c r="K482" s="8"/>
      <c r="L482" s="20" t="s">
        <v>259</v>
      </c>
      <c r="M482" s="16" t="n">
        <f aca="false">H482*Scoring!$C$5</f>
        <v>3.9</v>
      </c>
      <c r="N482" s="16" t="n">
        <f aca="false">IF(I482&gt;=5,1,IF(I482=4,0.75,IF(I482=3,0.5,IF(I482=2,0.25,0))))*Scoring!$C$8</f>
        <v>1</v>
      </c>
      <c r="O482" s="16" t="n">
        <f aca="false">IF(J482="Yes",0,Scoring!$C$6)</f>
        <v>2</v>
      </c>
      <c r="P482" s="16" t="n">
        <f aca="false">IF(L482="Yes",0,Scoring!$C$7)</f>
        <v>0.5</v>
      </c>
      <c r="Q482" s="8" t="n">
        <f aca="false">ROUND(SUM(M482:P482),2)</f>
        <v>7.4</v>
      </c>
      <c r="R482" s="8" t="str">
        <f aca="false">IF(Q482&gt;=Scoring!$C$10-0.000001,"Keep","Remove")</f>
        <v>Keep</v>
      </c>
      <c r="S482" s="8" t="s">
        <v>166</v>
      </c>
    </row>
    <row r="483" customFormat="false" ht="15" hidden="false" customHeight="false" outlineLevel="0" collapsed="false">
      <c r="A483" s="8" t="s">
        <v>3489</v>
      </c>
      <c r="B483" s="8" t="s">
        <v>3490</v>
      </c>
      <c r="C483" s="8" t="s">
        <v>178</v>
      </c>
      <c r="D483" s="8" t="s">
        <v>3435</v>
      </c>
      <c r="E483" s="8"/>
      <c r="F483" s="8" t="s">
        <v>85</v>
      </c>
      <c r="G483" s="8" t="n">
        <v>2</v>
      </c>
      <c r="H483" s="13" t="n">
        <v>3</v>
      </c>
      <c r="I483" s="8" t="n">
        <v>5</v>
      </c>
      <c r="J483" s="20" t="s">
        <v>259</v>
      </c>
      <c r="K483" s="8"/>
      <c r="L483" s="20" t="s">
        <v>259</v>
      </c>
      <c r="M483" s="16" t="n">
        <f aca="false">H483*Scoring!$C$5</f>
        <v>3.9</v>
      </c>
      <c r="N483" s="16" t="n">
        <f aca="false">IF(I483&gt;=5,1,IF(I483=4,0.75,IF(I483=3,0.5,IF(I483=2,0.25,0))))*Scoring!$C$8</f>
        <v>1</v>
      </c>
      <c r="O483" s="16" t="n">
        <f aca="false">IF(J483="Yes",0,Scoring!$C$6)</f>
        <v>2</v>
      </c>
      <c r="P483" s="16" t="n">
        <f aca="false">IF(L483="Yes",0,Scoring!$C$7)</f>
        <v>0.5</v>
      </c>
      <c r="Q483" s="8" t="n">
        <f aca="false">ROUND(SUM(M483:P483),2)</f>
        <v>7.4</v>
      </c>
      <c r="R483" s="8" t="str">
        <f aca="false">IF(Q483&gt;=Scoring!$C$10-0.000001,"Keep","Remove")</f>
        <v>Keep</v>
      </c>
      <c r="S483" s="8" t="s">
        <v>166</v>
      </c>
    </row>
    <row r="484" customFormat="false" ht="15" hidden="false" customHeight="false" outlineLevel="0" collapsed="false">
      <c r="A484" s="8" t="s">
        <v>3498</v>
      </c>
      <c r="B484" s="8" t="s">
        <v>3499</v>
      </c>
      <c r="C484" s="8" t="s">
        <v>178</v>
      </c>
      <c r="D484" s="8" t="s">
        <v>3435</v>
      </c>
      <c r="E484" s="8"/>
      <c r="F484" s="8" t="s">
        <v>78</v>
      </c>
      <c r="G484" s="8" t="n">
        <v>2</v>
      </c>
      <c r="H484" s="13" t="n">
        <v>3</v>
      </c>
      <c r="I484" s="8" t="n">
        <v>4</v>
      </c>
      <c r="J484" s="20" t="s">
        <v>259</v>
      </c>
      <c r="K484" s="8"/>
      <c r="L484" s="20" t="s">
        <v>259</v>
      </c>
      <c r="M484" s="16" t="n">
        <f aca="false">H484*Scoring!$C$5</f>
        <v>3.9</v>
      </c>
      <c r="N484" s="16" t="n">
        <f aca="false">IF(I484&gt;=5,1,IF(I484=4,0.75,IF(I484=3,0.5,IF(I484=2,0.25,0))))*Scoring!$C$8</f>
        <v>0.75</v>
      </c>
      <c r="O484" s="16" t="n">
        <f aca="false">IF(J484="Yes",0,Scoring!$C$6)</f>
        <v>2</v>
      </c>
      <c r="P484" s="16" t="n">
        <f aca="false">IF(L484="Yes",0,Scoring!$C$7)</f>
        <v>0.5</v>
      </c>
      <c r="Q484" s="8" t="n">
        <f aca="false">ROUND(SUM(M484:P484),2)</f>
        <v>7.15</v>
      </c>
      <c r="R484" s="8" t="str">
        <f aca="false">IF(Q484&gt;=Scoring!$C$10-0.000001,"Keep","Remove")</f>
        <v>Keep</v>
      </c>
      <c r="S484" s="8" t="s">
        <v>166</v>
      </c>
    </row>
    <row r="485" customFormat="false" ht="15" hidden="false" customHeight="false" outlineLevel="0" collapsed="false">
      <c r="A485" s="8" t="s">
        <v>7302</v>
      </c>
      <c r="B485" s="8" t="s">
        <v>7303</v>
      </c>
      <c r="C485" s="8" t="s">
        <v>178</v>
      </c>
      <c r="D485" s="8" t="s">
        <v>3435</v>
      </c>
      <c r="E485" s="8"/>
      <c r="F485" s="8" t="s">
        <v>78</v>
      </c>
      <c r="G485" s="8" t="n">
        <v>3</v>
      </c>
      <c r="H485" s="13" t="n">
        <v>2</v>
      </c>
      <c r="I485" s="8" t="n">
        <v>5</v>
      </c>
      <c r="J485" s="20" t="s">
        <v>259</v>
      </c>
      <c r="K485" s="8"/>
      <c r="L485" s="20" t="s">
        <v>259</v>
      </c>
      <c r="M485" s="16" t="n">
        <f aca="false">H485*Scoring!$C$5</f>
        <v>2.6</v>
      </c>
      <c r="N485" s="16" t="n">
        <f aca="false">IF(I485&gt;=5,1,IF(I485=4,0.75,IF(I485=3,0.5,IF(I485=2,0.25,0))))*Scoring!$C$8</f>
        <v>1</v>
      </c>
      <c r="O485" s="16" t="n">
        <f aca="false">IF(J485="Yes",0,Scoring!$C$6)</f>
        <v>2</v>
      </c>
      <c r="P485" s="16" t="n">
        <f aca="false">IF(L485="Yes",0,Scoring!$C$7)</f>
        <v>0.5</v>
      </c>
      <c r="Q485" s="8" t="n">
        <f aca="false">ROUND(SUM(M485:P485),2)</f>
        <v>6.1</v>
      </c>
      <c r="R485" s="8" t="str">
        <f aca="false">IF(Q485&gt;=Scoring!$C$10-0.000001,"Keep","Remove")</f>
        <v>Remove</v>
      </c>
      <c r="S485" s="8" t="s">
        <v>7243</v>
      </c>
    </row>
    <row r="486" customFormat="false" ht="15" hidden="false" customHeight="false" outlineLevel="0" collapsed="false">
      <c r="A486" s="8" t="s">
        <v>7490</v>
      </c>
      <c r="B486" s="8" t="s">
        <v>7491</v>
      </c>
      <c r="C486" s="8" t="s">
        <v>178</v>
      </c>
      <c r="D486" s="8" t="s">
        <v>3435</v>
      </c>
      <c r="E486" s="8"/>
      <c r="F486" s="8" t="s">
        <v>78</v>
      </c>
      <c r="G486" s="8" t="n">
        <v>3</v>
      </c>
      <c r="H486" s="13" t="n">
        <v>2</v>
      </c>
      <c r="I486" s="8" t="n">
        <v>4</v>
      </c>
      <c r="J486" s="20" t="s">
        <v>259</v>
      </c>
      <c r="K486" s="8"/>
      <c r="L486" s="20" t="s">
        <v>259</v>
      </c>
      <c r="M486" s="16" t="n">
        <f aca="false">H486*Scoring!$C$5</f>
        <v>2.6</v>
      </c>
      <c r="N486" s="16" t="n">
        <f aca="false">IF(I486&gt;=5,1,IF(I486=4,0.75,IF(I486=3,0.5,IF(I486=2,0.25,0))))*Scoring!$C$8</f>
        <v>0.75</v>
      </c>
      <c r="O486" s="16" t="n">
        <f aca="false">IF(J486="Yes",0,Scoring!$C$6)</f>
        <v>2</v>
      </c>
      <c r="P486" s="16" t="n">
        <f aca="false">IF(L486="Yes",0,Scoring!$C$7)</f>
        <v>0.5</v>
      </c>
      <c r="Q486" s="8" t="n">
        <f aca="false">ROUND(SUM(M486:P486),2)</f>
        <v>5.85</v>
      </c>
      <c r="R486" s="8" t="str">
        <f aca="false">IF(Q486&gt;=Scoring!$C$10-0.000001,"Keep","Remove")</f>
        <v>Remove</v>
      </c>
      <c r="S486" s="8" t="s">
        <v>7243</v>
      </c>
    </row>
    <row r="487" customFormat="false" ht="15" hidden="false" customHeight="false" outlineLevel="0" collapsed="false">
      <c r="A487" s="8" t="s">
        <v>7304</v>
      </c>
      <c r="B487" s="8" t="s">
        <v>7305</v>
      </c>
      <c r="C487" s="8" t="s">
        <v>178</v>
      </c>
      <c r="D487" s="8" t="s">
        <v>3435</v>
      </c>
      <c r="E487" s="8"/>
      <c r="F487" s="8" t="s">
        <v>83</v>
      </c>
      <c r="G487" s="8" t="n">
        <v>3</v>
      </c>
      <c r="H487" s="13" t="n">
        <v>2</v>
      </c>
      <c r="I487" s="8" t="n">
        <v>5</v>
      </c>
      <c r="J487" s="20" t="s">
        <v>259</v>
      </c>
      <c r="K487" s="8"/>
      <c r="L487" s="20" t="s">
        <v>259</v>
      </c>
      <c r="M487" s="16" t="n">
        <f aca="false">H487*Scoring!$C$5</f>
        <v>2.6</v>
      </c>
      <c r="N487" s="16" t="n">
        <f aca="false">IF(I487&gt;=5,1,IF(I487=4,0.75,IF(I487=3,0.5,IF(I487=2,0.25,0))))*Scoring!$C$8</f>
        <v>1</v>
      </c>
      <c r="O487" s="16" t="n">
        <f aca="false">IF(J487="Yes",0,Scoring!$C$6)</f>
        <v>2</v>
      </c>
      <c r="P487" s="16" t="n">
        <f aca="false">IF(L487="Yes",0,Scoring!$C$7)</f>
        <v>0.5</v>
      </c>
      <c r="Q487" s="8" t="n">
        <f aca="false">ROUND(SUM(M487:P487),2)</f>
        <v>6.1</v>
      </c>
      <c r="R487" s="8" t="str">
        <f aca="false">IF(Q487&gt;=Scoring!$C$10-0.000001,"Keep","Remove")</f>
        <v>Remove</v>
      </c>
      <c r="S487" s="8" t="s">
        <v>7243</v>
      </c>
    </row>
    <row r="488" customFormat="false" ht="15" hidden="false" customHeight="false" outlineLevel="0" collapsed="false">
      <c r="A488" s="8" t="s">
        <v>3506</v>
      </c>
      <c r="B488" s="8" t="s">
        <v>3507</v>
      </c>
      <c r="C488" s="8" t="s">
        <v>178</v>
      </c>
      <c r="D488" s="8" t="s">
        <v>3508</v>
      </c>
      <c r="E488" s="8"/>
      <c r="F488" s="8" t="s">
        <v>85</v>
      </c>
      <c r="G488" s="8" t="n">
        <v>1</v>
      </c>
      <c r="H488" s="13" t="n">
        <v>3</v>
      </c>
      <c r="I488" s="8" t="n">
        <v>6</v>
      </c>
      <c r="J488" s="20" t="s">
        <v>259</v>
      </c>
      <c r="K488" s="8"/>
      <c r="L488" s="20" t="s">
        <v>259</v>
      </c>
      <c r="M488" s="16" t="n">
        <f aca="false">H488*Scoring!$C$5</f>
        <v>3.9</v>
      </c>
      <c r="N488" s="16" t="n">
        <f aca="false">IF(I488&gt;=5,1,IF(I488=4,0.75,IF(I488=3,0.5,IF(I488=2,0.25,0))))*Scoring!$C$8</f>
        <v>1</v>
      </c>
      <c r="O488" s="16" t="n">
        <f aca="false">IF(J488="Yes",0,Scoring!$C$6)</f>
        <v>2</v>
      </c>
      <c r="P488" s="16" t="n">
        <f aca="false">IF(L488="Yes",0,Scoring!$C$7)</f>
        <v>0.5</v>
      </c>
      <c r="Q488" s="8" t="n">
        <f aca="false">ROUND(SUM(M488:P488),2)</f>
        <v>7.4</v>
      </c>
      <c r="R488" s="8" t="str">
        <f aca="false">IF(Q488&gt;=Scoring!$C$10-0.000001,"Keep","Remove")</f>
        <v>Keep</v>
      </c>
      <c r="S488" s="8" t="s">
        <v>166</v>
      </c>
    </row>
    <row r="489" customFormat="false" ht="15" hidden="false" customHeight="false" outlineLevel="0" collapsed="false">
      <c r="A489" s="8" t="s">
        <v>3518</v>
      </c>
      <c r="B489" s="8" t="s">
        <v>3519</v>
      </c>
      <c r="C489" s="8" t="s">
        <v>178</v>
      </c>
      <c r="D489" s="8" t="s">
        <v>3508</v>
      </c>
      <c r="E489" s="8"/>
      <c r="F489" s="8" t="s">
        <v>78</v>
      </c>
      <c r="G489" s="8" t="n">
        <v>1</v>
      </c>
      <c r="H489" s="13" t="n">
        <v>4</v>
      </c>
      <c r="I489" s="8" t="n">
        <v>6</v>
      </c>
      <c r="J489" s="20" t="s">
        <v>259</v>
      </c>
      <c r="K489" s="8"/>
      <c r="L489" s="20" t="s">
        <v>259</v>
      </c>
      <c r="M489" s="16" t="n">
        <f aca="false">H489*Scoring!$C$5</f>
        <v>5.2</v>
      </c>
      <c r="N489" s="16" t="n">
        <f aca="false">IF(I489&gt;=5,1,IF(I489=4,0.75,IF(I489=3,0.5,IF(I489=2,0.25,0))))*Scoring!$C$8</f>
        <v>1</v>
      </c>
      <c r="O489" s="16" t="n">
        <f aca="false">IF(J489="Yes",0,Scoring!$C$6)</f>
        <v>2</v>
      </c>
      <c r="P489" s="16" t="n">
        <f aca="false">IF(L489="Yes",0,Scoring!$C$7)</f>
        <v>0.5</v>
      </c>
      <c r="Q489" s="8" t="n">
        <f aca="false">ROUND(SUM(M489:P489),2)</f>
        <v>8.7</v>
      </c>
      <c r="R489" s="8" t="str">
        <f aca="false">IF(Q489&gt;=Scoring!$C$10-0.000001,"Keep","Remove")</f>
        <v>Keep</v>
      </c>
      <c r="S489" s="8" t="s">
        <v>166</v>
      </c>
    </row>
    <row r="490" customFormat="false" ht="15" hidden="false" customHeight="false" outlineLevel="0" collapsed="false">
      <c r="A490" s="8" t="s">
        <v>3528</v>
      </c>
      <c r="B490" s="8" t="s">
        <v>3529</v>
      </c>
      <c r="C490" s="8" t="s">
        <v>178</v>
      </c>
      <c r="D490" s="8" t="s">
        <v>3508</v>
      </c>
      <c r="E490" s="8"/>
      <c r="F490" s="8" t="s">
        <v>83</v>
      </c>
      <c r="G490" s="8" t="n">
        <v>1</v>
      </c>
      <c r="H490" s="13" t="n">
        <v>3</v>
      </c>
      <c r="I490" s="8" t="n">
        <v>5</v>
      </c>
      <c r="J490" s="20" t="s">
        <v>259</v>
      </c>
      <c r="K490" s="8"/>
      <c r="L490" s="20" t="s">
        <v>259</v>
      </c>
      <c r="M490" s="16" t="n">
        <f aca="false">H490*Scoring!$C$5</f>
        <v>3.9</v>
      </c>
      <c r="N490" s="16" t="n">
        <f aca="false">IF(I490&gt;=5,1,IF(I490=4,0.75,IF(I490=3,0.5,IF(I490=2,0.25,0))))*Scoring!$C$8</f>
        <v>1</v>
      </c>
      <c r="O490" s="16" t="n">
        <f aca="false">IF(J490="Yes",0,Scoring!$C$6)</f>
        <v>2</v>
      </c>
      <c r="P490" s="16" t="n">
        <f aca="false">IF(L490="Yes",0,Scoring!$C$7)</f>
        <v>0.5</v>
      </c>
      <c r="Q490" s="8" t="n">
        <f aca="false">ROUND(SUM(M490:P490),2)</f>
        <v>7.4</v>
      </c>
      <c r="R490" s="8" t="str">
        <f aca="false">IF(Q490&gt;=Scoring!$C$10-0.000001,"Keep","Remove")</f>
        <v>Keep</v>
      </c>
      <c r="S490" s="8" t="s">
        <v>166</v>
      </c>
    </row>
    <row r="491" customFormat="false" ht="15" hidden="false" customHeight="false" outlineLevel="0" collapsed="false">
      <c r="A491" s="8" t="s">
        <v>7762</v>
      </c>
      <c r="B491" s="8" t="s">
        <v>7763</v>
      </c>
      <c r="C491" s="8" t="s">
        <v>178</v>
      </c>
      <c r="D491" s="8" t="s">
        <v>3508</v>
      </c>
      <c r="E491" s="8"/>
      <c r="F491" s="8" t="s">
        <v>83</v>
      </c>
      <c r="G491" s="8" t="n">
        <v>2</v>
      </c>
      <c r="H491" s="13" t="n">
        <v>3</v>
      </c>
      <c r="I491" s="8" t="n">
        <v>6</v>
      </c>
      <c r="J491" s="20" t="s">
        <v>218</v>
      </c>
      <c r="K491" s="8" t="s">
        <v>8174</v>
      </c>
      <c r="L491" s="20" t="s">
        <v>259</v>
      </c>
      <c r="M491" s="16" t="n">
        <f aca="false">H491*Scoring!$C$5</f>
        <v>3.9</v>
      </c>
      <c r="N491" s="16" t="n">
        <f aca="false">IF(I491&gt;=5,1,IF(I491=4,0.75,IF(I491=3,0.5,IF(I491=2,0.25,0))))*Scoring!$C$8</f>
        <v>1</v>
      </c>
      <c r="O491" s="16" t="n">
        <f aca="false">IF(J491="Yes",0,Scoring!$C$6)</f>
        <v>0</v>
      </c>
      <c r="P491" s="16" t="n">
        <f aca="false">IF(L491="Yes",0,Scoring!$C$7)</f>
        <v>0.5</v>
      </c>
      <c r="Q491" s="8" t="n">
        <f aca="false">ROUND(SUM(M491:P491),2)</f>
        <v>5.4</v>
      </c>
      <c r="R491" s="8" t="str">
        <f aca="false">IF(Q491&gt;=Scoring!$C$10-0.000001,"Keep","Remove")</f>
        <v>Remove</v>
      </c>
      <c r="S491" s="8" t="s">
        <v>7764</v>
      </c>
    </row>
    <row r="492" customFormat="false" ht="15" hidden="false" customHeight="false" outlineLevel="0" collapsed="false">
      <c r="A492" s="8" t="s">
        <v>3537</v>
      </c>
      <c r="B492" s="8" t="s">
        <v>3538</v>
      </c>
      <c r="C492" s="8" t="s">
        <v>178</v>
      </c>
      <c r="D492" s="8" t="s">
        <v>3508</v>
      </c>
      <c r="E492" s="8"/>
      <c r="F492" s="8" t="s">
        <v>82</v>
      </c>
      <c r="G492" s="8" t="n">
        <v>1</v>
      </c>
      <c r="H492" s="13" t="n">
        <v>3</v>
      </c>
      <c r="I492" s="8" t="n">
        <v>4</v>
      </c>
      <c r="J492" s="20" t="s">
        <v>259</v>
      </c>
      <c r="K492" s="8"/>
      <c r="L492" s="20" t="s">
        <v>259</v>
      </c>
      <c r="M492" s="16" t="n">
        <f aca="false">H492*Scoring!$C$5</f>
        <v>3.9</v>
      </c>
      <c r="N492" s="16" t="n">
        <f aca="false">IF(I492&gt;=5,1,IF(I492=4,0.75,IF(I492=3,0.5,IF(I492=2,0.25,0))))*Scoring!$C$8</f>
        <v>0.75</v>
      </c>
      <c r="O492" s="16" t="n">
        <f aca="false">IF(J492="Yes",0,Scoring!$C$6)</f>
        <v>2</v>
      </c>
      <c r="P492" s="16" t="n">
        <f aca="false">IF(L492="Yes",0,Scoring!$C$7)</f>
        <v>0.5</v>
      </c>
      <c r="Q492" s="8" t="n">
        <f aca="false">ROUND(SUM(M492:P492),2)</f>
        <v>7.15</v>
      </c>
      <c r="R492" s="8" t="str">
        <f aca="false">IF(Q492&gt;=Scoring!$C$10-0.000001,"Keep","Remove")</f>
        <v>Keep</v>
      </c>
      <c r="S492" s="8" t="s">
        <v>166</v>
      </c>
    </row>
    <row r="493" customFormat="false" ht="15" hidden="false" customHeight="false" outlineLevel="0" collapsed="false">
      <c r="A493" s="8" t="s">
        <v>3545</v>
      </c>
      <c r="B493" s="8" t="s">
        <v>3546</v>
      </c>
      <c r="C493" s="8" t="s">
        <v>178</v>
      </c>
      <c r="D493" s="8" t="s">
        <v>3547</v>
      </c>
      <c r="E493" s="8"/>
      <c r="F493" s="8" t="s">
        <v>81</v>
      </c>
      <c r="G493" s="8" t="n">
        <v>1</v>
      </c>
      <c r="H493" s="13" t="n">
        <v>4</v>
      </c>
      <c r="I493" s="8" t="n">
        <v>4</v>
      </c>
      <c r="J493" s="20" t="s">
        <v>259</v>
      </c>
      <c r="K493" s="8"/>
      <c r="L493" s="20" t="s">
        <v>259</v>
      </c>
      <c r="M493" s="16" t="n">
        <f aca="false">H493*Scoring!$C$5</f>
        <v>5.2</v>
      </c>
      <c r="N493" s="16" t="n">
        <f aca="false">IF(I493&gt;=5,1,IF(I493=4,0.75,IF(I493=3,0.5,IF(I493=2,0.25,0))))*Scoring!$C$8</f>
        <v>0.75</v>
      </c>
      <c r="O493" s="16" t="n">
        <f aca="false">IF(J493="Yes",0,Scoring!$C$6)</f>
        <v>2</v>
      </c>
      <c r="P493" s="16" t="n">
        <f aca="false">IF(L493="Yes",0,Scoring!$C$7)</f>
        <v>0.5</v>
      </c>
      <c r="Q493" s="8" t="n">
        <f aca="false">ROUND(SUM(M493:P493),2)</f>
        <v>8.45</v>
      </c>
      <c r="R493" s="8" t="str">
        <f aca="false">IF(Q493&gt;=Scoring!$C$10-0.000001,"Keep","Remove")</f>
        <v>Keep</v>
      </c>
      <c r="S493" s="8" t="s">
        <v>166</v>
      </c>
    </row>
    <row r="494" customFormat="false" ht="15" hidden="false" customHeight="false" outlineLevel="0" collapsed="false">
      <c r="A494" s="8" t="s">
        <v>3553</v>
      </c>
      <c r="B494" s="8" t="s">
        <v>3554</v>
      </c>
      <c r="C494" s="8" t="s">
        <v>178</v>
      </c>
      <c r="D494" s="8" t="s">
        <v>3547</v>
      </c>
      <c r="E494" s="8"/>
      <c r="F494" s="8" t="s">
        <v>78</v>
      </c>
      <c r="G494" s="8" t="n">
        <v>1</v>
      </c>
      <c r="H494" s="13" t="n">
        <v>3</v>
      </c>
      <c r="I494" s="8" t="n">
        <v>5</v>
      </c>
      <c r="J494" s="20" t="s">
        <v>259</v>
      </c>
      <c r="K494" s="8"/>
      <c r="L494" s="20" t="s">
        <v>259</v>
      </c>
      <c r="M494" s="16" t="n">
        <f aca="false">H494*Scoring!$C$5</f>
        <v>3.9</v>
      </c>
      <c r="N494" s="16" t="n">
        <f aca="false">IF(I494&gt;=5,1,IF(I494=4,0.75,IF(I494=3,0.5,IF(I494=2,0.25,0))))*Scoring!$C$8</f>
        <v>1</v>
      </c>
      <c r="O494" s="16" t="n">
        <f aca="false">IF(J494="Yes",0,Scoring!$C$6)</f>
        <v>2</v>
      </c>
      <c r="P494" s="16" t="n">
        <f aca="false">IF(L494="Yes",0,Scoring!$C$7)</f>
        <v>0.5</v>
      </c>
      <c r="Q494" s="8" t="n">
        <f aca="false">ROUND(SUM(M494:P494),2)</f>
        <v>7.4</v>
      </c>
      <c r="R494" s="8" t="str">
        <f aca="false">IF(Q494&gt;=Scoring!$C$10-0.000001,"Keep","Remove")</f>
        <v>Keep</v>
      </c>
      <c r="S494" s="8" t="s">
        <v>166</v>
      </c>
    </row>
    <row r="495" customFormat="false" ht="15" hidden="false" customHeight="false" outlineLevel="0" collapsed="false">
      <c r="A495" s="8" t="s">
        <v>3565</v>
      </c>
      <c r="B495" s="8" t="s">
        <v>3566</v>
      </c>
      <c r="C495" s="8" t="s">
        <v>178</v>
      </c>
      <c r="D495" s="8" t="s">
        <v>3547</v>
      </c>
      <c r="E495" s="8"/>
      <c r="F495" s="8" t="s">
        <v>85</v>
      </c>
      <c r="G495" s="8" t="n">
        <v>1</v>
      </c>
      <c r="H495" s="13" t="n">
        <v>4</v>
      </c>
      <c r="I495" s="8" t="n">
        <v>5</v>
      </c>
      <c r="J495" s="20" t="s">
        <v>259</v>
      </c>
      <c r="K495" s="8"/>
      <c r="L495" s="20" t="s">
        <v>259</v>
      </c>
      <c r="M495" s="16" t="n">
        <f aca="false">H495*Scoring!$C$5</f>
        <v>5.2</v>
      </c>
      <c r="N495" s="16" t="n">
        <f aca="false">IF(I495&gt;=5,1,IF(I495=4,0.75,IF(I495=3,0.5,IF(I495=2,0.25,0))))*Scoring!$C$8</f>
        <v>1</v>
      </c>
      <c r="O495" s="16" t="n">
        <f aca="false">IF(J495="Yes",0,Scoring!$C$6)</f>
        <v>2</v>
      </c>
      <c r="P495" s="16" t="n">
        <f aca="false">IF(L495="Yes",0,Scoring!$C$7)</f>
        <v>0.5</v>
      </c>
      <c r="Q495" s="8" t="n">
        <f aca="false">ROUND(SUM(M495:P495),2)</f>
        <v>8.7</v>
      </c>
      <c r="R495" s="8" t="str">
        <f aca="false">IF(Q495&gt;=Scoring!$C$10-0.000001,"Keep","Remove")</f>
        <v>Keep</v>
      </c>
      <c r="S495" s="8" t="s">
        <v>166</v>
      </c>
    </row>
    <row r="496" customFormat="false" ht="15" hidden="false" customHeight="false" outlineLevel="0" collapsed="false">
      <c r="A496" s="8" t="s">
        <v>3572</v>
      </c>
      <c r="B496" s="8" t="s">
        <v>3573</v>
      </c>
      <c r="C496" s="8" t="s">
        <v>178</v>
      </c>
      <c r="D496" s="8" t="s">
        <v>3547</v>
      </c>
      <c r="E496" s="8"/>
      <c r="F496" s="8" t="s">
        <v>78</v>
      </c>
      <c r="G496" s="8" t="n">
        <v>2</v>
      </c>
      <c r="H496" s="13" t="n">
        <v>3</v>
      </c>
      <c r="I496" s="8" t="n">
        <v>5</v>
      </c>
      <c r="J496" s="20" t="s">
        <v>259</v>
      </c>
      <c r="K496" s="8"/>
      <c r="L496" s="20" t="s">
        <v>259</v>
      </c>
      <c r="M496" s="16" t="n">
        <f aca="false">H496*Scoring!$C$5</f>
        <v>3.9</v>
      </c>
      <c r="N496" s="16" t="n">
        <f aca="false">IF(I496&gt;=5,1,IF(I496=4,0.75,IF(I496=3,0.5,IF(I496=2,0.25,0))))*Scoring!$C$8</f>
        <v>1</v>
      </c>
      <c r="O496" s="16" t="n">
        <f aca="false">IF(J496="Yes",0,Scoring!$C$6)</f>
        <v>2</v>
      </c>
      <c r="P496" s="16" t="n">
        <f aca="false">IF(L496="Yes",0,Scoring!$C$7)</f>
        <v>0.5</v>
      </c>
      <c r="Q496" s="8" t="n">
        <f aca="false">ROUND(SUM(M496:P496),2)</f>
        <v>7.4</v>
      </c>
      <c r="R496" s="8" t="str">
        <f aca="false">IF(Q496&gt;=Scoring!$C$10-0.000001,"Keep","Remove")</f>
        <v>Keep</v>
      </c>
      <c r="S496" s="8" t="s">
        <v>166</v>
      </c>
    </row>
    <row r="497" customFormat="false" ht="15" hidden="false" customHeight="false" outlineLevel="0" collapsed="false">
      <c r="A497" s="8" t="s">
        <v>3580</v>
      </c>
      <c r="B497" s="8" t="s">
        <v>3581</v>
      </c>
      <c r="C497" s="8" t="s">
        <v>178</v>
      </c>
      <c r="D497" s="8" t="s">
        <v>3547</v>
      </c>
      <c r="E497" s="8"/>
      <c r="F497" s="8" t="s">
        <v>89</v>
      </c>
      <c r="G497" s="8" t="n">
        <v>1</v>
      </c>
      <c r="H497" s="13" t="n">
        <v>4</v>
      </c>
      <c r="I497" s="8" t="n">
        <v>6</v>
      </c>
      <c r="J497" s="20" t="s">
        <v>259</v>
      </c>
      <c r="K497" s="8"/>
      <c r="L497" s="20" t="s">
        <v>259</v>
      </c>
      <c r="M497" s="16" t="n">
        <f aca="false">H497*Scoring!$C$5</f>
        <v>5.2</v>
      </c>
      <c r="N497" s="16" t="n">
        <f aca="false">IF(I497&gt;=5,1,IF(I497=4,0.75,IF(I497=3,0.5,IF(I497=2,0.25,0))))*Scoring!$C$8</f>
        <v>1</v>
      </c>
      <c r="O497" s="16" t="n">
        <f aca="false">IF(J497="Yes",0,Scoring!$C$6)</f>
        <v>2</v>
      </c>
      <c r="P497" s="16" t="n">
        <f aca="false">IF(L497="Yes",0,Scoring!$C$7)</f>
        <v>0.5</v>
      </c>
      <c r="Q497" s="8" t="n">
        <f aca="false">ROUND(SUM(M497:P497),2)</f>
        <v>8.7</v>
      </c>
      <c r="R497" s="8" t="str">
        <f aca="false">IF(Q497&gt;=Scoring!$C$10-0.000001,"Keep","Remove")</f>
        <v>Keep</v>
      </c>
      <c r="S497" s="8" t="s">
        <v>166</v>
      </c>
    </row>
    <row r="498" customFormat="false" ht="15" hidden="false" customHeight="false" outlineLevel="0" collapsed="false">
      <c r="A498" s="8" t="s">
        <v>3587</v>
      </c>
      <c r="B498" s="8" t="s">
        <v>3588</v>
      </c>
      <c r="C498" s="8" t="s">
        <v>178</v>
      </c>
      <c r="D498" s="8" t="s">
        <v>3547</v>
      </c>
      <c r="E498" s="8"/>
      <c r="F498" s="8" t="s">
        <v>83</v>
      </c>
      <c r="G498" s="8" t="n">
        <v>2</v>
      </c>
      <c r="H498" s="13" t="n">
        <v>3</v>
      </c>
      <c r="I498" s="8" t="n">
        <v>5</v>
      </c>
      <c r="J498" s="20" t="s">
        <v>259</v>
      </c>
      <c r="K498" s="8"/>
      <c r="L498" s="20" t="s">
        <v>259</v>
      </c>
      <c r="M498" s="16" t="n">
        <f aca="false">H498*Scoring!$C$5</f>
        <v>3.9</v>
      </c>
      <c r="N498" s="16" t="n">
        <f aca="false">IF(I498&gt;=5,1,IF(I498=4,0.75,IF(I498=3,0.5,IF(I498=2,0.25,0))))*Scoring!$C$8</f>
        <v>1</v>
      </c>
      <c r="O498" s="16" t="n">
        <f aca="false">IF(J498="Yes",0,Scoring!$C$6)</f>
        <v>2</v>
      </c>
      <c r="P498" s="16" t="n">
        <f aca="false">IF(L498="Yes",0,Scoring!$C$7)</f>
        <v>0.5</v>
      </c>
      <c r="Q498" s="8" t="n">
        <f aca="false">ROUND(SUM(M498:P498),2)</f>
        <v>7.4</v>
      </c>
      <c r="R498" s="8" t="str">
        <f aca="false">IF(Q498&gt;=Scoring!$C$10-0.000001,"Keep","Remove")</f>
        <v>Keep</v>
      </c>
      <c r="S498" s="8" t="s">
        <v>166</v>
      </c>
    </row>
    <row r="499" customFormat="false" ht="15" hidden="false" customHeight="false" outlineLevel="0" collapsed="false">
      <c r="A499" s="8" t="s">
        <v>7306</v>
      </c>
      <c r="B499" s="8" t="s">
        <v>7307</v>
      </c>
      <c r="C499" s="8" t="s">
        <v>178</v>
      </c>
      <c r="D499" s="8" t="s">
        <v>3547</v>
      </c>
      <c r="E499" s="8"/>
      <c r="F499" s="8" t="s">
        <v>78</v>
      </c>
      <c r="G499" s="8" t="n">
        <v>3</v>
      </c>
      <c r="H499" s="13" t="n">
        <v>2</v>
      </c>
      <c r="I499" s="8" t="n">
        <v>5</v>
      </c>
      <c r="J499" s="20" t="s">
        <v>259</v>
      </c>
      <c r="K499" s="8"/>
      <c r="L499" s="20" t="s">
        <v>259</v>
      </c>
      <c r="M499" s="16" t="n">
        <f aca="false">H499*Scoring!$C$5</f>
        <v>2.6</v>
      </c>
      <c r="N499" s="16" t="n">
        <f aca="false">IF(I499&gt;=5,1,IF(I499=4,0.75,IF(I499=3,0.5,IF(I499=2,0.25,0))))*Scoring!$C$8</f>
        <v>1</v>
      </c>
      <c r="O499" s="16" t="n">
        <f aca="false">IF(J499="Yes",0,Scoring!$C$6)</f>
        <v>2</v>
      </c>
      <c r="P499" s="16" t="n">
        <f aca="false">IF(L499="Yes",0,Scoring!$C$7)</f>
        <v>0.5</v>
      </c>
      <c r="Q499" s="8" t="n">
        <f aca="false">ROUND(SUM(M499:P499),2)</f>
        <v>6.1</v>
      </c>
      <c r="R499" s="8" t="str">
        <f aca="false">IF(Q499&gt;=Scoring!$C$10-0.000001,"Keep","Remove")</f>
        <v>Remove</v>
      </c>
      <c r="S499" s="8" t="s">
        <v>7243</v>
      </c>
    </row>
    <row r="500" customFormat="false" ht="15" hidden="false" customHeight="false" outlineLevel="0" collapsed="false">
      <c r="A500" s="8" t="s">
        <v>3594</v>
      </c>
      <c r="B500" s="8" t="s">
        <v>3595</v>
      </c>
      <c r="C500" s="8" t="s">
        <v>178</v>
      </c>
      <c r="D500" s="8" t="s">
        <v>3547</v>
      </c>
      <c r="E500" s="8"/>
      <c r="F500" s="8" t="s">
        <v>81</v>
      </c>
      <c r="G500" s="8" t="n">
        <v>2</v>
      </c>
      <c r="H500" s="13" t="n">
        <v>3</v>
      </c>
      <c r="I500" s="8" t="n">
        <v>4</v>
      </c>
      <c r="J500" s="20" t="s">
        <v>259</v>
      </c>
      <c r="K500" s="8"/>
      <c r="L500" s="20" t="s">
        <v>259</v>
      </c>
      <c r="M500" s="16" t="n">
        <f aca="false">H500*Scoring!$C$5</f>
        <v>3.9</v>
      </c>
      <c r="N500" s="16" t="n">
        <f aca="false">IF(I500&gt;=5,1,IF(I500=4,0.75,IF(I500=3,0.5,IF(I500=2,0.25,0))))*Scoring!$C$8</f>
        <v>0.75</v>
      </c>
      <c r="O500" s="16" t="n">
        <f aca="false">IF(J500="Yes",0,Scoring!$C$6)</f>
        <v>2</v>
      </c>
      <c r="P500" s="16" t="n">
        <f aca="false">IF(L500="Yes",0,Scoring!$C$7)</f>
        <v>0.5</v>
      </c>
      <c r="Q500" s="8" t="n">
        <f aca="false">ROUND(SUM(M500:P500),2)</f>
        <v>7.15</v>
      </c>
      <c r="R500" s="8" t="str">
        <f aca="false">IF(Q500&gt;=Scoring!$C$10-0.000001,"Keep","Remove")</f>
        <v>Keep</v>
      </c>
      <c r="S500" s="8" t="s">
        <v>166</v>
      </c>
    </row>
    <row r="501" customFormat="false" ht="15" hidden="false" customHeight="false" outlineLevel="0" collapsed="false">
      <c r="A501" s="8" t="s">
        <v>3603</v>
      </c>
      <c r="B501" s="8" t="s">
        <v>3604</v>
      </c>
      <c r="C501" s="8" t="s">
        <v>178</v>
      </c>
      <c r="D501" s="8" t="s">
        <v>3547</v>
      </c>
      <c r="E501" s="8"/>
      <c r="F501" s="8" t="s">
        <v>83</v>
      </c>
      <c r="G501" s="8" t="n">
        <v>2</v>
      </c>
      <c r="H501" s="13" t="n">
        <v>3</v>
      </c>
      <c r="I501" s="8" t="n">
        <v>5</v>
      </c>
      <c r="J501" s="20" t="s">
        <v>259</v>
      </c>
      <c r="K501" s="8"/>
      <c r="L501" s="20" t="s">
        <v>259</v>
      </c>
      <c r="M501" s="16" t="n">
        <f aca="false">H501*Scoring!$C$5</f>
        <v>3.9</v>
      </c>
      <c r="N501" s="16" t="n">
        <f aca="false">IF(I501&gt;=5,1,IF(I501=4,0.75,IF(I501=3,0.5,IF(I501=2,0.25,0))))*Scoring!$C$8</f>
        <v>1</v>
      </c>
      <c r="O501" s="16" t="n">
        <f aca="false">IF(J501="Yes",0,Scoring!$C$6)</f>
        <v>2</v>
      </c>
      <c r="P501" s="16" t="n">
        <f aca="false">IF(L501="Yes",0,Scoring!$C$7)</f>
        <v>0.5</v>
      </c>
      <c r="Q501" s="8" t="n">
        <f aca="false">ROUND(SUM(M501:P501),2)</f>
        <v>7.4</v>
      </c>
      <c r="R501" s="8" t="str">
        <f aca="false">IF(Q501&gt;=Scoring!$C$10-0.000001,"Keep","Remove")</f>
        <v>Keep</v>
      </c>
      <c r="S501" s="8" t="s">
        <v>166</v>
      </c>
    </row>
    <row r="502" customFormat="false" ht="15" hidden="false" customHeight="false" outlineLevel="0" collapsed="false">
      <c r="A502" s="8" t="s">
        <v>7308</v>
      </c>
      <c r="B502" s="8" t="s">
        <v>7309</v>
      </c>
      <c r="C502" s="8" t="s">
        <v>178</v>
      </c>
      <c r="D502" s="8" t="s">
        <v>3547</v>
      </c>
      <c r="E502" s="8"/>
      <c r="F502" s="8" t="s">
        <v>78</v>
      </c>
      <c r="G502" s="8" t="n">
        <v>3</v>
      </c>
      <c r="H502" s="13" t="n">
        <v>2</v>
      </c>
      <c r="I502" s="8" t="n">
        <v>5</v>
      </c>
      <c r="J502" s="20" t="s">
        <v>259</v>
      </c>
      <c r="K502" s="8"/>
      <c r="L502" s="20" t="s">
        <v>259</v>
      </c>
      <c r="M502" s="16" t="n">
        <f aca="false">H502*Scoring!$C$5</f>
        <v>2.6</v>
      </c>
      <c r="N502" s="16" t="n">
        <f aca="false">IF(I502&gt;=5,1,IF(I502=4,0.75,IF(I502=3,0.5,IF(I502=2,0.25,0))))*Scoring!$C$8</f>
        <v>1</v>
      </c>
      <c r="O502" s="16" t="n">
        <f aca="false">IF(J502="Yes",0,Scoring!$C$6)</f>
        <v>2</v>
      </c>
      <c r="P502" s="16" t="n">
        <f aca="false">IF(L502="Yes",0,Scoring!$C$7)</f>
        <v>0.5</v>
      </c>
      <c r="Q502" s="8" t="n">
        <f aca="false">ROUND(SUM(M502:P502),2)</f>
        <v>6.1</v>
      </c>
      <c r="R502" s="8" t="str">
        <f aca="false">IF(Q502&gt;=Scoring!$C$10-0.000001,"Keep","Remove")</f>
        <v>Remove</v>
      </c>
      <c r="S502" s="8" t="s">
        <v>7243</v>
      </c>
    </row>
    <row r="503" customFormat="false" ht="15" hidden="false" customHeight="false" outlineLevel="0" collapsed="false">
      <c r="A503" s="8" t="s">
        <v>3610</v>
      </c>
      <c r="B503" s="8" t="s">
        <v>3611</v>
      </c>
      <c r="C503" s="8" t="s">
        <v>178</v>
      </c>
      <c r="D503" s="8" t="s">
        <v>2788</v>
      </c>
      <c r="E503" s="8"/>
      <c r="F503" s="8" t="s">
        <v>78</v>
      </c>
      <c r="G503" s="8" t="n">
        <v>1</v>
      </c>
      <c r="H503" s="13" t="n">
        <v>3</v>
      </c>
      <c r="I503" s="8" t="n">
        <v>5</v>
      </c>
      <c r="J503" s="20" t="s">
        <v>259</v>
      </c>
      <c r="K503" s="8"/>
      <c r="L503" s="20" t="s">
        <v>259</v>
      </c>
      <c r="M503" s="16" t="n">
        <f aca="false">H503*Scoring!$C$5</f>
        <v>3.9</v>
      </c>
      <c r="N503" s="16" t="n">
        <f aca="false">IF(I503&gt;=5,1,IF(I503=4,0.75,IF(I503=3,0.5,IF(I503=2,0.25,0))))*Scoring!$C$8</f>
        <v>1</v>
      </c>
      <c r="O503" s="16" t="n">
        <f aca="false">IF(J503="Yes",0,Scoring!$C$6)</f>
        <v>2</v>
      </c>
      <c r="P503" s="16" t="n">
        <f aca="false">IF(L503="Yes",0,Scoring!$C$7)</f>
        <v>0.5</v>
      </c>
      <c r="Q503" s="8" t="n">
        <f aca="false">ROUND(SUM(M503:P503),2)</f>
        <v>7.4</v>
      </c>
      <c r="R503" s="8" t="str">
        <f aca="false">IF(Q503&gt;=Scoring!$C$10-0.000001,"Keep","Remove")</f>
        <v>Keep</v>
      </c>
      <c r="S503" s="8" t="s">
        <v>166</v>
      </c>
    </row>
    <row r="504" customFormat="false" ht="15" hidden="false" customHeight="false" outlineLevel="0" collapsed="false">
      <c r="A504" s="8" t="s">
        <v>3620</v>
      </c>
      <c r="B504" s="8" t="s">
        <v>3621</v>
      </c>
      <c r="C504" s="8" t="s">
        <v>178</v>
      </c>
      <c r="D504" s="8" t="s">
        <v>2788</v>
      </c>
      <c r="E504" s="8"/>
      <c r="F504" s="8" t="s">
        <v>82</v>
      </c>
      <c r="G504" s="8" t="n">
        <v>2</v>
      </c>
      <c r="H504" s="13" t="n">
        <v>3</v>
      </c>
      <c r="I504" s="8" t="n">
        <v>5</v>
      </c>
      <c r="J504" s="20" t="s">
        <v>259</v>
      </c>
      <c r="K504" s="8"/>
      <c r="L504" s="20" t="s">
        <v>259</v>
      </c>
      <c r="M504" s="16" t="n">
        <f aca="false">H504*Scoring!$C$5</f>
        <v>3.9</v>
      </c>
      <c r="N504" s="16" t="n">
        <f aca="false">IF(I504&gt;=5,1,IF(I504=4,0.75,IF(I504=3,0.5,IF(I504=2,0.25,0))))*Scoring!$C$8</f>
        <v>1</v>
      </c>
      <c r="O504" s="16" t="n">
        <f aca="false">IF(J504="Yes",0,Scoring!$C$6)</f>
        <v>2</v>
      </c>
      <c r="P504" s="16" t="n">
        <f aca="false">IF(L504="Yes",0,Scoring!$C$7)</f>
        <v>0.5</v>
      </c>
      <c r="Q504" s="8" t="n">
        <f aca="false">ROUND(SUM(M504:P504),2)</f>
        <v>7.4</v>
      </c>
      <c r="R504" s="8" t="str">
        <f aca="false">IF(Q504&gt;=Scoring!$C$10-0.000001,"Keep","Remove")</f>
        <v>Keep</v>
      </c>
      <c r="S504" s="8" t="s">
        <v>166</v>
      </c>
    </row>
    <row r="505" customFormat="false" ht="15" hidden="false" customHeight="false" outlineLevel="0" collapsed="false">
      <c r="A505" s="8" t="s">
        <v>3632</v>
      </c>
      <c r="B505" s="8" t="s">
        <v>3633</v>
      </c>
      <c r="C505" s="8" t="s">
        <v>178</v>
      </c>
      <c r="D505" s="8" t="s">
        <v>3508</v>
      </c>
      <c r="E505" s="8"/>
      <c r="F505" s="8" t="s">
        <v>83</v>
      </c>
      <c r="G505" s="8" t="n">
        <v>2</v>
      </c>
      <c r="H505" s="13" t="n">
        <v>3</v>
      </c>
      <c r="I505" s="8" t="n">
        <v>3</v>
      </c>
      <c r="J505" s="20" t="s">
        <v>259</v>
      </c>
      <c r="K505" s="8"/>
      <c r="L505" s="20" t="s">
        <v>259</v>
      </c>
      <c r="M505" s="16" t="n">
        <f aca="false">H505*Scoring!$C$5</f>
        <v>3.9</v>
      </c>
      <c r="N505" s="16" t="n">
        <f aca="false">IF(I505&gt;=5,1,IF(I505=4,0.75,IF(I505=3,0.5,IF(I505=2,0.25,0))))*Scoring!$C$8</f>
        <v>0.5</v>
      </c>
      <c r="O505" s="16" t="n">
        <f aca="false">IF(J505="Yes",0,Scoring!$C$6)</f>
        <v>2</v>
      </c>
      <c r="P505" s="16" t="n">
        <f aca="false">IF(L505="Yes",0,Scoring!$C$7)</f>
        <v>0.5</v>
      </c>
      <c r="Q505" s="8" t="n">
        <f aca="false">ROUND(SUM(M505:P505),2)</f>
        <v>6.9</v>
      </c>
      <c r="R505" s="8" t="str">
        <f aca="false">IF(Q505&gt;=Scoring!$C$10-0.000001,"Keep","Remove")</f>
        <v>Keep</v>
      </c>
      <c r="S505" s="8" t="s">
        <v>166</v>
      </c>
    </row>
    <row r="506" customFormat="false" ht="15" hidden="false" customHeight="false" outlineLevel="0" collapsed="false">
      <c r="A506" s="8" t="s">
        <v>3642</v>
      </c>
      <c r="B506" s="8" t="s">
        <v>3643</v>
      </c>
      <c r="C506" s="8" t="s">
        <v>178</v>
      </c>
      <c r="D506" s="8" t="s">
        <v>2788</v>
      </c>
      <c r="E506" s="8"/>
      <c r="F506" s="8" t="s">
        <v>78</v>
      </c>
      <c r="G506" s="8" t="n">
        <v>2</v>
      </c>
      <c r="H506" s="13" t="n">
        <v>3</v>
      </c>
      <c r="I506" s="8" t="n">
        <v>6</v>
      </c>
      <c r="J506" s="20" t="s">
        <v>259</v>
      </c>
      <c r="K506" s="8"/>
      <c r="L506" s="20" t="s">
        <v>259</v>
      </c>
      <c r="M506" s="16" t="n">
        <f aca="false">H506*Scoring!$C$5</f>
        <v>3.9</v>
      </c>
      <c r="N506" s="16" t="n">
        <f aca="false">IF(I506&gt;=5,1,IF(I506=4,0.75,IF(I506=3,0.5,IF(I506=2,0.25,0))))*Scoring!$C$8</f>
        <v>1</v>
      </c>
      <c r="O506" s="16" t="n">
        <f aca="false">IF(J506="Yes",0,Scoring!$C$6)</f>
        <v>2</v>
      </c>
      <c r="P506" s="16" t="n">
        <f aca="false">IF(L506="Yes",0,Scoring!$C$7)</f>
        <v>0.5</v>
      </c>
      <c r="Q506" s="8" t="n">
        <f aca="false">ROUND(SUM(M506:P506),2)</f>
        <v>7.4</v>
      </c>
      <c r="R506" s="8" t="str">
        <f aca="false">IF(Q506&gt;=Scoring!$C$10-0.000001,"Keep","Remove")</f>
        <v>Keep</v>
      </c>
      <c r="S506" s="8" t="s">
        <v>166</v>
      </c>
    </row>
    <row r="507" customFormat="false" ht="15" hidden="false" customHeight="false" outlineLevel="0" collapsed="false">
      <c r="A507" s="8" t="s">
        <v>7310</v>
      </c>
      <c r="B507" s="8" t="s">
        <v>7311</v>
      </c>
      <c r="C507" s="8" t="s">
        <v>178</v>
      </c>
      <c r="D507" s="8" t="s">
        <v>2788</v>
      </c>
      <c r="E507" s="8"/>
      <c r="F507" s="8" t="s">
        <v>78</v>
      </c>
      <c r="G507" s="8" t="n">
        <v>3</v>
      </c>
      <c r="H507" s="13" t="n">
        <v>2</v>
      </c>
      <c r="I507" s="8" t="n">
        <v>5</v>
      </c>
      <c r="J507" s="20" t="s">
        <v>259</v>
      </c>
      <c r="K507" s="8"/>
      <c r="L507" s="20" t="s">
        <v>259</v>
      </c>
      <c r="M507" s="16" t="n">
        <f aca="false">H507*Scoring!$C$5</f>
        <v>2.6</v>
      </c>
      <c r="N507" s="16" t="n">
        <f aca="false">IF(I507&gt;=5,1,IF(I507=4,0.75,IF(I507=3,0.5,IF(I507=2,0.25,0))))*Scoring!$C$8</f>
        <v>1</v>
      </c>
      <c r="O507" s="16" t="n">
        <f aca="false">IF(J507="Yes",0,Scoring!$C$6)</f>
        <v>2</v>
      </c>
      <c r="P507" s="16" t="n">
        <f aca="false">IF(L507="Yes",0,Scoring!$C$7)</f>
        <v>0.5</v>
      </c>
      <c r="Q507" s="8" t="n">
        <f aca="false">ROUND(SUM(M507:P507),2)</f>
        <v>6.1</v>
      </c>
      <c r="R507" s="8" t="str">
        <f aca="false">IF(Q507&gt;=Scoring!$C$10-0.000001,"Keep","Remove")</f>
        <v>Remove</v>
      </c>
      <c r="S507" s="8" t="s">
        <v>7243</v>
      </c>
    </row>
    <row r="508" customFormat="false" ht="15" hidden="false" customHeight="false" outlineLevel="0" collapsed="false">
      <c r="A508" s="8" t="s">
        <v>3651</v>
      </c>
      <c r="B508" s="8" t="s">
        <v>3652</v>
      </c>
      <c r="C508" s="8" t="s">
        <v>178</v>
      </c>
      <c r="D508" s="8" t="s">
        <v>3653</v>
      </c>
      <c r="E508" s="8"/>
      <c r="F508" s="8" t="s">
        <v>78</v>
      </c>
      <c r="G508" s="8" t="n">
        <v>1</v>
      </c>
      <c r="H508" s="13" t="n">
        <v>3</v>
      </c>
      <c r="I508" s="8" t="n">
        <v>4</v>
      </c>
      <c r="J508" s="20" t="s">
        <v>259</v>
      </c>
      <c r="K508" s="8"/>
      <c r="L508" s="20" t="s">
        <v>259</v>
      </c>
      <c r="M508" s="16" t="n">
        <f aca="false">H508*Scoring!$C$5</f>
        <v>3.9</v>
      </c>
      <c r="N508" s="16" t="n">
        <f aca="false">IF(I508&gt;=5,1,IF(I508=4,0.75,IF(I508=3,0.5,IF(I508=2,0.25,0))))*Scoring!$C$8</f>
        <v>0.75</v>
      </c>
      <c r="O508" s="16" t="n">
        <f aca="false">IF(J508="Yes",0,Scoring!$C$6)</f>
        <v>2</v>
      </c>
      <c r="P508" s="16" t="n">
        <f aca="false">IF(L508="Yes",0,Scoring!$C$7)</f>
        <v>0.5</v>
      </c>
      <c r="Q508" s="8" t="n">
        <f aca="false">ROUND(SUM(M508:P508),2)</f>
        <v>7.15</v>
      </c>
      <c r="R508" s="8" t="str">
        <f aca="false">IF(Q508&gt;=Scoring!$C$10-0.000001,"Keep","Remove")</f>
        <v>Keep</v>
      </c>
      <c r="S508" s="8" t="s">
        <v>166</v>
      </c>
    </row>
    <row r="509" customFormat="false" ht="15" hidden="false" customHeight="false" outlineLevel="0" collapsed="false">
      <c r="A509" s="8" t="s">
        <v>3661</v>
      </c>
      <c r="B509" s="8" t="s">
        <v>3662</v>
      </c>
      <c r="C509" s="8" t="s">
        <v>178</v>
      </c>
      <c r="D509" s="8" t="s">
        <v>3653</v>
      </c>
      <c r="E509" s="8"/>
      <c r="F509" s="8" t="s">
        <v>83</v>
      </c>
      <c r="G509" s="8" t="n">
        <v>1</v>
      </c>
      <c r="H509" s="13" t="n">
        <v>4</v>
      </c>
      <c r="I509" s="8" t="n">
        <v>5</v>
      </c>
      <c r="J509" s="20" t="s">
        <v>259</v>
      </c>
      <c r="K509" s="8"/>
      <c r="L509" s="20" t="s">
        <v>259</v>
      </c>
      <c r="M509" s="16" t="n">
        <f aca="false">H509*Scoring!$C$5</f>
        <v>5.2</v>
      </c>
      <c r="N509" s="16" t="n">
        <f aca="false">IF(I509&gt;=5,1,IF(I509=4,0.75,IF(I509=3,0.5,IF(I509=2,0.25,0))))*Scoring!$C$8</f>
        <v>1</v>
      </c>
      <c r="O509" s="16" t="n">
        <f aca="false">IF(J509="Yes",0,Scoring!$C$6)</f>
        <v>2</v>
      </c>
      <c r="P509" s="16" t="n">
        <f aca="false">IF(L509="Yes",0,Scoring!$C$7)</f>
        <v>0.5</v>
      </c>
      <c r="Q509" s="8" t="n">
        <f aca="false">ROUND(SUM(M509:P509),2)</f>
        <v>8.7</v>
      </c>
      <c r="R509" s="8" t="str">
        <f aca="false">IF(Q509&gt;=Scoring!$C$10-0.000001,"Keep","Remove")</f>
        <v>Keep</v>
      </c>
      <c r="S509" s="8" t="s">
        <v>166</v>
      </c>
    </row>
    <row r="510" customFormat="false" ht="15" hidden="false" customHeight="false" outlineLevel="0" collapsed="false">
      <c r="A510" s="8" t="s">
        <v>3671</v>
      </c>
      <c r="B510" s="8" t="s">
        <v>3672</v>
      </c>
      <c r="C510" s="8" t="s">
        <v>178</v>
      </c>
      <c r="D510" s="8" t="s">
        <v>3653</v>
      </c>
      <c r="E510" s="8"/>
      <c r="F510" s="8" t="s">
        <v>78</v>
      </c>
      <c r="G510" s="8" t="n">
        <v>1</v>
      </c>
      <c r="H510" s="13" t="n">
        <v>4</v>
      </c>
      <c r="I510" s="8" t="n">
        <v>4</v>
      </c>
      <c r="J510" s="20" t="s">
        <v>259</v>
      </c>
      <c r="K510" s="8"/>
      <c r="L510" s="20" t="s">
        <v>259</v>
      </c>
      <c r="M510" s="16" t="n">
        <f aca="false">H510*Scoring!$C$5</f>
        <v>5.2</v>
      </c>
      <c r="N510" s="16" t="n">
        <f aca="false">IF(I510&gt;=5,1,IF(I510=4,0.75,IF(I510=3,0.5,IF(I510=2,0.25,0))))*Scoring!$C$8</f>
        <v>0.75</v>
      </c>
      <c r="O510" s="16" t="n">
        <f aca="false">IF(J510="Yes",0,Scoring!$C$6)</f>
        <v>2</v>
      </c>
      <c r="P510" s="16" t="n">
        <f aca="false">IF(L510="Yes",0,Scoring!$C$7)</f>
        <v>0.5</v>
      </c>
      <c r="Q510" s="8" t="n">
        <f aca="false">ROUND(SUM(M510:P510),2)</f>
        <v>8.45</v>
      </c>
      <c r="R510" s="8" t="str">
        <f aca="false">IF(Q510&gt;=Scoring!$C$10-0.000001,"Keep","Remove")</f>
        <v>Keep</v>
      </c>
      <c r="S510" s="8" t="s">
        <v>166</v>
      </c>
    </row>
    <row r="511" customFormat="false" ht="15" hidden="false" customHeight="false" outlineLevel="0" collapsed="false">
      <c r="A511" s="8" t="s">
        <v>3681</v>
      </c>
      <c r="B511" s="8" t="s">
        <v>3682</v>
      </c>
      <c r="C511" s="8" t="s">
        <v>178</v>
      </c>
      <c r="D511" s="8" t="s">
        <v>3653</v>
      </c>
      <c r="E511" s="8"/>
      <c r="F511" s="8" t="s">
        <v>78</v>
      </c>
      <c r="G511" s="8" t="n">
        <v>2</v>
      </c>
      <c r="H511" s="13" t="n">
        <v>3</v>
      </c>
      <c r="I511" s="8" t="n">
        <v>5</v>
      </c>
      <c r="J511" s="20" t="s">
        <v>259</v>
      </c>
      <c r="K511" s="8"/>
      <c r="L511" s="20" t="s">
        <v>259</v>
      </c>
      <c r="M511" s="16" t="n">
        <f aca="false">H511*Scoring!$C$5</f>
        <v>3.9</v>
      </c>
      <c r="N511" s="16" t="n">
        <f aca="false">IF(I511&gt;=5,1,IF(I511=4,0.75,IF(I511=3,0.5,IF(I511=2,0.25,0))))*Scoring!$C$8</f>
        <v>1</v>
      </c>
      <c r="O511" s="16" t="n">
        <f aca="false">IF(J511="Yes",0,Scoring!$C$6)</f>
        <v>2</v>
      </c>
      <c r="P511" s="16" t="n">
        <f aca="false">IF(L511="Yes",0,Scoring!$C$7)</f>
        <v>0.5</v>
      </c>
      <c r="Q511" s="8" t="n">
        <f aca="false">ROUND(SUM(M511:P511),2)</f>
        <v>7.4</v>
      </c>
      <c r="R511" s="8" t="str">
        <f aca="false">IF(Q511&gt;=Scoring!$C$10-0.000001,"Keep","Remove")</f>
        <v>Keep</v>
      </c>
      <c r="S511" s="8" t="s">
        <v>166</v>
      </c>
    </row>
    <row r="512" customFormat="false" ht="15" hidden="false" customHeight="false" outlineLevel="0" collapsed="false">
      <c r="A512" s="8" t="s">
        <v>3689</v>
      </c>
      <c r="B512" s="8" t="s">
        <v>3690</v>
      </c>
      <c r="C512" s="8" t="s">
        <v>178</v>
      </c>
      <c r="D512" s="8" t="s">
        <v>3653</v>
      </c>
      <c r="E512" s="8"/>
      <c r="F512" s="8" t="s">
        <v>78</v>
      </c>
      <c r="G512" s="8" t="n">
        <v>2</v>
      </c>
      <c r="H512" s="13" t="n">
        <v>3</v>
      </c>
      <c r="I512" s="8" t="n">
        <v>4</v>
      </c>
      <c r="J512" s="20" t="s">
        <v>259</v>
      </c>
      <c r="K512" s="8"/>
      <c r="L512" s="20" t="s">
        <v>259</v>
      </c>
      <c r="M512" s="16" t="n">
        <f aca="false">H512*Scoring!$C$5</f>
        <v>3.9</v>
      </c>
      <c r="N512" s="16" t="n">
        <f aca="false">IF(I512&gt;=5,1,IF(I512=4,0.75,IF(I512=3,0.5,IF(I512=2,0.25,0))))*Scoring!$C$8</f>
        <v>0.75</v>
      </c>
      <c r="O512" s="16" t="n">
        <f aca="false">IF(J512="Yes",0,Scoring!$C$6)</f>
        <v>2</v>
      </c>
      <c r="P512" s="16" t="n">
        <f aca="false">IF(L512="Yes",0,Scoring!$C$7)</f>
        <v>0.5</v>
      </c>
      <c r="Q512" s="8" t="n">
        <f aca="false">ROUND(SUM(M512:P512),2)</f>
        <v>7.15</v>
      </c>
      <c r="R512" s="8" t="str">
        <f aca="false">IF(Q512&gt;=Scoring!$C$10-0.000001,"Keep","Remove")</f>
        <v>Keep</v>
      </c>
      <c r="S512" s="8" t="s">
        <v>166</v>
      </c>
    </row>
    <row r="513" customFormat="false" ht="15" hidden="false" customHeight="false" outlineLevel="0" collapsed="false">
      <c r="A513" s="8" t="s">
        <v>3700</v>
      </c>
      <c r="B513" s="8" t="s">
        <v>3701</v>
      </c>
      <c r="C513" s="8" t="s">
        <v>178</v>
      </c>
      <c r="D513" s="8" t="s">
        <v>3653</v>
      </c>
      <c r="E513" s="8"/>
      <c r="F513" s="8" t="s">
        <v>79</v>
      </c>
      <c r="G513" s="8" t="n">
        <v>2</v>
      </c>
      <c r="H513" s="13" t="n">
        <v>3</v>
      </c>
      <c r="I513" s="8" t="n">
        <v>4</v>
      </c>
      <c r="J513" s="20" t="s">
        <v>259</v>
      </c>
      <c r="K513" s="8"/>
      <c r="L513" s="20" t="s">
        <v>259</v>
      </c>
      <c r="M513" s="16" t="n">
        <f aca="false">H513*Scoring!$C$5</f>
        <v>3.9</v>
      </c>
      <c r="N513" s="16" t="n">
        <f aca="false">IF(I513&gt;=5,1,IF(I513=4,0.75,IF(I513=3,0.5,IF(I513=2,0.25,0))))*Scoring!$C$8</f>
        <v>0.75</v>
      </c>
      <c r="O513" s="16" t="n">
        <f aca="false">IF(J513="Yes",0,Scoring!$C$6)</f>
        <v>2</v>
      </c>
      <c r="P513" s="16" t="n">
        <f aca="false">IF(L513="Yes",0,Scoring!$C$7)</f>
        <v>0.5</v>
      </c>
      <c r="Q513" s="8" t="n">
        <f aca="false">ROUND(SUM(M513:P513),2)</f>
        <v>7.15</v>
      </c>
      <c r="R513" s="8" t="str">
        <f aca="false">IF(Q513&gt;=Scoring!$C$10-0.000001,"Keep","Remove")</f>
        <v>Keep</v>
      </c>
      <c r="S513" s="8" t="s">
        <v>166</v>
      </c>
    </row>
    <row r="514" customFormat="false" ht="15" hidden="false" customHeight="false" outlineLevel="0" collapsed="false">
      <c r="A514" s="8" t="s">
        <v>3710</v>
      </c>
      <c r="B514" s="8" t="s">
        <v>3711</v>
      </c>
      <c r="C514" s="8" t="s">
        <v>178</v>
      </c>
      <c r="D514" s="8" t="s">
        <v>3653</v>
      </c>
      <c r="E514" s="8"/>
      <c r="F514" s="8" t="s">
        <v>78</v>
      </c>
      <c r="G514" s="8" t="n">
        <v>2</v>
      </c>
      <c r="H514" s="13" t="n">
        <v>3</v>
      </c>
      <c r="I514" s="8" t="n">
        <v>5</v>
      </c>
      <c r="J514" s="20" t="s">
        <v>259</v>
      </c>
      <c r="K514" s="8"/>
      <c r="L514" s="20" t="s">
        <v>259</v>
      </c>
      <c r="M514" s="16" t="n">
        <f aca="false">H514*Scoring!$C$5</f>
        <v>3.9</v>
      </c>
      <c r="N514" s="16" t="n">
        <f aca="false">IF(I514&gt;=5,1,IF(I514=4,0.75,IF(I514=3,0.5,IF(I514=2,0.25,0))))*Scoring!$C$8</f>
        <v>1</v>
      </c>
      <c r="O514" s="16" t="n">
        <f aca="false">IF(J514="Yes",0,Scoring!$C$6)</f>
        <v>2</v>
      </c>
      <c r="P514" s="16" t="n">
        <f aca="false">IF(L514="Yes",0,Scoring!$C$7)</f>
        <v>0.5</v>
      </c>
      <c r="Q514" s="8" t="n">
        <f aca="false">ROUND(SUM(M514:P514),2)</f>
        <v>7.4</v>
      </c>
      <c r="R514" s="8" t="str">
        <f aca="false">IF(Q514&gt;=Scoring!$C$10-0.000001,"Keep","Remove")</f>
        <v>Keep</v>
      </c>
      <c r="S514" s="8" t="s">
        <v>166</v>
      </c>
    </row>
    <row r="515" customFormat="false" ht="15" hidden="false" customHeight="false" outlineLevel="0" collapsed="false">
      <c r="A515" s="8" t="s">
        <v>7312</v>
      </c>
      <c r="B515" s="8" t="s">
        <v>7313</v>
      </c>
      <c r="C515" s="8" t="s">
        <v>178</v>
      </c>
      <c r="D515" s="8" t="s">
        <v>3653</v>
      </c>
      <c r="E515" s="8"/>
      <c r="F515" s="8" t="s">
        <v>80</v>
      </c>
      <c r="G515" s="8" t="n">
        <v>1</v>
      </c>
      <c r="H515" s="13" t="n">
        <v>2</v>
      </c>
      <c r="I515" s="8" t="n">
        <v>5</v>
      </c>
      <c r="J515" s="20" t="s">
        <v>259</v>
      </c>
      <c r="K515" s="8"/>
      <c r="L515" s="20" t="s">
        <v>259</v>
      </c>
      <c r="M515" s="16" t="n">
        <f aca="false">H515*Scoring!$C$5</f>
        <v>2.6</v>
      </c>
      <c r="N515" s="16" t="n">
        <f aca="false">IF(I515&gt;=5,1,IF(I515=4,0.75,IF(I515=3,0.5,IF(I515=2,0.25,0))))*Scoring!$C$8</f>
        <v>1</v>
      </c>
      <c r="O515" s="16" t="n">
        <f aca="false">IF(J515="Yes",0,Scoring!$C$6)</f>
        <v>2</v>
      </c>
      <c r="P515" s="16" t="n">
        <f aca="false">IF(L515="Yes",0,Scoring!$C$7)</f>
        <v>0.5</v>
      </c>
      <c r="Q515" s="8" t="n">
        <f aca="false">ROUND(SUM(M515:P515),2)</f>
        <v>6.1</v>
      </c>
      <c r="R515" s="8" t="str">
        <f aca="false">IF(Q515&gt;=Scoring!$C$10-0.000001,"Keep","Remove")</f>
        <v>Remove</v>
      </c>
      <c r="S515" s="8" t="s">
        <v>7243</v>
      </c>
    </row>
    <row r="516" customFormat="false" ht="15" hidden="false" customHeight="false" outlineLevel="0" collapsed="false">
      <c r="A516" s="8" t="s">
        <v>7314</v>
      </c>
      <c r="B516" s="8" t="s">
        <v>7315</v>
      </c>
      <c r="C516" s="8" t="s">
        <v>178</v>
      </c>
      <c r="D516" s="8" t="s">
        <v>3653</v>
      </c>
      <c r="E516" s="8"/>
      <c r="F516" s="8" t="s">
        <v>78</v>
      </c>
      <c r="G516" s="8" t="n">
        <v>3</v>
      </c>
      <c r="H516" s="13" t="n">
        <v>2</v>
      </c>
      <c r="I516" s="8" t="n">
        <v>5</v>
      </c>
      <c r="J516" s="20" t="s">
        <v>259</v>
      </c>
      <c r="K516" s="8"/>
      <c r="L516" s="20" t="s">
        <v>259</v>
      </c>
      <c r="M516" s="16" t="n">
        <f aca="false">H516*Scoring!$C$5</f>
        <v>2.6</v>
      </c>
      <c r="N516" s="16" t="n">
        <f aca="false">IF(I516&gt;=5,1,IF(I516=4,0.75,IF(I516=3,0.5,IF(I516=2,0.25,0))))*Scoring!$C$8</f>
        <v>1</v>
      </c>
      <c r="O516" s="16" t="n">
        <f aca="false">IF(J516="Yes",0,Scoring!$C$6)</f>
        <v>2</v>
      </c>
      <c r="P516" s="16" t="n">
        <f aca="false">IF(L516="Yes",0,Scoring!$C$7)</f>
        <v>0.5</v>
      </c>
      <c r="Q516" s="8" t="n">
        <f aca="false">ROUND(SUM(M516:P516),2)</f>
        <v>6.1</v>
      </c>
      <c r="R516" s="8" t="str">
        <f aca="false">IF(Q516&gt;=Scoring!$C$10-0.000001,"Keep","Remove")</f>
        <v>Remove</v>
      </c>
      <c r="S516" s="8" t="s">
        <v>7243</v>
      </c>
    </row>
    <row r="517" customFormat="false" ht="15" hidden="false" customHeight="false" outlineLevel="0" collapsed="false">
      <c r="A517" s="8" t="s">
        <v>7700</v>
      </c>
      <c r="B517" s="8" t="s">
        <v>7701</v>
      </c>
      <c r="C517" s="8" t="s">
        <v>178</v>
      </c>
      <c r="D517" s="8" t="s">
        <v>3653</v>
      </c>
      <c r="E517" s="8"/>
      <c r="F517" s="8" t="s">
        <v>83</v>
      </c>
      <c r="G517" s="8" t="n">
        <v>3</v>
      </c>
      <c r="H517" s="13" t="n">
        <v>2</v>
      </c>
      <c r="I517" s="8" t="n">
        <v>3</v>
      </c>
      <c r="J517" s="20" t="s">
        <v>259</v>
      </c>
      <c r="K517" s="8"/>
      <c r="L517" s="20" t="s">
        <v>259</v>
      </c>
      <c r="M517" s="16" t="n">
        <f aca="false">H517*Scoring!$C$5</f>
        <v>2.6</v>
      </c>
      <c r="N517" s="16" t="n">
        <f aca="false">IF(I517&gt;=5,1,IF(I517=4,0.75,IF(I517=3,0.5,IF(I517=2,0.25,0))))*Scoring!$C$8</f>
        <v>0.5</v>
      </c>
      <c r="O517" s="16" t="n">
        <f aca="false">IF(J517="Yes",0,Scoring!$C$6)</f>
        <v>2</v>
      </c>
      <c r="P517" s="16" t="n">
        <f aca="false">IF(L517="Yes",0,Scoring!$C$7)</f>
        <v>0.5</v>
      </c>
      <c r="Q517" s="8" t="n">
        <f aca="false">ROUND(SUM(M517:P517),2)</f>
        <v>5.6</v>
      </c>
      <c r="R517" s="8" t="str">
        <f aca="false">IF(Q517&gt;=Scoring!$C$10-0.000001,"Keep","Remove")</f>
        <v>Remove</v>
      </c>
      <c r="S517" s="8" t="s">
        <v>7243</v>
      </c>
    </row>
    <row r="518" customFormat="false" ht="15" hidden="false" customHeight="false" outlineLevel="0" collapsed="false">
      <c r="A518" s="8" t="s">
        <v>3717</v>
      </c>
      <c r="B518" s="8" t="s">
        <v>3718</v>
      </c>
      <c r="C518" s="8" t="s">
        <v>178</v>
      </c>
      <c r="D518" s="8" t="s">
        <v>3719</v>
      </c>
      <c r="E518" s="8"/>
      <c r="F518" s="8" t="s">
        <v>78</v>
      </c>
      <c r="G518" s="8" t="n">
        <v>2</v>
      </c>
      <c r="H518" s="13" t="n">
        <v>3</v>
      </c>
      <c r="I518" s="8" t="n">
        <v>5</v>
      </c>
      <c r="J518" s="20" t="s">
        <v>259</v>
      </c>
      <c r="K518" s="8"/>
      <c r="L518" s="20" t="s">
        <v>259</v>
      </c>
      <c r="M518" s="16" t="n">
        <f aca="false">H518*Scoring!$C$5</f>
        <v>3.9</v>
      </c>
      <c r="N518" s="16" t="n">
        <f aca="false">IF(I518&gt;=5,1,IF(I518=4,0.75,IF(I518=3,0.5,IF(I518=2,0.25,0))))*Scoring!$C$8</f>
        <v>1</v>
      </c>
      <c r="O518" s="16" t="n">
        <f aca="false">IF(J518="Yes",0,Scoring!$C$6)</f>
        <v>2</v>
      </c>
      <c r="P518" s="16" t="n">
        <f aca="false">IF(L518="Yes",0,Scoring!$C$7)</f>
        <v>0.5</v>
      </c>
      <c r="Q518" s="8" t="n">
        <f aca="false">ROUND(SUM(M518:P518),2)</f>
        <v>7.4</v>
      </c>
      <c r="R518" s="8" t="str">
        <f aca="false">IF(Q518&gt;=Scoring!$C$10-0.000001,"Keep","Remove")</f>
        <v>Keep</v>
      </c>
      <c r="S518" s="8" t="s">
        <v>166</v>
      </c>
    </row>
    <row r="519" customFormat="false" ht="15" hidden="false" customHeight="false" outlineLevel="0" collapsed="false">
      <c r="A519" s="8" t="s">
        <v>7492</v>
      </c>
      <c r="B519" s="8" t="s">
        <v>7493</v>
      </c>
      <c r="C519" s="8" t="s">
        <v>178</v>
      </c>
      <c r="D519" s="8" t="s">
        <v>3719</v>
      </c>
      <c r="E519" s="8"/>
      <c r="F519" s="8" t="s">
        <v>78</v>
      </c>
      <c r="G519" s="8" t="n">
        <v>3</v>
      </c>
      <c r="H519" s="13" t="n">
        <v>2</v>
      </c>
      <c r="I519" s="8" t="n">
        <v>4</v>
      </c>
      <c r="J519" s="20" t="s">
        <v>259</v>
      </c>
      <c r="K519" s="8"/>
      <c r="L519" s="20" t="s">
        <v>259</v>
      </c>
      <c r="M519" s="16" t="n">
        <f aca="false">H519*Scoring!$C$5</f>
        <v>2.6</v>
      </c>
      <c r="N519" s="16" t="n">
        <f aca="false">IF(I519&gt;=5,1,IF(I519=4,0.75,IF(I519=3,0.5,IF(I519=2,0.25,0))))*Scoring!$C$8</f>
        <v>0.75</v>
      </c>
      <c r="O519" s="16" t="n">
        <f aca="false">IF(J519="Yes",0,Scoring!$C$6)</f>
        <v>2</v>
      </c>
      <c r="P519" s="16" t="n">
        <f aca="false">IF(L519="Yes",0,Scoring!$C$7)</f>
        <v>0.5</v>
      </c>
      <c r="Q519" s="8" t="n">
        <f aca="false">ROUND(SUM(M519:P519),2)</f>
        <v>5.85</v>
      </c>
      <c r="R519" s="8" t="str">
        <f aca="false">IF(Q519&gt;=Scoring!$C$10-0.000001,"Keep","Remove")</f>
        <v>Remove</v>
      </c>
      <c r="S519" s="8" t="s">
        <v>7243</v>
      </c>
    </row>
    <row r="520" customFormat="false" ht="15" hidden="false" customHeight="false" outlineLevel="0" collapsed="false">
      <c r="A520" s="8" t="s">
        <v>3727</v>
      </c>
      <c r="B520" s="8" t="s">
        <v>3728</v>
      </c>
      <c r="C520" s="8" t="s">
        <v>178</v>
      </c>
      <c r="D520" s="8" t="s">
        <v>3729</v>
      </c>
      <c r="E520" s="8"/>
      <c r="F520" s="8" t="s">
        <v>83</v>
      </c>
      <c r="G520" s="8" t="n">
        <v>2</v>
      </c>
      <c r="H520" s="13" t="n">
        <v>3</v>
      </c>
      <c r="I520" s="8" t="n">
        <v>5</v>
      </c>
      <c r="J520" s="20" t="s">
        <v>259</v>
      </c>
      <c r="K520" s="8"/>
      <c r="L520" s="20" t="s">
        <v>259</v>
      </c>
      <c r="M520" s="16" t="n">
        <f aca="false">H520*Scoring!$C$5</f>
        <v>3.9</v>
      </c>
      <c r="N520" s="16" t="n">
        <f aca="false">IF(I520&gt;=5,1,IF(I520=4,0.75,IF(I520=3,0.5,IF(I520=2,0.25,0))))*Scoring!$C$8</f>
        <v>1</v>
      </c>
      <c r="O520" s="16" t="n">
        <f aca="false">IF(J520="Yes",0,Scoring!$C$6)</f>
        <v>2</v>
      </c>
      <c r="P520" s="16" t="n">
        <f aca="false">IF(L520="Yes",0,Scoring!$C$7)</f>
        <v>0.5</v>
      </c>
      <c r="Q520" s="8" t="n">
        <f aca="false">ROUND(SUM(M520:P520),2)</f>
        <v>7.4</v>
      </c>
      <c r="R520" s="8" t="str">
        <f aca="false">IF(Q520&gt;=Scoring!$C$10-0.000001,"Keep","Remove")</f>
        <v>Keep</v>
      </c>
      <c r="S520" s="8" t="s">
        <v>166</v>
      </c>
    </row>
    <row r="521" customFormat="false" ht="15" hidden="false" customHeight="false" outlineLevel="0" collapsed="false">
      <c r="A521" s="8" t="s">
        <v>7494</v>
      </c>
      <c r="B521" s="8" t="s">
        <v>7495</v>
      </c>
      <c r="C521" s="8" t="s">
        <v>178</v>
      </c>
      <c r="D521" s="8" t="s">
        <v>3729</v>
      </c>
      <c r="E521" s="8"/>
      <c r="F521" s="8" t="s">
        <v>89</v>
      </c>
      <c r="G521" s="8" t="n">
        <v>3</v>
      </c>
      <c r="H521" s="13" t="n">
        <v>2</v>
      </c>
      <c r="I521" s="8" t="n">
        <v>4</v>
      </c>
      <c r="J521" s="20" t="s">
        <v>259</v>
      </c>
      <c r="K521" s="8"/>
      <c r="L521" s="20" t="s">
        <v>259</v>
      </c>
      <c r="M521" s="16" t="n">
        <f aca="false">H521*Scoring!$C$5</f>
        <v>2.6</v>
      </c>
      <c r="N521" s="16" t="n">
        <f aca="false">IF(I521&gt;=5,1,IF(I521=4,0.75,IF(I521=3,0.5,IF(I521=2,0.25,0))))*Scoring!$C$8</f>
        <v>0.75</v>
      </c>
      <c r="O521" s="16" t="n">
        <f aca="false">IF(J521="Yes",0,Scoring!$C$6)</f>
        <v>2</v>
      </c>
      <c r="P521" s="16" t="n">
        <f aca="false">IF(L521="Yes",0,Scoring!$C$7)</f>
        <v>0.5</v>
      </c>
      <c r="Q521" s="8" t="n">
        <f aca="false">ROUND(SUM(M521:P521),2)</f>
        <v>5.85</v>
      </c>
      <c r="R521" s="8" t="str">
        <f aca="false">IF(Q521&gt;=Scoring!$C$10-0.000001,"Keep","Remove")</f>
        <v>Remove</v>
      </c>
      <c r="S521" s="8" t="s">
        <v>7243</v>
      </c>
    </row>
    <row r="522" customFormat="false" ht="15" hidden="false" customHeight="false" outlineLevel="0" collapsed="false">
      <c r="A522" s="8" t="s">
        <v>7853</v>
      </c>
      <c r="B522" s="8" t="s">
        <v>7854</v>
      </c>
      <c r="C522" s="8" t="s">
        <v>178</v>
      </c>
      <c r="D522" s="8" t="s">
        <v>7855</v>
      </c>
      <c r="E522" s="8"/>
      <c r="F522" s="8" t="s">
        <v>89</v>
      </c>
      <c r="G522" s="8" t="n">
        <v>3</v>
      </c>
      <c r="H522" s="13" t="n">
        <v>2</v>
      </c>
      <c r="I522" s="8" t="n">
        <v>5</v>
      </c>
      <c r="J522" s="20" t="s">
        <v>218</v>
      </c>
      <c r="K522" s="8" t="s">
        <v>8175</v>
      </c>
      <c r="L522" s="20" t="s">
        <v>259</v>
      </c>
      <c r="M522" s="16" t="n">
        <f aca="false">H522*Scoring!$C$5</f>
        <v>2.6</v>
      </c>
      <c r="N522" s="16" t="n">
        <f aca="false">IF(I522&gt;=5,1,IF(I522=4,0.75,IF(I522=3,0.5,IF(I522=2,0.25,0))))*Scoring!$C$8</f>
        <v>1</v>
      </c>
      <c r="O522" s="16" t="n">
        <f aca="false">IF(J522="Yes",0,Scoring!$C$6)</f>
        <v>0</v>
      </c>
      <c r="P522" s="16" t="n">
        <f aca="false">IF(L522="Yes",0,Scoring!$C$7)</f>
        <v>0.5</v>
      </c>
      <c r="Q522" s="8" t="n">
        <f aca="false">ROUND(SUM(M522:P522),2)</f>
        <v>4.1</v>
      </c>
      <c r="R522" s="8" t="str">
        <f aca="false">IF(Q522&gt;=Scoring!$C$10-0.000001,"Keep","Remove")</f>
        <v>Remove</v>
      </c>
      <c r="S522" s="8" t="s">
        <v>7856</v>
      </c>
    </row>
    <row r="523" customFormat="false" ht="15" hidden="false" customHeight="false" outlineLevel="0" collapsed="false">
      <c r="A523" s="8" t="s">
        <v>3737</v>
      </c>
      <c r="B523" s="8" t="s">
        <v>3738</v>
      </c>
      <c r="C523" s="8" t="s">
        <v>178</v>
      </c>
      <c r="D523" s="8" t="s">
        <v>3739</v>
      </c>
      <c r="E523" s="8"/>
      <c r="F523" s="8" t="s">
        <v>81</v>
      </c>
      <c r="G523" s="8" t="n">
        <v>2</v>
      </c>
      <c r="H523" s="13" t="n">
        <v>3</v>
      </c>
      <c r="I523" s="8" t="n">
        <v>5</v>
      </c>
      <c r="J523" s="20" t="s">
        <v>259</v>
      </c>
      <c r="K523" s="8"/>
      <c r="L523" s="20" t="s">
        <v>259</v>
      </c>
      <c r="M523" s="16" t="n">
        <f aca="false">H523*Scoring!$C$5</f>
        <v>3.9</v>
      </c>
      <c r="N523" s="16" t="n">
        <f aca="false">IF(I523&gt;=5,1,IF(I523=4,0.75,IF(I523=3,0.5,IF(I523=2,0.25,0))))*Scoring!$C$8</f>
        <v>1</v>
      </c>
      <c r="O523" s="16" t="n">
        <f aca="false">IF(J523="Yes",0,Scoring!$C$6)</f>
        <v>2</v>
      </c>
      <c r="P523" s="16" t="n">
        <f aca="false">IF(L523="Yes",0,Scoring!$C$7)</f>
        <v>0.5</v>
      </c>
      <c r="Q523" s="8" t="n">
        <f aca="false">ROUND(SUM(M523:P523),2)</f>
        <v>7.4</v>
      </c>
      <c r="R523" s="8" t="str">
        <f aca="false">IF(Q523&gt;=Scoring!$C$10-0.000001,"Keep","Remove")</f>
        <v>Keep</v>
      </c>
      <c r="S523" s="8" t="s">
        <v>166</v>
      </c>
    </row>
    <row r="524" customFormat="false" ht="15" hidden="false" customHeight="false" outlineLevel="0" collapsed="false">
      <c r="A524" s="8" t="s">
        <v>3746</v>
      </c>
      <c r="B524" s="8" t="s">
        <v>3747</v>
      </c>
      <c r="C524" s="8" t="s">
        <v>178</v>
      </c>
      <c r="D524" s="8" t="s">
        <v>3739</v>
      </c>
      <c r="E524" s="8"/>
      <c r="F524" s="8" t="s">
        <v>82</v>
      </c>
      <c r="G524" s="8" t="n">
        <v>2</v>
      </c>
      <c r="H524" s="13" t="n">
        <v>4</v>
      </c>
      <c r="I524" s="8" t="n">
        <v>4</v>
      </c>
      <c r="J524" s="20" t="s">
        <v>259</v>
      </c>
      <c r="K524" s="8"/>
      <c r="L524" s="20" t="s">
        <v>259</v>
      </c>
      <c r="M524" s="16" t="n">
        <f aca="false">H524*Scoring!$C$5</f>
        <v>5.2</v>
      </c>
      <c r="N524" s="16" t="n">
        <f aca="false">IF(I524&gt;=5,1,IF(I524=4,0.75,IF(I524=3,0.5,IF(I524=2,0.25,0))))*Scoring!$C$8</f>
        <v>0.75</v>
      </c>
      <c r="O524" s="16" t="n">
        <f aca="false">IF(J524="Yes",0,Scoring!$C$6)</f>
        <v>2</v>
      </c>
      <c r="P524" s="16" t="n">
        <f aca="false">IF(L524="Yes",0,Scoring!$C$7)</f>
        <v>0.5</v>
      </c>
      <c r="Q524" s="8" t="n">
        <f aca="false">ROUND(SUM(M524:P524),2)</f>
        <v>8.45</v>
      </c>
      <c r="R524" s="8" t="str">
        <f aca="false">IF(Q524&gt;=Scoring!$C$10-0.000001,"Keep","Remove")</f>
        <v>Keep</v>
      </c>
      <c r="S524" s="8" t="s">
        <v>166</v>
      </c>
    </row>
    <row r="525" customFormat="false" ht="15" hidden="false" customHeight="false" outlineLevel="0" collapsed="false">
      <c r="A525" s="8" t="s">
        <v>7316</v>
      </c>
      <c r="B525" s="8" t="s">
        <v>7317</v>
      </c>
      <c r="C525" s="8" t="s">
        <v>178</v>
      </c>
      <c r="D525" s="8" t="s">
        <v>3739</v>
      </c>
      <c r="E525" s="8"/>
      <c r="F525" s="8" t="s">
        <v>78</v>
      </c>
      <c r="G525" s="8" t="n">
        <v>3</v>
      </c>
      <c r="H525" s="13" t="n">
        <v>2</v>
      </c>
      <c r="I525" s="8" t="n">
        <v>5</v>
      </c>
      <c r="J525" s="20" t="s">
        <v>259</v>
      </c>
      <c r="K525" s="8"/>
      <c r="L525" s="20" t="s">
        <v>259</v>
      </c>
      <c r="M525" s="16" t="n">
        <f aca="false">H525*Scoring!$C$5</f>
        <v>2.6</v>
      </c>
      <c r="N525" s="16" t="n">
        <f aca="false">IF(I525&gt;=5,1,IF(I525=4,0.75,IF(I525=3,0.5,IF(I525=2,0.25,0))))*Scoring!$C$8</f>
        <v>1</v>
      </c>
      <c r="O525" s="16" t="n">
        <f aca="false">IF(J525="Yes",0,Scoring!$C$6)</f>
        <v>2</v>
      </c>
      <c r="P525" s="16" t="n">
        <f aca="false">IF(L525="Yes",0,Scoring!$C$7)</f>
        <v>0.5</v>
      </c>
      <c r="Q525" s="8" t="n">
        <f aca="false">ROUND(SUM(M525:P525),2)</f>
        <v>6.1</v>
      </c>
      <c r="R525" s="8" t="str">
        <f aca="false">IF(Q525&gt;=Scoring!$C$10-0.000001,"Keep","Remove")</f>
        <v>Remove</v>
      </c>
      <c r="S525" s="8" t="s">
        <v>7243</v>
      </c>
    </row>
    <row r="526" customFormat="false" ht="15" hidden="false" customHeight="false" outlineLevel="0" collapsed="false">
      <c r="A526" s="8" t="s">
        <v>7702</v>
      </c>
      <c r="B526" s="8" t="s">
        <v>7703</v>
      </c>
      <c r="C526" s="8" t="s">
        <v>178</v>
      </c>
      <c r="D526" s="8" t="s">
        <v>3739</v>
      </c>
      <c r="E526" s="8"/>
      <c r="F526" s="8" t="s">
        <v>88</v>
      </c>
      <c r="G526" s="8" t="n">
        <v>3</v>
      </c>
      <c r="H526" s="13" t="n">
        <v>2</v>
      </c>
      <c r="I526" s="8" t="n">
        <v>3</v>
      </c>
      <c r="J526" s="20" t="s">
        <v>259</v>
      </c>
      <c r="K526" s="8"/>
      <c r="L526" s="20" t="s">
        <v>259</v>
      </c>
      <c r="M526" s="16" t="n">
        <f aca="false">H526*Scoring!$C$5</f>
        <v>2.6</v>
      </c>
      <c r="N526" s="16" t="n">
        <f aca="false">IF(I526&gt;=5,1,IF(I526=4,0.75,IF(I526=3,0.5,IF(I526=2,0.25,0))))*Scoring!$C$8</f>
        <v>0.5</v>
      </c>
      <c r="O526" s="16" t="n">
        <f aca="false">IF(J526="Yes",0,Scoring!$C$6)</f>
        <v>2</v>
      </c>
      <c r="P526" s="16" t="n">
        <f aca="false">IF(L526="Yes",0,Scoring!$C$7)</f>
        <v>0.5</v>
      </c>
      <c r="Q526" s="8" t="n">
        <f aca="false">ROUND(SUM(M526:P526),2)</f>
        <v>5.6</v>
      </c>
      <c r="R526" s="8" t="str">
        <f aca="false">IF(Q526&gt;=Scoring!$C$10-0.000001,"Keep","Remove")</f>
        <v>Remove</v>
      </c>
      <c r="S526" s="8" t="s">
        <v>7243</v>
      </c>
    </row>
    <row r="527" customFormat="false" ht="15" hidden="false" customHeight="false" outlineLevel="0" collapsed="false">
      <c r="A527" s="8" t="s">
        <v>7496</v>
      </c>
      <c r="B527" s="8" t="s">
        <v>7497</v>
      </c>
      <c r="C527" s="8" t="s">
        <v>178</v>
      </c>
      <c r="D527" s="8" t="s">
        <v>3739</v>
      </c>
      <c r="E527" s="8"/>
      <c r="F527" s="8" t="s">
        <v>78</v>
      </c>
      <c r="G527" s="8" t="n">
        <v>3</v>
      </c>
      <c r="H527" s="13" t="n">
        <v>2</v>
      </c>
      <c r="I527" s="8" t="n">
        <v>4</v>
      </c>
      <c r="J527" s="20" t="s">
        <v>259</v>
      </c>
      <c r="K527" s="8"/>
      <c r="L527" s="20" t="s">
        <v>259</v>
      </c>
      <c r="M527" s="16" t="n">
        <f aca="false">H527*Scoring!$C$5</f>
        <v>2.6</v>
      </c>
      <c r="N527" s="16" t="n">
        <f aca="false">IF(I527&gt;=5,1,IF(I527=4,0.75,IF(I527=3,0.5,IF(I527=2,0.25,0))))*Scoring!$C$8</f>
        <v>0.75</v>
      </c>
      <c r="O527" s="16" t="n">
        <f aca="false">IF(J527="Yes",0,Scoring!$C$6)</f>
        <v>2</v>
      </c>
      <c r="P527" s="16" t="n">
        <f aca="false">IF(L527="Yes",0,Scoring!$C$7)</f>
        <v>0.5</v>
      </c>
      <c r="Q527" s="8" t="n">
        <f aca="false">ROUND(SUM(M527:P527),2)</f>
        <v>5.85</v>
      </c>
      <c r="R527" s="8" t="str">
        <f aca="false">IF(Q527&gt;=Scoring!$C$10-0.000001,"Keep","Remove")</f>
        <v>Remove</v>
      </c>
      <c r="S527" s="8" t="s">
        <v>7243</v>
      </c>
    </row>
    <row r="528" customFormat="false" ht="15" hidden="false" customHeight="false" outlineLevel="0" collapsed="false">
      <c r="A528" s="8" t="s">
        <v>3754</v>
      </c>
      <c r="B528" s="8" t="s">
        <v>3755</v>
      </c>
      <c r="C528" s="8" t="s">
        <v>178</v>
      </c>
      <c r="D528" s="8" t="s">
        <v>3756</v>
      </c>
      <c r="E528" s="8"/>
      <c r="F528" s="8" t="s">
        <v>85</v>
      </c>
      <c r="G528" s="8" t="n">
        <v>2</v>
      </c>
      <c r="H528" s="13" t="n">
        <v>3</v>
      </c>
      <c r="I528" s="8" t="n">
        <v>6</v>
      </c>
      <c r="J528" s="20" t="s">
        <v>259</v>
      </c>
      <c r="K528" s="8"/>
      <c r="L528" s="20" t="s">
        <v>259</v>
      </c>
      <c r="M528" s="16" t="n">
        <f aca="false">H528*Scoring!$C$5</f>
        <v>3.9</v>
      </c>
      <c r="N528" s="16" t="n">
        <f aca="false">IF(I528&gt;=5,1,IF(I528=4,0.75,IF(I528=3,0.5,IF(I528=2,0.25,0))))*Scoring!$C$8</f>
        <v>1</v>
      </c>
      <c r="O528" s="16" t="n">
        <f aca="false">IF(J528="Yes",0,Scoring!$C$6)</f>
        <v>2</v>
      </c>
      <c r="P528" s="16" t="n">
        <f aca="false">IF(L528="Yes",0,Scoring!$C$7)</f>
        <v>0.5</v>
      </c>
      <c r="Q528" s="8" t="n">
        <f aca="false">ROUND(SUM(M528:P528),2)</f>
        <v>7.4</v>
      </c>
      <c r="R528" s="8" t="str">
        <f aca="false">IF(Q528&gt;=Scoring!$C$10-0.000001,"Keep","Remove")</f>
        <v>Keep</v>
      </c>
      <c r="S528" s="8" t="s">
        <v>166</v>
      </c>
    </row>
    <row r="529" customFormat="false" ht="15" hidden="false" customHeight="false" outlineLevel="0" collapsed="false">
      <c r="A529" s="8" t="s">
        <v>7498</v>
      </c>
      <c r="B529" s="8" t="s">
        <v>7499</v>
      </c>
      <c r="C529" s="8" t="s">
        <v>178</v>
      </c>
      <c r="D529" s="8" t="s">
        <v>3756</v>
      </c>
      <c r="E529" s="8"/>
      <c r="F529" s="8" t="s">
        <v>78</v>
      </c>
      <c r="G529" s="8" t="n">
        <v>3</v>
      </c>
      <c r="H529" s="13" t="n">
        <v>2</v>
      </c>
      <c r="I529" s="8" t="n">
        <v>4</v>
      </c>
      <c r="J529" s="20" t="s">
        <v>259</v>
      </c>
      <c r="K529" s="8"/>
      <c r="L529" s="20" t="s">
        <v>259</v>
      </c>
      <c r="M529" s="16" t="n">
        <f aca="false">H529*Scoring!$C$5</f>
        <v>2.6</v>
      </c>
      <c r="N529" s="16" t="n">
        <f aca="false">IF(I529&gt;=5,1,IF(I529=4,0.75,IF(I529=3,0.5,IF(I529=2,0.25,0))))*Scoring!$C$8</f>
        <v>0.75</v>
      </c>
      <c r="O529" s="16" t="n">
        <f aca="false">IF(J529="Yes",0,Scoring!$C$6)</f>
        <v>2</v>
      </c>
      <c r="P529" s="16" t="n">
        <f aca="false">IF(L529="Yes",0,Scoring!$C$7)</f>
        <v>0.5</v>
      </c>
      <c r="Q529" s="8" t="n">
        <f aca="false">ROUND(SUM(M529:P529),2)</f>
        <v>5.85</v>
      </c>
      <c r="R529" s="8" t="str">
        <f aca="false">IF(Q529&gt;=Scoring!$C$10-0.000001,"Keep","Remove")</f>
        <v>Remove</v>
      </c>
      <c r="S529" s="8" t="s">
        <v>7243</v>
      </c>
    </row>
    <row r="530" customFormat="false" ht="15" hidden="false" customHeight="false" outlineLevel="0" collapsed="false">
      <c r="A530" s="8" t="s">
        <v>7878</v>
      </c>
      <c r="B530" s="8" t="s">
        <v>7879</v>
      </c>
      <c r="C530" s="8" t="s">
        <v>178</v>
      </c>
      <c r="D530" s="8" t="s">
        <v>3756</v>
      </c>
      <c r="E530" s="8"/>
      <c r="F530" s="8" t="s">
        <v>84</v>
      </c>
      <c r="G530" s="8" t="n">
        <v>3</v>
      </c>
      <c r="H530" s="13" t="n">
        <v>2</v>
      </c>
      <c r="I530" s="8" t="n">
        <v>4</v>
      </c>
      <c r="J530" s="20" t="s">
        <v>218</v>
      </c>
      <c r="K530" s="8" t="s">
        <v>8176</v>
      </c>
      <c r="L530" s="20" t="s">
        <v>259</v>
      </c>
      <c r="M530" s="16" t="n">
        <f aca="false">H530*Scoring!$C$5</f>
        <v>2.6</v>
      </c>
      <c r="N530" s="16" t="n">
        <f aca="false">IF(I530&gt;=5,1,IF(I530=4,0.75,IF(I530=3,0.5,IF(I530=2,0.25,0))))*Scoring!$C$8</f>
        <v>0.75</v>
      </c>
      <c r="O530" s="16" t="n">
        <f aca="false">IF(J530="Yes",0,Scoring!$C$6)</f>
        <v>0</v>
      </c>
      <c r="P530" s="16" t="n">
        <f aca="false">IF(L530="Yes",0,Scoring!$C$7)</f>
        <v>0.5</v>
      </c>
      <c r="Q530" s="8" t="n">
        <f aca="false">ROUND(SUM(M530:P530),2)</f>
        <v>3.85</v>
      </c>
      <c r="R530" s="8" t="str">
        <f aca="false">IF(Q530&gt;=Scoring!$C$10-0.000001,"Keep","Remove")</f>
        <v>Remove</v>
      </c>
      <c r="S530" s="8" t="s">
        <v>7880</v>
      </c>
    </row>
    <row r="531" customFormat="false" ht="15" hidden="false" customHeight="false" outlineLevel="0" collapsed="false">
      <c r="A531" s="8" t="s">
        <v>3761</v>
      </c>
      <c r="B531" s="8" t="s">
        <v>3762</v>
      </c>
      <c r="C531" s="8" t="s">
        <v>178</v>
      </c>
      <c r="D531" s="8" t="s">
        <v>3763</v>
      </c>
      <c r="E531" s="8"/>
      <c r="F531" s="8" t="s">
        <v>78</v>
      </c>
      <c r="G531" s="8" t="n">
        <v>1</v>
      </c>
      <c r="H531" s="13" t="n">
        <v>4</v>
      </c>
      <c r="I531" s="8" t="n">
        <v>4</v>
      </c>
      <c r="J531" s="20" t="s">
        <v>259</v>
      </c>
      <c r="K531" s="8"/>
      <c r="L531" s="20" t="s">
        <v>259</v>
      </c>
      <c r="M531" s="16" t="n">
        <f aca="false">H531*Scoring!$C$5</f>
        <v>5.2</v>
      </c>
      <c r="N531" s="16" t="n">
        <f aca="false">IF(I531&gt;=5,1,IF(I531=4,0.75,IF(I531=3,0.5,IF(I531=2,0.25,0))))*Scoring!$C$8</f>
        <v>0.75</v>
      </c>
      <c r="O531" s="16" t="n">
        <f aca="false">IF(J531="Yes",0,Scoring!$C$6)</f>
        <v>2</v>
      </c>
      <c r="P531" s="16" t="n">
        <f aca="false">IF(L531="Yes",0,Scoring!$C$7)</f>
        <v>0.5</v>
      </c>
      <c r="Q531" s="8" t="n">
        <f aca="false">ROUND(SUM(M531:P531),2)</f>
        <v>8.45</v>
      </c>
      <c r="R531" s="8" t="str">
        <f aca="false">IF(Q531&gt;=Scoring!$C$10-0.000001,"Keep","Remove")</f>
        <v>Keep</v>
      </c>
      <c r="S531" s="8" t="s">
        <v>166</v>
      </c>
    </row>
    <row r="532" customFormat="false" ht="15" hidden="false" customHeight="false" outlineLevel="0" collapsed="false">
      <c r="A532" s="8" t="s">
        <v>7765</v>
      </c>
      <c r="B532" s="8" t="s">
        <v>7766</v>
      </c>
      <c r="C532" s="8" t="s">
        <v>178</v>
      </c>
      <c r="D532" s="8" t="s">
        <v>3763</v>
      </c>
      <c r="E532" s="8"/>
      <c r="F532" s="8" t="s">
        <v>79</v>
      </c>
      <c r="G532" s="8" t="n">
        <v>2</v>
      </c>
      <c r="H532" s="13" t="n">
        <v>3</v>
      </c>
      <c r="I532" s="8" t="n">
        <v>5</v>
      </c>
      <c r="J532" s="20" t="s">
        <v>218</v>
      </c>
      <c r="K532" s="8" t="s">
        <v>8177</v>
      </c>
      <c r="L532" s="20" t="s">
        <v>259</v>
      </c>
      <c r="M532" s="16" t="n">
        <f aca="false">H532*Scoring!$C$5</f>
        <v>3.9</v>
      </c>
      <c r="N532" s="16" t="n">
        <f aca="false">IF(I532&gt;=5,1,IF(I532=4,0.75,IF(I532=3,0.5,IF(I532=2,0.25,0))))*Scoring!$C$8</f>
        <v>1</v>
      </c>
      <c r="O532" s="16" t="n">
        <f aca="false">IF(J532="Yes",0,Scoring!$C$6)</f>
        <v>0</v>
      </c>
      <c r="P532" s="16" t="n">
        <f aca="false">IF(L532="Yes",0,Scoring!$C$7)</f>
        <v>0.5</v>
      </c>
      <c r="Q532" s="8" t="n">
        <f aca="false">ROUND(SUM(M532:P532),2)</f>
        <v>5.4</v>
      </c>
      <c r="R532" s="8" t="str">
        <f aca="false">IF(Q532&gt;=Scoring!$C$10-0.000001,"Keep","Remove")</f>
        <v>Remove</v>
      </c>
      <c r="S532" s="8" t="s">
        <v>7767</v>
      </c>
    </row>
    <row r="533" customFormat="false" ht="15" hidden="false" customHeight="false" outlineLevel="0" collapsed="false">
      <c r="A533" s="8" t="s">
        <v>7318</v>
      </c>
      <c r="B533" s="8" t="s">
        <v>7319</v>
      </c>
      <c r="C533" s="8" t="s">
        <v>178</v>
      </c>
      <c r="D533" s="8" t="s">
        <v>3763</v>
      </c>
      <c r="E533" s="8"/>
      <c r="F533" s="8" t="s">
        <v>84</v>
      </c>
      <c r="G533" s="8" t="n">
        <v>3</v>
      </c>
      <c r="H533" s="13" t="n">
        <v>2</v>
      </c>
      <c r="I533" s="8" t="n">
        <v>6</v>
      </c>
      <c r="J533" s="20" t="s">
        <v>259</v>
      </c>
      <c r="K533" s="8"/>
      <c r="L533" s="20" t="s">
        <v>259</v>
      </c>
      <c r="M533" s="16" t="n">
        <f aca="false">H533*Scoring!$C$5</f>
        <v>2.6</v>
      </c>
      <c r="N533" s="16" t="n">
        <f aca="false">IF(I533&gt;=5,1,IF(I533=4,0.75,IF(I533=3,0.5,IF(I533=2,0.25,0))))*Scoring!$C$8</f>
        <v>1</v>
      </c>
      <c r="O533" s="16" t="n">
        <f aca="false">IF(J533="Yes",0,Scoring!$C$6)</f>
        <v>2</v>
      </c>
      <c r="P533" s="16" t="n">
        <f aca="false">IF(L533="Yes",0,Scoring!$C$7)</f>
        <v>0.5</v>
      </c>
      <c r="Q533" s="8" t="n">
        <f aca="false">ROUND(SUM(M533:P533),2)</f>
        <v>6.1</v>
      </c>
      <c r="R533" s="8" t="str">
        <f aca="false">IF(Q533&gt;=Scoring!$C$10-0.000001,"Keep","Remove")</f>
        <v>Remove</v>
      </c>
      <c r="S533" s="8" t="s">
        <v>7243</v>
      </c>
    </row>
    <row r="534" customFormat="false" ht="15" hidden="false" customHeight="false" outlineLevel="0" collapsed="false">
      <c r="A534" s="8" t="s">
        <v>3772</v>
      </c>
      <c r="B534" s="8" t="s">
        <v>3773</v>
      </c>
      <c r="C534" s="8" t="s">
        <v>178</v>
      </c>
      <c r="D534" s="8" t="s">
        <v>3774</v>
      </c>
      <c r="E534" s="8"/>
      <c r="F534" s="8" t="s">
        <v>78</v>
      </c>
      <c r="G534" s="8" t="n">
        <v>2</v>
      </c>
      <c r="H534" s="13" t="n">
        <v>3</v>
      </c>
      <c r="I534" s="8" t="n">
        <v>3</v>
      </c>
      <c r="J534" s="20" t="s">
        <v>259</v>
      </c>
      <c r="K534" s="8"/>
      <c r="L534" s="20" t="s">
        <v>259</v>
      </c>
      <c r="M534" s="16" t="n">
        <f aca="false">H534*Scoring!$C$5</f>
        <v>3.9</v>
      </c>
      <c r="N534" s="16" t="n">
        <f aca="false">IF(I534&gt;=5,1,IF(I534=4,0.75,IF(I534=3,0.5,IF(I534=2,0.25,0))))*Scoring!$C$8</f>
        <v>0.5</v>
      </c>
      <c r="O534" s="16" t="n">
        <f aca="false">IF(J534="Yes",0,Scoring!$C$6)</f>
        <v>2</v>
      </c>
      <c r="P534" s="16" t="n">
        <f aca="false">IF(L534="Yes",0,Scoring!$C$7)</f>
        <v>0.5</v>
      </c>
      <c r="Q534" s="8" t="n">
        <f aca="false">ROUND(SUM(M534:P534),2)</f>
        <v>6.9</v>
      </c>
      <c r="R534" s="8" t="str">
        <f aca="false">IF(Q534&gt;=Scoring!$C$10-0.000001,"Keep","Remove")</f>
        <v>Keep</v>
      </c>
      <c r="S534" s="8" t="s">
        <v>166</v>
      </c>
    </row>
    <row r="535" customFormat="false" ht="15" hidden="false" customHeight="false" outlineLevel="0" collapsed="false">
      <c r="A535" s="8" t="s">
        <v>7231</v>
      </c>
      <c r="B535" s="8" t="s">
        <v>7232</v>
      </c>
      <c r="C535" s="8" t="s">
        <v>178</v>
      </c>
      <c r="D535" s="8" t="s">
        <v>3782</v>
      </c>
      <c r="E535" s="8"/>
      <c r="F535" s="8" t="s">
        <v>78</v>
      </c>
      <c r="G535" s="8" t="n">
        <v>2</v>
      </c>
      <c r="H535" s="13" t="n">
        <v>4</v>
      </c>
      <c r="I535" s="8" t="n">
        <v>4</v>
      </c>
      <c r="J535" s="20" t="s">
        <v>218</v>
      </c>
      <c r="K535" s="8" t="s">
        <v>8178</v>
      </c>
      <c r="L535" s="20" t="s">
        <v>259</v>
      </c>
      <c r="M535" s="16" t="n">
        <f aca="false">H535*Scoring!$C$5</f>
        <v>5.2</v>
      </c>
      <c r="N535" s="16" t="n">
        <f aca="false">IF(I535&gt;=5,1,IF(I535=4,0.75,IF(I535=3,0.5,IF(I535=2,0.25,0))))*Scoring!$C$8</f>
        <v>0.75</v>
      </c>
      <c r="O535" s="16" t="n">
        <f aca="false">IF(J535="Yes",0,Scoring!$C$6)</f>
        <v>0</v>
      </c>
      <c r="P535" s="16" t="n">
        <f aca="false">IF(L535="Yes",0,Scoring!$C$7)</f>
        <v>0.5</v>
      </c>
      <c r="Q535" s="8" t="n">
        <f aca="false">ROUND(SUM(M535:P535),2)</f>
        <v>6.45</v>
      </c>
      <c r="R535" s="8" t="str">
        <f aca="false">IF(Q535&gt;=Scoring!$C$10-0.000001,"Keep","Remove")</f>
        <v>Remove</v>
      </c>
      <c r="S535" s="8" t="s">
        <v>7233</v>
      </c>
    </row>
    <row r="536" customFormat="false" ht="15" hidden="false" customHeight="false" outlineLevel="0" collapsed="false">
      <c r="A536" s="8" t="s">
        <v>3780</v>
      </c>
      <c r="B536" s="8" t="s">
        <v>3781</v>
      </c>
      <c r="C536" s="8" t="s">
        <v>178</v>
      </c>
      <c r="D536" s="8" t="s">
        <v>3782</v>
      </c>
      <c r="E536" s="8"/>
      <c r="F536" s="8" t="s">
        <v>78</v>
      </c>
      <c r="G536" s="8" t="n">
        <v>2</v>
      </c>
      <c r="H536" s="13" t="n">
        <v>4</v>
      </c>
      <c r="I536" s="8" t="n">
        <v>3</v>
      </c>
      <c r="J536" s="20" t="s">
        <v>259</v>
      </c>
      <c r="K536" s="8"/>
      <c r="L536" s="20" t="s">
        <v>259</v>
      </c>
      <c r="M536" s="16" t="n">
        <f aca="false">H536*Scoring!$C$5</f>
        <v>5.2</v>
      </c>
      <c r="N536" s="16" t="n">
        <f aca="false">IF(I536&gt;=5,1,IF(I536=4,0.75,IF(I536=3,0.5,IF(I536=2,0.25,0))))*Scoring!$C$8</f>
        <v>0.5</v>
      </c>
      <c r="O536" s="16" t="n">
        <f aca="false">IF(J536="Yes",0,Scoring!$C$6)</f>
        <v>2</v>
      </c>
      <c r="P536" s="16" t="n">
        <f aca="false">IF(L536="Yes",0,Scoring!$C$7)</f>
        <v>0.5</v>
      </c>
      <c r="Q536" s="8" t="n">
        <f aca="false">ROUND(SUM(M536:P536),2)</f>
        <v>8.2</v>
      </c>
      <c r="R536" s="8" t="str">
        <f aca="false">IF(Q536&gt;=Scoring!$C$10-0.000001,"Keep","Remove")</f>
        <v>Keep</v>
      </c>
      <c r="S536" s="8" t="s">
        <v>166</v>
      </c>
    </row>
    <row r="537" customFormat="false" ht="15" hidden="false" customHeight="false" outlineLevel="0" collapsed="false">
      <c r="A537" s="8" t="s">
        <v>3789</v>
      </c>
      <c r="B537" s="8" t="s">
        <v>3790</v>
      </c>
      <c r="C537" s="8" t="s">
        <v>178</v>
      </c>
      <c r="D537" s="8" t="s">
        <v>3782</v>
      </c>
      <c r="E537" s="8"/>
      <c r="F537" s="8" t="s">
        <v>79</v>
      </c>
      <c r="G537" s="8" t="n">
        <v>2</v>
      </c>
      <c r="H537" s="13" t="n">
        <v>4</v>
      </c>
      <c r="I537" s="8" t="n">
        <v>6</v>
      </c>
      <c r="J537" s="20" t="s">
        <v>259</v>
      </c>
      <c r="K537" s="8"/>
      <c r="L537" s="20" t="s">
        <v>259</v>
      </c>
      <c r="M537" s="16" t="n">
        <f aca="false">H537*Scoring!$C$5</f>
        <v>5.2</v>
      </c>
      <c r="N537" s="16" t="n">
        <f aca="false">IF(I537&gt;=5,1,IF(I537=4,0.75,IF(I537=3,0.5,IF(I537=2,0.25,0))))*Scoring!$C$8</f>
        <v>1</v>
      </c>
      <c r="O537" s="16" t="n">
        <f aca="false">IF(J537="Yes",0,Scoring!$C$6)</f>
        <v>2</v>
      </c>
      <c r="P537" s="16" t="n">
        <f aca="false">IF(L537="Yes",0,Scoring!$C$7)</f>
        <v>0.5</v>
      </c>
      <c r="Q537" s="8" t="n">
        <f aca="false">ROUND(SUM(M537:P537),2)</f>
        <v>8.7</v>
      </c>
      <c r="R537" s="8" t="str">
        <f aca="false">IF(Q537&gt;=Scoring!$C$10-0.000001,"Keep","Remove")</f>
        <v>Keep</v>
      </c>
      <c r="S537" s="8" t="s">
        <v>166</v>
      </c>
    </row>
    <row r="538" customFormat="false" ht="15" hidden="false" customHeight="false" outlineLevel="0" collapsed="false">
      <c r="A538" s="8" t="s">
        <v>7500</v>
      </c>
      <c r="B538" s="8" t="s">
        <v>7501</v>
      </c>
      <c r="C538" s="8" t="s">
        <v>178</v>
      </c>
      <c r="D538" s="8" t="s">
        <v>3782</v>
      </c>
      <c r="E538" s="8"/>
      <c r="F538" s="8" t="s">
        <v>78</v>
      </c>
      <c r="G538" s="8" t="n">
        <v>3</v>
      </c>
      <c r="H538" s="13" t="n">
        <v>2</v>
      </c>
      <c r="I538" s="8" t="n">
        <v>4</v>
      </c>
      <c r="J538" s="20" t="s">
        <v>259</v>
      </c>
      <c r="K538" s="8"/>
      <c r="L538" s="20" t="s">
        <v>259</v>
      </c>
      <c r="M538" s="16" t="n">
        <f aca="false">H538*Scoring!$C$5</f>
        <v>2.6</v>
      </c>
      <c r="N538" s="16" t="n">
        <f aca="false">IF(I538&gt;=5,1,IF(I538=4,0.75,IF(I538=3,0.5,IF(I538=2,0.25,0))))*Scoring!$C$8</f>
        <v>0.75</v>
      </c>
      <c r="O538" s="16" t="n">
        <f aca="false">IF(J538="Yes",0,Scoring!$C$6)</f>
        <v>2</v>
      </c>
      <c r="P538" s="16" t="n">
        <f aca="false">IF(L538="Yes",0,Scoring!$C$7)</f>
        <v>0.5</v>
      </c>
      <c r="Q538" s="8" t="n">
        <f aca="false">ROUND(SUM(M538:P538),2)</f>
        <v>5.85</v>
      </c>
      <c r="R538" s="8" t="str">
        <f aca="false">IF(Q538&gt;=Scoring!$C$10-0.000001,"Keep","Remove")</f>
        <v>Remove</v>
      </c>
      <c r="S538" s="8" t="s">
        <v>7243</v>
      </c>
    </row>
    <row r="539" customFormat="false" ht="15" hidden="false" customHeight="false" outlineLevel="0" collapsed="false">
      <c r="A539" s="8" t="s">
        <v>7793</v>
      </c>
      <c r="B539" s="8" t="s">
        <v>7794</v>
      </c>
      <c r="C539" s="8" t="s">
        <v>178</v>
      </c>
      <c r="D539" s="8" t="s">
        <v>3782</v>
      </c>
      <c r="E539" s="8"/>
      <c r="F539" s="8" t="s">
        <v>83</v>
      </c>
      <c r="G539" s="8" t="n">
        <v>3</v>
      </c>
      <c r="H539" s="13" t="n">
        <v>2</v>
      </c>
      <c r="I539" s="8" t="n">
        <v>2</v>
      </c>
      <c r="J539" s="20" t="s">
        <v>259</v>
      </c>
      <c r="K539" s="8"/>
      <c r="L539" s="20" t="s">
        <v>259</v>
      </c>
      <c r="M539" s="16" t="n">
        <f aca="false">H539*Scoring!$C$5</f>
        <v>2.6</v>
      </c>
      <c r="N539" s="16" t="n">
        <f aca="false">IF(I539&gt;=5,1,IF(I539=4,0.75,IF(I539=3,0.5,IF(I539=2,0.25,0))))*Scoring!$C$8</f>
        <v>0.25</v>
      </c>
      <c r="O539" s="16" t="n">
        <f aca="false">IF(J539="Yes",0,Scoring!$C$6)</f>
        <v>2</v>
      </c>
      <c r="P539" s="16" t="n">
        <f aca="false">IF(L539="Yes",0,Scoring!$C$7)</f>
        <v>0.5</v>
      </c>
      <c r="Q539" s="8" t="n">
        <f aca="false">ROUND(SUM(M539:P539),2)</f>
        <v>5.35</v>
      </c>
      <c r="R539" s="8" t="str">
        <f aca="false">IF(Q539&gt;=Scoring!$C$10-0.000001,"Keep","Remove")</f>
        <v>Remove</v>
      </c>
      <c r="S539" s="8" t="s">
        <v>7243</v>
      </c>
    </row>
    <row r="540" customFormat="false" ht="15" hidden="false" customHeight="false" outlineLevel="0" collapsed="false">
      <c r="A540" s="8" t="s">
        <v>3800</v>
      </c>
      <c r="B540" s="8" t="s">
        <v>3801</v>
      </c>
      <c r="C540" s="8" t="s">
        <v>178</v>
      </c>
      <c r="D540" s="8" t="s">
        <v>3802</v>
      </c>
      <c r="E540" s="8"/>
      <c r="F540" s="8" t="s">
        <v>85</v>
      </c>
      <c r="G540" s="8" t="n">
        <v>2</v>
      </c>
      <c r="H540" s="13" t="n">
        <v>3</v>
      </c>
      <c r="I540" s="8" t="n">
        <v>5</v>
      </c>
      <c r="J540" s="20" t="s">
        <v>259</v>
      </c>
      <c r="K540" s="8"/>
      <c r="L540" s="20" t="s">
        <v>259</v>
      </c>
      <c r="M540" s="16" t="n">
        <f aca="false">H540*Scoring!$C$5</f>
        <v>3.9</v>
      </c>
      <c r="N540" s="16" t="n">
        <f aca="false">IF(I540&gt;=5,1,IF(I540=4,0.75,IF(I540=3,0.5,IF(I540=2,0.25,0))))*Scoring!$C$8</f>
        <v>1</v>
      </c>
      <c r="O540" s="16" t="n">
        <f aca="false">IF(J540="Yes",0,Scoring!$C$6)</f>
        <v>2</v>
      </c>
      <c r="P540" s="16" t="n">
        <f aca="false">IF(L540="Yes",0,Scoring!$C$7)</f>
        <v>0.5</v>
      </c>
      <c r="Q540" s="8" t="n">
        <f aca="false">ROUND(SUM(M540:P540),2)</f>
        <v>7.4</v>
      </c>
      <c r="R540" s="8" t="str">
        <f aca="false">IF(Q540&gt;=Scoring!$C$10-0.000001,"Keep","Remove")</f>
        <v>Keep</v>
      </c>
      <c r="S540" s="8" t="s">
        <v>166</v>
      </c>
    </row>
    <row r="541" customFormat="false" ht="15" hidden="false" customHeight="false" outlineLevel="0" collapsed="false">
      <c r="A541" s="8" t="s">
        <v>7502</v>
      </c>
      <c r="B541" s="8" t="s">
        <v>7503</v>
      </c>
      <c r="C541" s="8" t="s">
        <v>178</v>
      </c>
      <c r="D541" s="8" t="s">
        <v>3802</v>
      </c>
      <c r="E541" s="8"/>
      <c r="F541" s="8" t="s">
        <v>79</v>
      </c>
      <c r="G541" s="8" t="n">
        <v>3</v>
      </c>
      <c r="H541" s="13" t="n">
        <v>2</v>
      </c>
      <c r="I541" s="8" t="n">
        <v>4</v>
      </c>
      <c r="J541" s="20" t="s">
        <v>259</v>
      </c>
      <c r="K541" s="8"/>
      <c r="L541" s="20" t="s">
        <v>259</v>
      </c>
      <c r="M541" s="16" t="n">
        <f aca="false">H541*Scoring!$C$5</f>
        <v>2.6</v>
      </c>
      <c r="N541" s="16" t="n">
        <f aca="false">IF(I541&gt;=5,1,IF(I541=4,0.75,IF(I541=3,0.5,IF(I541=2,0.25,0))))*Scoring!$C$8</f>
        <v>0.75</v>
      </c>
      <c r="O541" s="16" t="n">
        <f aca="false">IF(J541="Yes",0,Scoring!$C$6)</f>
        <v>2</v>
      </c>
      <c r="P541" s="16" t="n">
        <f aca="false">IF(L541="Yes",0,Scoring!$C$7)</f>
        <v>0.5</v>
      </c>
      <c r="Q541" s="8" t="n">
        <f aca="false">ROUND(SUM(M541:P541),2)</f>
        <v>5.85</v>
      </c>
      <c r="R541" s="8" t="str">
        <f aca="false">IF(Q541&gt;=Scoring!$C$10-0.000001,"Keep","Remove")</f>
        <v>Remove</v>
      </c>
      <c r="S541" s="8" t="s">
        <v>7243</v>
      </c>
    </row>
    <row r="542" customFormat="false" ht="15" hidden="false" customHeight="false" outlineLevel="0" collapsed="false">
      <c r="A542" s="8" t="s">
        <v>7504</v>
      </c>
      <c r="B542" s="8" t="s">
        <v>7505</v>
      </c>
      <c r="C542" s="8" t="s">
        <v>178</v>
      </c>
      <c r="D542" s="8" t="s">
        <v>3802</v>
      </c>
      <c r="E542" s="8"/>
      <c r="F542" s="8" t="s">
        <v>79</v>
      </c>
      <c r="G542" s="8" t="n">
        <v>3</v>
      </c>
      <c r="H542" s="13" t="n">
        <v>2</v>
      </c>
      <c r="I542" s="8" t="n">
        <v>4</v>
      </c>
      <c r="J542" s="20" t="s">
        <v>259</v>
      </c>
      <c r="K542" s="8"/>
      <c r="L542" s="20" t="s">
        <v>259</v>
      </c>
      <c r="M542" s="16" t="n">
        <f aca="false">H542*Scoring!$C$5</f>
        <v>2.6</v>
      </c>
      <c r="N542" s="16" t="n">
        <f aca="false">IF(I542&gt;=5,1,IF(I542=4,0.75,IF(I542=3,0.5,IF(I542=2,0.25,0))))*Scoring!$C$8</f>
        <v>0.75</v>
      </c>
      <c r="O542" s="16" t="n">
        <f aca="false">IF(J542="Yes",0,Scoring!$C$6)</f>
        <v>2</v>
      </c>
      <c r="P542" s="16" t="n">
        <f aca="false">IF(L542="Yes",0,Scoring!$C$7)</f>
        <v>0.5</v>
      </c>
      <c r="Q542" s="8" t="n">
        <f aca="false">ROUND(SUM(M542:P542),2)</f>
        <v>5.85</v>
      </c>
      <c r="R542" s="8" t="str">
        <f aca="false">IF(Q542&gt;=Scoring!$C$10-0.000001,"Keep","Remove")</f>
        <v>Remove</v>
      </c>
      <c r="S542" s="8" t="s">
        <v>7243</v>
      </c>
    </row>
    <row r="543" customFormat="false" ht="15" hidden="false" customHeight="false" outlineLevel="0" collapsed="false">
      <c r="A543" s="8" t="s">
        <v>3810</v>
      </c>
      <c r="B543" s="8" t="s">
        <v>3811</v>
      </c>
      <c r="C543" s="8" t="s">
        <v>178</v>
      </c>
      <c r="D543" s="8" t="s">
        <v>3812</v>
      </c>
      <c r="E543" s="8"/>
      <c r="F543" s="8" t="s">
        <v>85</v>
      </c>
      <c r="G543" s="8" t="n">
        <v>1</v>
      </c>
      <c r="H543" s="13" t="n">
        <v>3</v>
      </c>
      <c r="I543" s="8" t="n">
        <v>5</v>
      </c>
      <c r="J543" s="20" t="s">
        <v>259</v>
      </c>
      <c r="K543" s="8"/>
      <c r="L543" s="20" t="s">
        <v>259</v>
      </c>
      <c r="M543" s="16" t="n">
        <f aca="false">H543*Scoring!$C$5</f>
        <v>3.9</v>
      </c>
      <c r="N543" s="16" t="n">
        <f aca="false">IF(I543&gt;=5,1,IF(I543=4,0.75,IF(I543=3,0.5,IF(I543=2,0.25,0))))*Scoring!$C$8</f>
        <v>1</v>
      </c>
      <c r="O543" s="16" t="n">
        <f aca="false">IF(J543="Yes",0,Scoring!$C$6)</f>
        <v>2</v>
      </c>
      <c r="P543" s="16" t="n">
        <f aca="false">IF(L543="Yes",0,Scoring!$C$7)</f>
        <v>0.5</v>
      </c>
      <c r="Q543" s="8" t="n">
        <f aca="false">ROUND(SUM(M543:P543),2)</f>
        <v>7.4</v>
      </c>
      <c r="R543" s="8" t="str">
        <f aca="false">IF(Q543&gt;=Scoring!$C$10-0.000001,"Keep","Remove")</f>
        <v>Keep</v>
      </c>
      <c r="S543" s="8" t="s">
        <v>166</v>
      </c>
    </row>
    <row r="544" customFormat="false" ht="15" hidden="false" customHeight="false" outlineLevel="0" collapsed="false">
      <c r="A544" s="8" t="s">
        <v>3821</v>
      </c>
      <c r="B544" s="8" t="s">
        <v>3822</v>
      </c>
      <c r="C544" s="8" t="s">
        <v>178</v>
      </c>
      <c r="D544" s="8" t="s">
        <v>3812</v>
      </c>
      <c r="E544" s="8"/>
      <c r="F544" s="8" t="s">
        <v>83</v>
      </c>
      <c r="G544" s="8" t="n">
        <v>2</v>
      </c>
      <c r="H544" s="13" t="n">
        <v>3</v>
      </c>
      <c r="I544" s="8" t="n">
        <v>4</v>
      </c>
      <c r="J544" s="20" t="s">
        <v>259</v>
      </c>
      <c r="K544" s="8"/>
      <c r="L544" s="20" t="s">
        <v>259</v>
      </c>
      <c r="M544" s="16" t="n">
        <f aca="false">H544*Scoring!$C$5</f>
        <v>3.9</v>
      </c>
      <c r="N544" s="16" t="n">
        <f aca="false">IF(I544&gt;=5,1,IF(I544=4,0.75,IF(I544=3,0.5,IF(I544=2,0.25,0))))*Scoring!$C$8</f>
        <v>0.75</v>
      </c>
      <c r="O544" s="16" t="n">
        <f aca="false">IF(J544="Yes",0,Scoring!$C$6)</f>
        <v>2</v>
      </c>
      <c r="P544" s="16" t="n">
        <f aca="false">IF(L544="Yes",0,Scoring!$C$7)</f>
        <v>0.5</v>
      </c>
      <c r="Q544" s="8" t="n">
        <f aca="false">ROUND(SUM(M544:P544),2)</f>
        <v>7.15</v>
      </c>
      <c r="R544" s="8" t="str">
        <f aca="false">IF(Q544&gt;=Scoring!$C$10-0.000001,"Keep","Remove")</f>
        <v>Keep</v>
      </c>
      <c r="S544" s="8" t="s">
        <v>166</v>
      </c>
    </row>
    <row r="545" customFormat="false" ht="15" hidden="false" customHeight="false" outlineLevel="0" collapsed="false">
      <c r="A545" s="8" t="s">
        <v>7704</v>
      </c>
      <c r="B545" s="8" t="s">
        <v>7705</v>
      </c>
      <c r="C545" s="8" t="s">
        <v>178</v>
      </c>
      <c r="D545" s="8" t="s">
        <v>3812</v>
      </c>
      <c r="E545" s="8"/>
      <c r="F545" s="8" t="s">
        <v>79</v>
      </c>
      <c r="G545" s="8" t="n">
        <v>3</v>
      </c>
      <c r="H545" s="13" t="n">
        <v>2</v>
      </c>
      <c r="I545" s="8" t="n">
        <v>3</v>
      </c>
      <c r="J545" s="20" t="s">
        <v>259</v>
      </c>
      <c r="K545" s="8"/>
      <c r="L545" s="20" t="s">
        <v>259</v>
      </c>
      <c r="M545" s="16" t="n">
        <f aca="false">H545*Scoring!$C$5</f>
        <v>2.6</v>
      </c>
      <c r="N545" s="16" t="n">
        <f aca="false">IF(I545&gt;=5,1,IF(I545=4,0.75,IF(I545=3,0.5,IF(I545=2,0.25,0))))*Scoring!$C$8</f>
        <v>0.5</v>
      </c>
      <c r="O545" s="16" t="n">
        <f aca="false">IF(J545="Yes",0,Scoring!$C$6)</f>
        <v>2</v>
      </c>
      <c r="P545" s="16" t="n">
        <f aca="false">IF(L545="Yes",0,Scoring!$C$7)</f>
        <v>0.5</v>
      </c>
      <c r="Q545" s="8" t="n">
        <f aca="false">ROUND(SUM(M545:P545),2)</f>
        <v>5.6</v>
      </c>
      <c r="R545" s="8" t="str">
        <f aca="false">IF(Q545&gt;=Scoring!$C$10-0.000001,"Keep","Remove")</f>
        <v>Remove</v>
      </c>
      <c r="S545" s="8" t="s">
        <v>7243</v>
      </c>
    </row>
    <row r="546" customFormat="false" ht="15" hidden="false" customHeight="false" outlineLevel="0" collapsed="false">
      <c r="A546" s="8" t="s">
        <v>7506</v>
      </c>
      <c r="B546" s="8" t="s">
        <v>7507</v>
      </c>
      <c r="C546" s="8" t="s">
        <v>178</v>
      </c>
      <c r="D546" s="8" t="s">
        <v>7508</v>
      </c>
      <c r="E546" s="8"/>
      <c r="F546" s="8" t="s">
        <v>78</v>
      </c>
      <c r="G546" s="8" t="n">
        <v>3</v>
      </c>
      <c r="H546" s="13" t="n">
        <v>2</v>
      </c>
      <c r="I546" s="8" t="n">
        <v>4</v>
      </c>
      <c r="J546" s="20" t="s">
        <v>259</v>
      </c>
      <c r="K546" s="8"/>
      <c r="L546" s="20" t="s">
        <v>259</v>
      </c>
      <c r="M546" s="16" t="n">
        <f aca="false">H546*Scoring!$C$5</f>
        <v>2.6</v>
      </c>
      <c r="N546" s="16" t="n">
        <f aca="false">IF(I546&gt;=5,1,IF(I546=4,0.75,IF(I546=3,0.5,IF(I546=2,0.25,0))))*Scoring!$C$8</f>
        <v>0.75</v>
      </c>
      <c r="O546" s="16" t="n">
        <f aca="false">IF(J546="Yes",0,Scoring!$C$6)</f>
        <v>2</v>
      </c>
      <c r="P546" s="16" t="n">
        <f aca="false">IF(L546="Yes",0,Scoring!$C$7)</f>
        <v>0.5</v>
      </c>
      <c r="Q546" s="8" t="n">
        <f aca="false">ROUND(SUM(M546:P546),2)</f>
        <v>5.85</v>
      </c>
      <c r="R546" s="8" t="str">
        <f aca="false">IF(Q546&gt;=Scoring!$C$10-0.000001,"Keep","Remove")</f>
        <v>Remove</v>
      </c>
      <c r="S546" s="8" t="s">
        <v>7243</v>
      </c>
    </row>
    <row r="547" customFormat="false" ht="15" hidden="false" customHeight="false" outlineLevel="0" collapsed="false">
      <c r="A547" s="8" t="s">
        <v>7706</v>
      </c>
      <c r="B547" s="8" t="s">
        <v>7707</v>
      </c>
      <c r="C547" s="8" t="s">
        <v>178</v>
      </c>
      <c r="D547" s="8" t="s">
        <v>7708</v>
      </c>
      <c r="E547" s="8"/>
      <c r="F547" s="8" t="s">
        <v>79</v>
      </c>
      <c r="G547" s="8" t="n">
        <v>3</v>
      </c>
      <c r="H547" s="13" t="n">
        <v>2</v>
      </c>
      <c r="I547" s="8" t="n">
        <v>3</v>
      </c>
      <c r="J547" s="20" t="s">
        <v>259</v>
      </c>
      <c r="K547" s="8"/>
      <c r="L547" s="20" t="s">
        <v>259</v>
      </c>
      <c r="M547" s="16" t="n">
        <f aca="false">H547*Scoring!$C$5</f>
        <v>2.6</v>
      </c>
      <c r="N547" s="16" t="n">
        <f aca="false">IF(I547&gt;=5,1,IF(I547=4,0.75,IF(I547=3,0.5,IF(I547=2,0.25,0))))*Scoring!$C$8</f>
        <v>0.5</v>
      </c>
      <c r="O547" s="16" t="n">
        <f aca="false">IF(J547="Yes",0,Scoring!$C$6)</f>
        <v>2</v>
      </c>
      <c r="P547" s="16" t="n">
        <f aca="false">IF(L547="Yes",0,Scoring!$C$7)</f>
        <v>0.5</v>
      </c>
      <c r="Q547" s="8" t="n">
        <f aca="false">ROUND(SUM(M547:P547),2)</f>
        <v>5.6</v>
      </c>
      <c r="R547" s="8" t="str">
        <f aca="false">IF(Q547&gt;=Scoring!$C$10-0.000001,"Keep","Remove")</f>
        <v>Remove</v>
      </c>
      <c r="S547" s="8" t="s">
        <v>7243</v>
      </c>
    </row>
    <row r="548" customFormat="false" ht="15" hidden="false" customHeight="false" outlineLevel="0" collapsed="false">
      <c r="A548" s="8" t="s">
        <v>7709</v>
      </c>
      <c r="B548" s="8" t="s">
        <v>7710</v>
      </c>
      <c r="C548" s="8" t="s">
        <v>178</v>
      </c>
      <c r="D548" s="8" t="s">
        <v>7708</v>
      </c>
      <c r="E548" s="8"/>
      <c r="F548" s="8" t="s">
        <v>79</v>
      </c>
      <c r="G548" s="8" t="n">
        <v>3</v>
      </c>
      <c r="H548" s="13" t="n">
        <v>2</v>
      </c>
      <c r="I548" s="8" t="n">
        <v>3</v>
      </c>
      <c r="J548" s="20" t="s">
        <v>259</v>
      </c>
      <c r="K548" s="8"/>
      <c r="L548" s="20" t="s">
        <v>259</v>
      </c>
      <c r="M548" s="16" t="n">
        <f aca="false">H548*Scoring!$C$5</f>
        <v>2.6</v>
      </c>
      <c r="N548" s="16" t="n">
        <f aca="false">IF(I548&gt;=5,1,IF(I548=4,0.75,IF(I548=3,0.5,IF(I548=2,0.25,0))))*Scoring!$C$8</f>
        <v>0.5</v>
      </c>
      <c r="O548" s="16" t="n">
        <f aca="false">IF(J548="Yes",0,Scoring!$C$6)</f>
        <v>2</v>
      </c>
      <c r="P548" s="16" t="n">
        <f aca="false">IF(L548="Yes",0,Scoring!$C$7)</f>
        <v>0.5</v>
      </c>
      <c r="Q548" s="8" t="n">
        <f aca="false">ROUND(SUM(M548:P548),2)</f>
        <v>5.6</v>
      </c>
      <c r="R548" s="8" t="str">
        <f aca="false">IF(Q548&gt;=Scoring!$C$10-0.000001,"Keep","Remove")</f>
        <v>Remove</v>
      </c>
      <c r="S548" s="8" t="s">
        <v>7243</v>
      </c>
    </row>
    <row r="549" customFormat="false" ht="15" hidden="false" customHeight="false" outlineLevel="0" collapsed="false">
      <c r="A549" s="8" t="s">
        <v>3826</v>
      </c>
      <c r="B549" s="8" t="s">
        <v>3827</v>
      </c>
      <c r="C549" s="8" t="s">
        <v>178</v>
      </c>
      <c r="D549" s="8" t="s">
        <v>3828</v>
      </c>
      <c r="E549" s="8"/>
      <c r="F549" s="8" t="s">
        <v>78</v>
      </c>
      <c r="G549" s="8" t="n">
        <v>1</v>
      </c>
      <c r="H549" s="13" t="n">
        <v>5</v>
      </c>
      <c r="I549" s="8" t="n">
        <v>5</v>
      </c>
      <c r="J549" s="20" t="s">
        <v>259</v>
      </c>
      <c r="K549" s="8"/>
      <c r="L549" s="20" t="s">
        <v>259</v>
      </c>
      <c r="M549" s="16" t="n">
        <f aca="false">H549*Scoring!$C$5</f>
        <v>6.5</v>
      </c>
      <c r="N549" s="16" t="n">
        <f aca="false">IF(I549&gt;=5,1,IF(I549=4,0.75,IF(I549=3,0.5,IF(I549=2,0.25,0))))*Scoring!$C$8</f>
        <v>1</v>
      </c>
      <c r="O549" s="16" t="n">
        <f aca="false">IF(J549="Yes",0,Scoring!$C$6)</f>
        <v>2</v>
      </c>
      <c r="P549" s="16" t="n">
        <f aca="false">IF(L549="Yes",0,Scoring!$C$7)</f>
        <v>0.5</v>
      </c>
      <c r="Q549" s="8" t="n">
        <f aca="false">ROUND(SUM(M549:P549),2)</f>
        <v>10</v>
      </c>
      <c r="R549" s="8" t="str">
        <f aca="false">IF(Q549&gt;=Scoring!$C$10-0.000001,"Keep","Remove")</f>
        <v>Keep</v>
      </c>
      <c r="S549" s="8" t="s">
        <v>166</v>
      </c>
    </row>
    <row r="550" customFormat="false" ht="15" hidden="false" customHeight="false" outlineLevel="0" collapsed="false">
      <c r="A550" s="8" t="s">
        <v>3838</v>
      </c>
      <c r="B550" s="8" t="s">
        <v>3839</v>
      </c>
      <c r="C550" s="8" t="s">
        <v>178</v>
      </c>
      <c r="D550" s="8" t="s">
        <v>3828</v>
      </c>
      <c r="E550" s="8"/>
      <c r="F550" s="8" t="s">
        <v>78</v>
      </c>
      <c r="G550" s="8" t="n">
        <v>1</v>
      </c>
      <c r="H550" s="13" t="n">
        <v>5</v>
      </c>
      <c r="I550" s="8" t="n">
        <v>4</v>
      </c>
      <c r="J550" s="20" t="s">
        <v>259</v>
      </c>
      <c r="K550" s="8"/>
      <c r="L550" s="20" t="s">
        <v>259</v>
      </c>
      <c r="M550" s="16" t="n">
        <f aca="false">H550*Scoring!$C$5</f>
        <v>6.5</v>
      </c>
      <c r="N550" s="16" t="n">
        <f aca="false">IF(I550&gt;=5,1,IF(I550=4,0.75,IF(I550=3,0.5,IF(I550=2,0.25,0))))*Scoring!$C$8</f>
        <v>0.75</v>
      </c>
      <c r="O550" s="16" t="n">
        <f aca="false">IF(J550="Yes",0,Scoring!$C$6)</f>
        <v>2</v>
      </c>
      <c r="P550" s="16" t="n">
        <f aca="false">IF(L550="Yes",0,Scoring!$C$7)</f>
        <v>0.5</v>
      </c>
      <c r="Q550" s="8" t="n">
        <f aca="false">ROUND(SUM(M550:P550),2)</f>
        <v>9.75</v>
      </c>
      <c r="R550" s="8" t="str">
        <f aca="false">IF(Q550&gt;=Scoring!$C$10-0.000001,"Keep","Remove")</f>
        <v>Keep</v>
      </c>
      <c r="S550" s="8" t="s">
        <v>166</v>
      </c>
    </row>
    <row r="551" customFormat="false" ht="15" hidden="false" customHeight="false" outlineLevel="0" collapsed="false">
      <c r="A551" s="8" t="s">
        <v>3847</v>
      </c>
      <c r="B551" s="8" t="s">
        <v>3848</v>
      </c>
      <c r="C551" s="8" t="s">
        <v>178</v>
      </c>
      <c r="D551" s="8" t="s">
        <v>3828</v>
      </c>
      <c r="E551" s="8"/>
      <c r="F551" s="8" t="s">
        <v>78</v>
      </c>
      <c r="G551" s="8" t="n">
        <v>1</v>
      </c>
      <c r="H551" s="13" t="n">
        <v>5</v>
      </c>
      <c r="I551" s="8" t="n">
        <v>5</v>
      </c>
      <c r="J551" s="20" t="s">
        <v>259</v>
      </c>
      <c r="K551" s="8"/>
      <c r="L551" s="20" t="s">
        <v>259</v>
      </c>
      <c r="M551" s="16" t="n">
        <f aca="false">H551*Scoring!$C$5</f>
        <v>6.5</v>
      </c>
      <c r="N551" s="16" t="n">
        <f aca="false">IF(I551&gt;=5,1,IF(I551=4,0.75,IF(I551=3,0.5,IF(I551=2,0.25,0))))*Scoring!$C$8</f>
        <v>1</v>
      </c>
      <c r="O551" s="16" t="n">
        <f aca="false">IF(J551="Yes",0,Scoring!$C$6)</f>
        <v>2</v>
      </c>
      <c r="P551" s="16" t="n">
        <f aca="false">IF(L551="Yes",0,Scoring!$C$7)</f>
        <v>0.5</v>
      </c>
      <c r="Q551" s="8" t="n">
        <f aca="false">ROUND(SUM(M551:P551),2)</f>
        <v>10</v>
      </c>
      <c r="R551" s="8" t="str">
        <f aca="false">IF(Q551&gt;=Scoring!$C$10-0.000001,"Keep","Remove")</f>
        <v>Keep</v>
      </c>
      <c r="S551" s="8" t="s">
        <v>166</v>
      </c>
    </row>
    <row r="552" customFormat="false" ht="15" hidden="false" customHeight="false" outlineLevel="0" collapsed="false">
      <c r="A552" s="8" t="s">
        <v>3858</v>
      </c>
      <c r="B552" s="8" t="s">
        <v>3859</v>
      </c>
      <c r="C552" s="8" t="s">
        <v>178</v>
      </c>
      <c r="D552" s="8" t="s">
        <v>3828</v>
      </c>
      <c r="E552" s="8"/>
      <c r="F552" s="8" t="s">
        <v>85</v>
      </c>
      <c r="G552" s="8" t="n">
        <v>2</v>
      </c>
      <c r="H552" s="13" t="n">
        <v>4</v>
      </c>
      <c r="I552" s="8" t="n">
        <v>5</v>
      </c>
      <c r="J552" s="20" t="s">
        <v>259</v>
      </c>
      <c r="K552" s="8"/>
      <c r="L552" s="20" t="s">
        <v>259</v>
      </c>
      <c r="M552" s="16" t="n">
        <f aca="false">H552*Scoring!$C$5</f>
        <v>5.2</v>
      </c>
      <c r="N552" s="16" t="n">
        <f aca="false">IF(I552&gt;=5,1,IF(I552=4,0.75,IF(I552=3,0.5,IF(I552=2,0.25,0))))*Scoring!$C$8</f>
        <v>1</v>
      </c>
      <c r="O552" s="16" t="n">
        <f aca="false">IF(J552="Yes",0,Scoring!$C$6)</f>
        <v>2</v>
      </c>
      <c r="P552" s="16" t="n">
        <f aca="false">IF(L552="Yes",0,Scoring!$C$7)</f>
        <v>0.5</v>
      </c>
      <c r="Q552" s="8" t="n">
        <f aca="false">ROUND(SUM(M552:P552),2)</f>
        <v>8.7</v>
      </c>
      <c r="R552" s="8" t="str">
        <f aca="false">IF(Q552&gt;=Scoring!$C$10-0.000001,"Keep","Remove")</f>
        <v>Keep</v>
      </c>
      <c r="S552" s="8" t="s">
        <v>166</v>
      </c>
    </row>
    <row r="553" customFormat="false" ht="15" hidden="false" customHeight="false" outlineLevel="0" collapsed="false">
      <c r="A553" s="8" t="s">
        <v>3867</v>
      </c>
      <c r="B553" s="8" t="s">
        <v>3868</v>
      </c>
      <c r="C553" s="8" t="s">
        <v>178</v>
      </c>
      <c r="D553" s="8" t="s">
        <v>3828</v>
      </c>
      <c r="E553" s="8"/>
      <c r="F553" s="8" t="s">
        <v>78</v>
      </c>
      <c r="G553" s="8" t="n">
        <v>1</v>
      </c>
      <c r="H553" s="13" t="n">
        <v>5</v>
      </c>
      <c r="I553" s="8" t="n">
        <v>6</v>
      </c>
      <c r="J553" s="20" t="s">
        <v>259</v>
      </c>
      <c r="K553" s="8"/>
      <c r="L553" s="20" t="s">
        <v>259</v>
      </c>
      <c r="M553" s="16" t="n">
        <f aca="false">H553*Scoring!$C$5</f>
        <v>6.5</v>
      </c>
      <c r="N553" s="16" t="n">
        <f aca="false">IF(I553&gt;=5,1,IF(I553=4,0.75,IF(I553=3,0.5,IF(I553=2,0.25,0))))*Scoring!$C$8</f>
        <v>1</v>
      </c>
      <c r="O553" s="16" t="n">
        <f aca="false">IF(J553="Yes",0,Scoring!$C$6)</f>
        <v>2</v>
      </c>
      <c r="P553" s="16" t="n">
        <f aca="false">IF(L553="Yes",0,Scoring!$C$7)</f>
        <v>0.5</v>
      </c>
      <c r="Q553" s="8" t="n">
        <f aca="false">ROUND(SUM(M553:P553),2)</f>
        <v>10</v>
      </c>
      <c r="R553" s="8" t="str">
        <f aca="false">IF(Q553&gt;=Scoring!$C$10-0.000001,"Keep","Remove")</f>
        <v>Keep</v>
      </c>
      <c r="S553" s="8" t="s">
        <v>166</v>
      </c>
    </row>
    <row r="554" customFormat="false" ht="15" hidden="false" customHeight="false" outlineLevel="0" collapsed="false">
      <c r="A554" s="8" t="s">
        <v>3877</v>
      </c>
      <c r="B554" s="8" t="s">
        <v>3878</v>
      </c>
      <c r="C554" s="8" t="s">
        <v>178</v>
      </c>
      <c r="D554" s="8" t="s">
        <v>3828</v>
      </c>
      <c r="E554" s="8"/>
      <c r="F554" s="8" t="s">
        <v>88</v>
      </c>
      <c r="G554" s="8" t="n">
        <v>1</v>
      </c>
      <c r="H554" s="13" t="n">
        <v>4</v>
      </c>
      <c r="I554" s="8" t="n">
        <v>4</v>
      </c>
      <c r="J554" s="20" t="s">
        <v>259</v>
      </c>
      <c r="K554" s="8"/>
      <c r="L554" s="20" t="s">
        <v>259</v>
      </c>
      <c r="M554" s="16" t="n">
        <f aca="false">H554*Scoring!$C$5</f>
        <v>5.2</v>
      </c>
      <c r="N554" s="16" t="n">
        <f aca="false">IF(I554&gt;=5,1,IF(I554=4,0.75,IF(I554=3,0.5,IF(I554=2,0.25,0))))*Scoring!$C$8</f>
        <v>0.75</v>
      </c>
      <c r="O554" s="16" t="n">
        <f aca="false">IF(J554="Yes",0,Scoring!$C$6)</f>
        <v>2</v>
      </c>
      <c r="P554" s="16" t="n">
        <f aca="false">IF(L554="Yes",0,Scoring!$C$7)</f>
        <v>0.5</v>
      </c>
      <c r="Q554" s="8" t="n">
        <f aca="false">ROUND(SUM(M554:P554),2)</f>
        <v>8.45</v>
      </c>
      <c r="R554" s="8" t="str">
        <f aca="false">IF(Q554&gt;=Scoring!$C$10-0.000001,"Keep","Remove")</f>
        <v>Keep</v>
      </c>
      <c r="S554" s="8" t="s">
        <v>166</v>
      </c>
    </row>
    <row r="555" customFormat="false" ht="15" hidden="false" customHeight="false" outlineLevel="0" collapsed="false">
      <c r="A555" s="8" t="s">
        <v>3887</v>
      </c>
      <c r="B555" s="8" t="s">
        <v>3888</v>
      </c>
      <c r="C555" s="8" t="s">
        <v>178</v>
      </c>
      <c r="D555" s="8" t="s">
        <v>3828</v>
      </c>
      <c r="E555" s="8"/>
      <c r="F555" s="8" t="s">
        <v>78</v>
      </c>
      <c r="G555" s="8" t="n">
        <v>2</v>
      </c>
      <c r="H555" s="13" t="n">
        <v>3</v>
      </c>
      <c r="I555" s="8" t="n">
        <v>4</v>
      </c>
      <c r="J555" s="20" t="s">
        <v>259</v>
      </c>
      <c r="K555" s="8"/>
      <c r="L555" s="20" t="s">
        <v>259</v>
      </c>
      <c r="M555" s="16" t="n">
        <f aca="false">H555*Scoring!$C$5</f>
        <v>3.9</v>
      </c>
      <c r="N555" s="16" t="n">
        <f aca="false">IF(I555&gt;=5,1,IF(I555=4,0.75,IF(I555=3,0.5,IF(I555=2,0.25,0))))*Scoring!$C$8</f>
        <v>0.75</v>
      </c>
      <c r="O555" s="16" t="n">
        <f aca="false">IF(J555="Yes",0,Scoring!$C$6)</f>
        <v>2</v>
      </c>
      <c r="P555" s="16" t="n">
        <f aca="false">IF(L555="Yes",0,Scoring!$C$7)</f>
        <v>0.5</v>
      </c>
      <c r="Q555" s="8" t="n">
        <f aca="false">ROUND(SUM(M555:P555),2)</f>
        <v>7.15</v>
      </c>
      <c r="R555" s="8" t="str">
        <f aca="false">IF(Q555&gt;=Scoring!$C$10-0.000001,"Keep","Remove")</f>
        <v>Keep</v>
      </c>
      <c r="S555" s="8" t="s">
        <v>166</v>
      </c>
    </row>
    <row r="556" customFormat="false" ht="15" hidden="false" customHeight="false" outlineLevel="0" collapsed="false">
      <c r="A556" s="8" t="s">
        <v>3895</v>
      </c>
      <c r="B556" s="8" t="s">
        <v>3896</v>
      </c>
      <c r="C556" s="8" t="s">
        <v>178</v>
      </c>
      <c r="D556" s="8" t="s">
        <v>3828</v>
      </c>
      <c r="E556" s="8"/>
      <c r="F556" s="8" t="s">
        <v>78</v>
      </c>
      <c r="G556" s="8" t="n">
        <v>2</v>
      </c>
      <c r="H556" s="13" t="n">
        <v>3</v>
      </c>
      <c r="I556" s="8" t="n">
        <v>5</v>
      </c>
      <c r="J556" s="20" t="s">
        <v>259</v>
      </c>
      <c r="K556" s="8"/>
      <c r="L556" s="20" t="s">
        <v>259</v>
      </c>
      <c r="M556" s="16" t="n">
        <f aca="false">H556*Scoring!$C$5</f>
        <v>3.9</v>
      </c>
      <c r="N556" s="16" t="n">
        <f aca="false">IF(I556&gt;=5,1,IF(I556=4,0.75,IF(I556=3,0.5,IF(I556=2,0.25,0))))*Scoring!$C$8</f>
        <v>1</v>
      </c>
      <c r="O556" s="16" t="n">
        <f aca="false">IF(J556="Yes",0,Scoring!$C$6)</f>
        <v>2</v>
      </c>
      <c r="P556" s="16" t="n">
        <f aca="false">IF(L556="Yes",0,Scoring!$C$7)</f>
        <v>0.5</v>
      </c>
      <c r="Q556" s="8" t="n">
        <f aca="false">ROUND(SUM(M556:P556),2)</f>
        <v>7.4</v>
      </c>
      <c r="R556" s="8" t="str">
        <f aca="false">IF(Q556&gt;=Scoring!$C$10-0.000001,"Keep","Remove")</f>
        <v>Keep</v>
      </c>
      <c r="S556" s="8" t="s">
        <v>166</v>
      </c>
    </row>
    <row r="557" customFormat="false" ht="15" hidden="false" customHeight="false" outlineLevel="0" collapsed="false">
      <c r="A557" s="8" t="s">
        <v>3904</v>
      </c>
      <c r="B557" s="8" t="s">
        <v>3905</v>
      </c>
      <c r="C557" s="8" t="s">
        <v>178</v>
      </c>
      <c r="D557" s="8" t="s">
        <v>3828</v>
      </c>
      <c r="E557" s="8"/>
      <c r="F557" s="8" t="s">
        <v>78</v>
      </c>
      <c r="G557" s="8" t="n">
        <v>2</v>
      </c>
      <c r="H557" s="13" t="n">
        <v>4</v>
      </c>
      <c r="I557" s="8" t="n">
        <v>3</v>
      </c>
      <c r="J557" s="20" t="s">
        <v>259</v>
      </c>
      <c r="K557" s="8"/>
      <c r="L557" s="20" t="s">
        <v>259</v>
      </c>
      <c r="M557" s="16" t="n">
        <f aca="false">H557*Scoring!$C$5</f>
        <v>5.2</v>
      </c>
      <c r="N557" s="16" t="n">
        <f aca="false">IF(I557&gt;=5,1,IF(I557=4,0.75,IF(I557=3,0.5,IF(I557=2,0.25,0))))*Scoring!$C$8</f>
        <v>0.5</v>
      </c>
      <c r="O557" s="16" t="n">
        <f aca="false">IF(J557="Yes",0,Scoring!$C$6)</f>
        <v>2</v>
      </c>
      <c r="P557" s="16" t="n">
        <f aca="false">IF(L557="Yes",0,Scoring!$C$7)</f>
        <v>0.5</v>
      </c>
      <c r="Q557" s="8" t="n">
        <f aca="false">ROUND(SUM(M557:P557),2)</f>
        <v>8.2</v>
      </c>
      <c r="R557" s="8" t="str">
        <f aca="false">IF(Q557&gt;=Scoring!$C$10-0.000001,"Keep","Remove")</f>
        <v>Keep</v>
      </c>
      <c r="S557" s="8" t="s">
        <v>166</v>
      </c>
    </row>
    <row r="558" customFormat="false" ht="15" hidden="false" customHeight="false" outlineLevel="0" collapsed="false">
      <c r="A558" s="8" t="s">
        <v>3912</v>
      </c>
      <c r="B558" s="8" t="s">
        <v>3913</v>
      </c>
      <c r="C558" s="8" t="s">
        <v>178</v>
      </c>
      <c r="D558" s="8" t="s">
        <v>3828</v>
      </c>
      <c r="E558" s="8"/>
      <c r="F558" s="8" t="s">
        <v>78</v>
      </c>
      <c r="G558" s="8" t="n">
        <v>1</v>
      </c>
      <c r="H558" s="13" t="n">
        <v>5</v>
      </c>
      <c r="I558" s="8" t="n">
        <v>4</v>
      </c>
      <c r="J558" s="20" t="s">
        <v>259</v>
      </c>
      <c r="K558" s="8"/>
      <c r="L558" s="20" t="s">
        <v>259</v>
      </c>
      <c r="M558" s="16" t="n">
        <f aca="false">H558*Scoring!$C$5</f>
        <v>6.5</v>
      </c>
      <c r="N558" s="16" t="n">
        <f aca="false">IF(I558&gt;=5,1,IF(I558=4,0.75,IF(I558=3,0.5,IF(I558=2,0.25,0))))*Scoring!$C$8</f>
        <v>0.75</v>
      </c>
      <c r="O558" s="16" t="n">
        <f aca="false">IF(J558="Yes",0,Scoring!$C$6)</f>
        <v>2</v>
      </c>
      <c r="P558" s="16" t="n">
        <f aca="false">IF(L558="Yes",0,Scoring!$C$7)</f>
        <v>0.5</v>
      </c>
      <c r="Q558" s="8" t="n">
        <f aca="false">ROUND(SUM(M558:P558),2)</f>
        <v>9.75</v>
      </c>
      <c r="R558" s="8" t="str">
        <f aca="false">IF(Q558&gt;=Scoring!$C$10-0.000001,"Keep","Remove")</f>
        <v>Keep</v>
      </c>
      <c r="S558" s="8" t="s">
        <v>166</v>
      </c>
    </row>
    <row r="559" customFormat="false" ht="15" hidden="false" customHeight="false" outlineLevel="0" collapsed="false">
      <c r="A559" s="8" t="s">
        <v>3921</v>
      </c>
      <c r="B559" s="8" t="s">
        <v>3922</v>
      </c>
      <c r="C559" s="8" t="s">
        <v>178</v>
      </c>
      <c r="D559" s="8" t="s">
        <v>3828</v>
      </c>
      <c r="E559" s="8"/>
      <c r="F559" s="8" t="s">
        <v>78</v>
      </c>
      <c r="G559" s="8" t="n">
        <v>2</v>
      </c>
      <c r="H559" s="13" t="n">
        <v>3</v>
      </c>
      <c r="I559" s="8" t="n">
        <v>5</v>
      </c>
      <c r="J559" s="20" t="s">
        <v>259</v>
      </c>
      <c r="K559" s="8"/>
      <c r="L559" s="20" t="s">
        <v>259</v>
      </c>
      <c r="M559" s="16" t="n">
        <f aca="false">H559*Scoring!$C$5</f>
        <v>3.9</v>
      </c>
      <c r="N559" s="16" t="n">
        <f aca="false">IF(I559&gt;=5,1,IF(I559=4,0.75,IF(I559=3,0.5,IF(I559=2,0.25,0))))*Scoring!$C$8</f>
        <v>1</v>
      </c>
      <c r="O559" s="16" t="n">
        <f aca="false">IF(J559="Yes",0,Scoring!$C$6)</f>
        <v>2</v>
      </c>
      <c r="P559" s="16" t="n">
        <f aca="false">IF(L559="Yes",0,Scoring!$C$7)</f>
        <v>0.5</v>
      </c>
      <c r="Q559" s="8" t="n">
        <f aca="false">ROUND(SUM(M559:P559),2)</f>
        <v>7.4</v>
      </c>
      <c r="R559" s="8" t="str">
        <f aca="false">IF(Q559&gt;=Scoring!$C$10-0.000001,"Keep","Remove")</f>
        <v>Keep</v>
      </c>
      <c r="S559" s="8" t="s">
        <v>166</v>
      </c>
    </row>
    <row r="560" customFormat="false" ht="15" hidden="false" customHeight="false" outlineLevel="0" collapsed="false">
      <c r="A560" s="8" t="s">
        <v>3928</v>
      </c>
      <c r="B560" s="8" t="s">
        <v>3929</v>
      </c>
      <c r="C560" s="8" t="s">
        <v>178</v>
      </c>
      <c r="D560" s="8" t="s">
        <v>3828</v>
      </c>
      <c r="E560" s="8"/>
      <c r="F560" s="8" t="s">
        <v>78</v>
      </c>
      <c r="G560" s="8" t="n">
        <v>2</v>
      </c>
      <c r="H560" s="13" t="n">
        <v>4</v>
      </c>
      <c r="I560" s="8" t="n">
        <v>4</v>
      </c>
      <c r="J560" s="20" t="s">
        <v>259</v>
      </c>
      <c r="K560" s="8"/>
      <c r="L560" s="20" t="s">
        <v>259</v>
      </c>
      <c r="M560" s="16" t="n">
        <f aca="false">H560*Scoring!$C$5</f>
        <v>5.2</v>
      </c>
      <c r="N560" s="16" t="n">
        <f aca="false">IF(I560&gt;=5,1,IF(I560=4,0.75,IF(I560=3,0.5,IF(I560=2,0.25,0))))*Scoring!$C$8</f>
        <v>0.75</v>
      </c>
      <c r="O560" s="16" t="n">
        <f aca="false">IF(J560="Yes",0,Scoring!$C$6)</f>
        <v>2</v>
      </c>
      <c r="P560" s="16" t="n">
        <f aca="false">IF(L560="Yes",0,Scoring!$C$7)</f>
        <v>0.5</v>
      </c>
      <c r="Q560" s="8" t="n">
        <f aca="false">ROUND(SUM(M560:P560),2)</f>
        <v>8.45</v>
      </c>
      <c r="R560" s="8" t="str">
        <f aca="false">IF(Q560&gt;=Scoring!$C$10-0.000001,"Keep","Remove")</f>
        <v>Keep</v>
      </c>
      <c r="S560" s="8" t="s">
        <v>166</v>
      </c>
    </row>
    <row r="561" customFormat="false" ht="15" hidden="false" customHeight="false" outlineLevel="0" collapsed="false">
      <c r="A561" s="8" t="s">
        <v>3935</v>
      </c>
      <c r="B561" s="8" t="s">
        <v>3936</v>
      </c>
      <c r="C561" s="8" t="s">
        <v>178</v>
      </c>
      <c r="D561" s="8" t="s">
        <v>3828</v>
      </c>
      <c r="E561" s="8"/>
      <c r="F561" s="8" t="s">
        <v>80</v>
      </c>
      <c r="G561" s="8" t="n">
        <v>1</v>
      </c>
      <c r="H561" s="13" t="n">
        <v>5</v>
      </c>
      <c r="I561" s="8" t="n">
        <v>5</v>
      </c>
      <c r="J561" s="20" t="s">
        <v>259</v>
      </c>
      <c r="K561" s="8"/>
      <c r="L561" s="20" t="s">
        <v>259</v>
      </c>
      <c r="M561" s="16" t="n">
        <f aca="false">H561*Scoring!$C$5</f>
        <v>6.5</v>
      </c>
      <c r="N561" s="16" t="n">
        <f aca="false">IF(I561&gt;=5,1,IF(I561=4,0.75,IF(I561=3,0.5,IF(I561=2,0.25,0))))*Scoring!$C$8</f>
        <v>1</v>
      </c>
      <c r="O561" s="16" t="n">
        <f aca="false">IF(J561="Yes",0,Scoring!$C$6)</f>
        <v>2</v>
      </c>
      <c r="P561" s="16" t="n">
        <f aca="false">IF(L561="Yes",0,Scoring!$C$7)</f>
        <v>0.5</v>
      </c>
      <c r="Q561" s="8" t="n">
        <f aca="false">ROUND(SUM(M561:P561),2)</f>
        <v>10</v>
      </c>
      <c r="R561" s="8" t="str">
        <f aca="false">IF(Q561&gt;=Scoring!$C$10-0.000001,"Keep","Remove")</f>
        <v>Keep</v>
      </c>
      <c r="S561" s="8" t="s">
        <v>166</v>
      </c>
    </row>
    <row r="562" customFormat="false" ht="15" hidden="false" customHeight="false" outlineLevel="0" collapsed="false">
      <c r="A562" s="8" t="s">
        <v>3947</v>
      </c>
      <c r="B562" s="8" t="s">
        <v>3948</v>
      </c>
      <c r="C562" s="8" t="s">
        <v>178</v>
      </c>
      <c r="D562" s="8" t="s">
        <v>3828</v>
      </c>
      <c r="E562" s="8"/>
      <c r="F562" s="8" t="s">
        <v>80</v>
      </c>
      <c r="G562" s="8" t="n">
        <v>2</v>
      </c>
      <c r="H562" s="13" t="n">
        <v>4</v>
      </c>
      <c r="I562" s="8" t="n">
        <v>4</v>
      </c>
      <c r="J562" s="20" t="s">
        <v>259</v>
      </c>
      <c r="K562" s="8"/>
      <c r="L562" s="20" t="s">
        <v>259</v>
      </c>
      <c r="M562" s="16" t="n">
        <f aca="false">H562*Scoring!$C$5</f>
        <v>5.2</v>
      </c>
      <c r="N562" s="16" t="n">
        <f aca="false">IF(I562&gt;=5,1,IF(I562=4,0.75,IF(I562=3,0.5,IF(I562=2,0.25,0))))*Scoring!$C$8</f>
        <v>0.75</v>
      </c>
      <c r="O562" s="16" t="n">
        <f aca="false">IF(J562="Yes",0,Scoring!$C$6)</f>
        <v>2</v>
      </c>
      <c r="P562" s="16" t="n">
        <f aca="false">IF(L562="Yes",0,Scoring!$C$7)</f>
        <v>0.5</v>
      </c>
      <c r="Q562" s="8" t="n">
        <f aca="false">ROUND(SUM(M562:P562),2)</f>
        <v>8.45</v>
      </c>
      <c r="R562" s="8" t="str">
        <f aca="false">IF(Q562&gt;=Scoring!$C$10-0.000001,"Keep","Remove")</f>
        <v>Keep</v>
      </c>
      <c r="S562" s="8" t="s">
        <v>166</v>
      </c>
    </row>
    <row r="563" customFormat="false" ht="15" hidden="false" customHeight="false" outlineLevel="0" collapsed="false">
      <c r="A563" s="8" t="s">
        <v>3956</v>
      </c>
      <c r="B563" s="8" t="s">
        <v>3957</v>
      </c>
      <c r="C563" s="8" t="s">
        <v>178</v>
      </c>
      <c r="D563" s="8" t="s">
        <v>3828</v>
      </c>
      <c r="E563" s="8"/>
      <c r="F563" s="8" t="s">
        <v>80</v>
      </c>
      <c r="G563" s="8" t="n">
        <v>2</v>
      </c>
      <c r="H563" s="13" t="n">
        <v>3</v>
      </c>
      <c r="I563" s="8" t="n">
        <v>5</v>
      </c>
      <c r="J563" s="20" t="s">
        <v>259</v>
      </c>
      <c r="K563" s="8"/>
      <c r="L563" s="20" t="s">
        <v>259</v>
      </c>
      <c r="M563" s="16" t="n">
        <f aca="false">H563*Scoring!$C$5</f>
        <v>3.9</v>
      </c>
      <c r="N563" s="16" t="n">
        <f aca="false">IF(I563&gt;=5,1,IF(I563=4,0.75,IF(I563=3,0.5,IF(I563=2,0.25,0))))*Scoring!$C$8</f>
        <v>1</v>
      </c>
      <c r="O563" s="16" t="n">
        <f aca="false">IF(J563="Yes",0,Scoring!$C$6)</f>
        <v>2</v>
      </c>
      <c r="P563" s="16" t="n">
        <f aca="false">IF(L563="Yes",0,Scoring!$C$7)</f>
        <v>0.5</v>
      </c>
      <c r="Q563" s="8" t="n">
        <f aca="false">ROUND(SUM(M563:P563),2)</f>
        <v>7.4</v>
      </c>
      <c r="R563" s="8" t="str">
        <f aca="false">IF(Q563&gt;=Scoring!$C$10-0.000001,"Keep","Remove")</f>
        <v>Keep</v>
      </c>
      <c r="S563" s="8" t="s">
        <v>166</v>
      </c>
    </row>
    <row r="564" customFormat="false" ht="15" hidden="false" customHeight="false" outlineLevel="0" collapsed="false">
      <c r="A564" s="8" t="s">
        <v>3969</v>
      </c>
      <c r="B564" s="8" t="s">
        <v>3970</v>
      </c>
      <c r="C564" s="8" t="s">
        <v>178</v>
      </c>
      <c r="D564" s="8" t="s">
        <v>3828</v>
      </c>
      <c r="E564" s="8"/>
      <c r="F564" s="8" t="s">
        <v>80</v>
      </c>
      <c r="G564" s="8" t="n">
        <v>1</v>
      </c>
      <c r="H564" s="13" t="n">
        <v>5</v>
      </c>
      <c r="I564" s="8" t="n">
        <v>4</v>
      </c>
      <c r="J564" s="20" t="s">
        <v>259</v>
      </c>
      <c r="K564" s="8"/>
      <c r="L564" s="20" t="s">
        <v>259</v>
      </c>
      <c r="M564" s="16" t="n">
        <f aca="false">H564*Scoring!$C$5</f>
        <v>6.5</v>
      </c>
      <c r="N564" s="16" t="n">
        <f aca="false">IF(I564&gt;=5,1,IF(I564=4,0.75,IF(I564=3,0.5,IF(I564=2,0.25,0))))*Scoring!$C$8</f>
        <v>0.75</v>
      </c>
      <c r="O564" s="16" t="n">
        <f aca="false">IF(J564="Yes",0,Scoring!$C$6)</f>
        <v>2</v>
      </c>
      <c r="P564" s="16" t="n">
        <f aca="false">IF(L564="Yes",0,Scoring!$C$7)</f>
        <v>0.5</v>
      </c>
      <c r="Q564" s="8" t="n">
        <f aca="false">ROUND(SUM(M564:P564),2)</f>
        <v>9.75</v>
      </c>
      <c r="R564" s="8" t="str">
        <f aca="false">IF(Q564&gt;=Scoring!$C$10-0.000001,"Keep","Remove")</f>
        <v>Keep</v>
      </c>
      <c r="S564" s="8" t="s">
        <v>166</v>
      </c>
    </row>
    <row r="565" customFormat="false" ht="15" hidden="false" customHeight="false" outlineLevel="0" collapsed="false">
      <c r="A565" s="8" t="s">
        <v>3979</v>
      </c>
      <c r="B565" s="8" t="s">
        <v>3980</v>
      </c>
      <c r="C565" s="8" t="s">
        <v>178</v>
      </c>
      <c r="D565" s="8" t="s">
        <v>3828</v>
      </c>
      <c r="E565" s="8"/>
      <c r="F565" s="8" t="s">
        <v>79</v>
      </c>
      <c r="G565" s="8" t="n">
        <v>1</v>
      </c>
      <c r="H565" s="13" t="n">
        <v>5</v>
      </c>
      <c r="I565" s="8" t="n">
        <v>3</v>
      </c>
      <c r="J565" s="20" t="s">
        <v>259</v>
      </c>
      <c r="K565" s="8"/>
      <c r="L565" s="20" t="s">
        <v>259</v>
      </c>
      <c r="M565" s="16" t="n">
        <f aca="false">H565*Scoring!$C$5</f>
        <v>6.5</v>
      </c>
      <c r="N565" s="16" t="n">
        <f aca="false">IF(I565&gt;=5,1,IF(I565=4,0.75,IF(I565=3,0.5,IF(I565=2,0.25,0))))*Scoring!$C$8</f>
        <v>0.5</v>
      </c>
      <c r="O565" s="16" t="n">
        <f aca="false">IF(J565="Yes",0,Scoring!$C$6)</f>
        <v>2</v>
      </c>
      <c r="P565" s="16" t="n">
        <f aca="false">IF(L565="Yes",0,Scoring!$C$7)</f>
        <v>0.5</v>
      </c>
      <c r="Q565" s="8" t="n">
        <f aca="false">ROUND(SUM(M565:P565),2)</f>
        <v>9.5</v>
      </c>
      <c r="R565" s="8" t="str">
        <f aca="false">IF(Q565&gt;=Scoring!$C$10-0.000001,"Keep","Remove")</f>
        <v>Keep</v>
      </c>
      <c r="S565" s="8" t="s">
        <v>166</v>
      </c>
    </row>
    <row r="566" customFormat="false" ht="15" hidden="false" customHeight="false" outlineLevel="0" collapsed="false">
      <c r="A566" s="8" t="s">
        <v>3990</v>
      </c>
      <c r="B566" s="8" t="s">
        <v>3991</v>
      </c>
      <c r="C566" s="8" t="s">
        <v>178</v>
      </c>
      <c r="D566" s="8" t="s">
        <v>3828</v>
      </c>
      <c r="E566" s="8"/>
      <c r="F566" s="8" t="s">
        <v>89</v>
      </c>
      <c r="G566" s="8" t="n">
        <v>1</v>
      </c>
      <c r="H566" s="13" t="n">
        <v>4</v>
      </c>
      <c r="I566" s="8" t="n">
        <v>4</v>
      </c>
      <c r="J566" s="20" t="s">
        <v>259</v>
      </c>
      <c r="K566" s="8"/>
      <c r="L566" s="20" t="s">
        <v>259</v>
      </c>
      <c r="M566" s="16" t="n">
        <f aca="false">H566*Scoring!$C$5</f>
        <v>5.2</v>
      </c>
      <c r="N566" s="16" t="n">
        <f aca="false">IF(I566&gt;=5,1,IF(I566=4,0.75,IF(I566=3,0.5,IF(I566=2,0.25,0))))*Scoring!$C$8</f>
        <v>0.75</v>
      </c>
      <c r="O566" s="16" t="n">
        <f aca="false">IF(J566="Yes",0,Scoring!$C$6)</f>
        <v>2</v>
      </c>
      <c r="P566" s="16" t="n">
        <f aca="false">IF(L566="Yes",0,Scoring!$C$7)</f>
        <v>0.5</v>
      </c>
      <c r="Q566" s="8" t="n">
        <f aca="false">ROUND(SUM(M566:P566),2)</f>
        <v>8.45</v>
      </c>
      <c r="R566" s="8" t="str">
        <f aca="false">IF(Q566&gt;=Scoring!$C$10-0.000001,"Keep","Remove")</f>
        <v>Keep</v>
      </c>
      <c r="S566" s="8" t="s">
        <v>166</v>
      </c>
    </row>
    <row r="567" customFormat="false" ht="15" hidden="false" customHeight="false" outlineLevel="0" collapsed="false">
      <c r="A567" s="8" t="s">
        <v>3998</v>
      </c>
      <c r="B567" s="8" t="s">
        <v>3999</v>
      </c>
      <c r="C567" s="8" t="s">
        <v>178</v>
      </c>
      <c r="D567" s="8" t="s">
        <v>3828</v>
      </c>
      <c r="E567" s="8"/>
      <c r="F567" s="8" t="s">
        <v>79</v>
      </c>
      <c r="G567" s="8" t="n">
        <v>2</v>
      </c>
      <c r="H567" s="13" t="n">
        <v>3</v>
      </c>
      <c r="I567" s="8" t="n">
        <v>6</v>
      </c>
      <c r="J567" s="20" t="s">
        <v>259</v>
      </c>
      <c r="K567" s="8"/>
      <c r="L567" s="20" t="s">
        <v>259</v>
      </c>
      <c r="M567" s="16" t="n">
        <f aca="false">H567*Scoring!$C$5</f>
        <v>3.9</v>
      </c>
      <c r="N567" s="16" t="n">
        <f aca="false">IF(I567&gt;=5,1,IF(I567=4,0.75,IF(I567=3,0.5,IF(I567=2,0.25,0))))*Scoring!$C$8</f>
        <v>1</v>
      </c>
      <c r="O567" s="16" t="n">
        <f aca="false">IF(J567="Yes",0,Scoring!$C$6)</f>
        <v>2</v>
      </c>
      <c r="P567" s="16" t="n">
        <f aca="false">IF(L567="Yes",0,Scoring!$C$7)</f>
        <v>0.5</v>
      </c>
      <c r="Q567" s="8" t="n">
        <f aca="false">ROUND(SUM(M567:P567),2)</f>
        <v>7.4</v>
      </c>
      <c r="R567" s="8" t="str">
        <f aca="false">IF(Q567&gt;=Scoring!$C$10-0.000001,"Keep","Remove")</f>
        <v>Keep</v>
      </c>
      <c r="S567" s="8" t="s">
        <v>166</v>
      </c>
    </row>
    <row r="568" customFormat="false" ht="15" hidden="false" customHeight="false" outlineLevel="0" collapsed="false">
      <c r="A568" s="8" t="s">
        <v>4005</v>
      </c>
      <c r="B568" s="8" t="s">
        <v>4006</v>
      </c>
      <c r="C568" s="8" t="s">
        <v>178</v>
      </c>
      <c r="D568" s="8" t="s">
        <v>3828</v>
      </c>
      <c r="E568" s="8"/>
      <c r="F568" s="8" t="s">
        <v>87</v>
      </c>
      <c r="G568" s="8" t="n">
        <v>2</v>
      </c>
      <c r="H568" s="13" t="n">
        <v>4</v>
      </c>
      <c r="I568" s="8" t="n">
        <v>3</v>
      </c>
      <c r="J568" s="20" t="s">
        <v>259</v>
      </c>
      <c r="K568" s="8"/>
      <c r="L568" s="20" t="s">
        <v>259</v>
      </c>
      <c r="M568" s="16" t="n">
        <f aca="false">H568*Scoring!$C$5</f>
        <v>5.2</v>
      </c>
      <c r="N568" s="16" t="n">
        <f aca="false">IF(I568&gt;=5,1,IF(I568=4,0.75,IF(I568=3,0.5,IF(I568=2,0.25,0))))*Scoring!$C$8</f>
        <v>0.5</v>
      </c>
      <c r="O568" s="16" t="n">
        <f aca="false">IF(J568="Yes",0,Scoring!$C$6)</f>
        <v>2</v>
      </c>
      <c r="P568" s="16" t="n">
        <f aca="false">IF(L568="Yes",0,Scoring!$C$7)</f>
        <v>0.5</v>
      </c>
      <c r="Q568" s="8" t="n">
        <f aca="false">ROUND(SUM(M568:P568),2)</f>
        <v>8.2</v>
      </c>
      <c r="R568" s="8" t="str">
        <f aca="false">IF(Q568&gt;=Scoring!$C$10-0.000001,"Keep","Remove")</f>
        <v>Keep</v>
      </c>
      <c r="S568" s="8" t="s">
        <v>166</v>
      </c>
    </row>
    <row r="569" customFormat="false" ht="15" hidden="false" customHeight="false" outlineLevel="0" collapsed="false">
      <c r="A569" s="8" t="s">
        <v>4017</v>
      </c>
      <c r="B569" s="8" t="s">
        <v>4018</v>
      </c>
      <c r="C569" s="8" t="s">
        <v>178</v>
      </c>
      <c r="D569" s="8" t="s">
        <v>3828</v>
      </c>
      <c r="E569" s="8"/>
      <c r="F569" s="8" t="s">
        <v>83</v>
      </c>
      <c r="G569" s="8" t="n">
        <v>2</v>
      </c>
      <c r="H569" s="13" t="n">
        <v>4</v>
      </c>
      <c r="I569" s="8" t="n">
        <v>6</v>
      </c>
      <c r="J569" s="20" t="s">
        <v>259</v>
      </c>
      <c r="K569" s="8"/>
      <c r="L569" s="20" t="s">
        <v>259</v>
      </c>
      <c r="M569" s="16" t="n">
        <f aca="false">H569*Scoring!$C$5</f>
        <v>5.2</v>
      </c>
      <c r="N569" s="16" t="n">
        <f aca="false">IF(I569&gt;=5,1,IF(I569=4,0.75,IF(I569=3,0.5,IF(I569=2,0.25,0))))*Scoring!$C$8</f>
        <v>1</v>
      </c>
      <c r="O569" s="16" t="n">
        <f aca="false">IF(J569="Yes",0,Scoring!$C$6)</f>
        <v>2</v>
      </c>
      <c r="P569" s="16" t="n">
        <f aca="false">IF(L569="Yes",0,Scoring!$C$7)</f>
        <v>0.5</v>
      </c>
      <c r="Q569" s="8" t="n">
        <f aca="false">ROUND(SUM(M569:P569),2)</f>
        <v>8.7</v>
      </c>
      <c r="R569" s="8" t="str">
        <f aca="false">IF(Q569&gt;=Scoring!$C$10-0.000001,"Keep","Remove")</f>
        <v>Keep</v>
      </c>
      <c r="S569" s="8" t="s">
        <v>166</v>
      </c>
    </row>
    <row r="570" customFormat="false" ht="15" hidden="false" customHeight="false" outlineLevel="0" collapsed="false">
      <c r="A570" s="8" t="s">
        <v>7320</v>
      </c>
      <c r="B570" s="8" t="s">
        <v>7321</v>
      </c>
      <c r="C570" s="8" t="s">
        <v>178</v>
      </c>
      <c r="D570" s="8" t="s">
        <v>3828</v>
      </c>
      <c r="E570" s="8"/>
      <c r="F570" s="8" t="s">
        <v>83</v>
      </c>
      <c r="G570" s="8" t="n">
        <v>3</v>
      </c>
      <c r="H570" s="13" t="n">
        <v>2</v>
      </c>
      <c r="I570" s="8" t="n">
        <v>5</v>
      </c>
      <c r="J570" s="20" t="s">
        <v>259</v>
      </c>
      <c r="K570" s="8"/>
      <c r="L570" s="20" t="s">
        <v>259</v>
      </c>
      <c r="M570" s="16" t="n">
        <f aca="false">H570*Scoring!$C$5</f>
        <v>2.6</v>
      </c>
      <c r="N570" s="16" t="n">
        <f aca="false">IF(I570&gt;=5,1,IF(I570=4,0.75,IF(I570=3,0.5,IF(I570=2,0.25,0))))*Scoring!$C$8</f>
        <v>1</v>
      </c>
      <c r="O570" s="16" t="n">
        <f aca="false">IF(J570="Yes",0,Scoring!$C$6)</f>
        <v>2</v>
      </c>
      <c r="P570" s="16" t="n">
        <f aca="false">IF(L570="Yes",0,Scoring!$C$7)</f>
        <v>0.5</v>
      </c>
      <c r="Q570" s="8" t="n">
        <f aca="false">ROUND(SUM(M570:P570),2)</f>
        <v>6.1</v>
      </c>
      <c r="R570" s="8" t="str">
        <f aca="false">IF(Q570&gt;=Scoring!$C$10-0.000001,"Keep","Remove")</f>
        <v>Remove</v>
      </c>
      <c r="S570" s="8" t="s">
        <v>7243</v>
      </c>
    </row>
    <row r="571" customFormat="false" ht="15" hidden="false" customHeight="false" outlineLevel="0" collapsed="false">
      <c r="A571" s="8" t="s">
        <v>7322</v>
      </c>
      <c r="B571" s="8" t="s">
        <v>7323</v>
      </c>
      <c r="C571" s="8" t="s">
        <v>178</v>
      </c>
      <c r="D571" s="8" t="s">
        <v>3828</v>
      </c>
      <c r="E571" s="8"/>
      <c r="F571" s="8" t="s">
        <v>78</v>
      </c>
      <c r="G571" s="8" t="n">
        <v>3</v>
      </c>
      <c r="H571" s="13" t="n">
        <v>2</v>
      </c>
      <c r="I571" s="8" t="n">
        <v>5</v>
      </c>
      <c r="J571" s="20" t="s">
        <v>259</v>
      </c>
      <c r="K571" s="8"/>
      <c r="L571" s="20" t="s">
        <v>259</v>
      </c>
      <c r="M571" s="16" t="n">
        <f aca="false">H571*Scoring!$C$5</f>
        <v>2.6</v>
      </c>
      <c r="N571" s="16" t="n">
        <f aca="false">IF(I571&gt;=5,1,IF(I571=4,0.75,IF(I571=3,0.5,IF(I571=2,0.25,0))))*Scoring!$C$8</f>
        <v>1</v>
      </c>
      <c r="O571" s="16" t="n">
        <f aca="false">IF(J571="Yes",0,Scoring!$C$6)</f>
        <v>2</v>
      </c>
      <c r="P571" s="16" t="n">
        <f aca="false">IF(L571="Yes",0,Scoring!$C$7)</f>
        <v>0.5</v>
      </c>
      <c r="Q571" s="8" t="n">
        <f aca="false">ROUND(SUM(M571:P571),2)</f>
        <v>6.1</v>
      </c>
      <c r="R571" s="8" t="str">
        <f aca="false">IF(Q571&gt;=Scoring!$C$10-0.000001,"Keep","Remove")</f>
        <v>Remove</v>
      </c>
      <c r="S571" s="8" t="s">
        <v>7243</v>
      </c>
    </row>
    <row r="572" customFormat="false" ht="15" hidden="false" customHeight="false" outlineLevel="0" collapsed="false">
      <c r="A572" s="8" t="s">
        <v>7324</v>
      </c>
      <c r="B572" s="8" t="s">
        <v>7325</v>
      </c>
      <c r="C572" s="8" t="s">
        <v>178</v>
      </c>
      <c r="D572" s="8" t="s">
        <v>3828</v>
      </c>
      <c r="E572" s="8"/>
      <c r="F572" s="8" t="s">
        <v>78</v>
      </c>
      <c r="G572" s="8" t="n">
        <v>3</v>
      </c>
      <c r="H572" s="13" t="n">
        <v>2</v>
      </c>
      <c r="I572" s="8" t="n">
        <v>5</v>
      </c>
      <c r="J572" s="20" t="s">
        <v>259</v>
      </c>
      <c r="K572" s="8"/>
      <c r="L572" s="20" t="s">
        <v>259</v>
      </c>
      <c r="M572" s="16" t="n">
        <f aca="false">H572*Scoring!$C$5</f>
        <v>2.6</v>
      </c>
      <c r="N572" s="16" t="n">
        <f aca="false">IF(I572&gt;=5,1,IF(I572=4,0.75,IF(I572=3,0.5,IF(I572=2,0.25,0))))*Scoring!$C$8</f>
        <v>1</v>
      </c>
      <c r="O572" s="16" t="n">
        <f aca="false">IF(J572="Yes",0,Scoring!$C$6)</f>
        <v>2</v>
      </c>
      <c r="P572" s="16" t="n">
        <f aca="false">IF(L572="Yes",0,Scoring!$C$7)</f>
        <v>0.5</v>
      </c>
      <c r="Q572" s="8" t="n">
        <f aca="false">ROUND(SUM(M572:P572),2)</f>
        <v>6.1</v>
      </c>
      <c r="R572" s="8" t="str">
        <f aca="false">IF(Q572&gt;=Scoring!$C$10-0.000001,"Keep","Remove")</f>
        <v>Remove</v>
      </c>
      <c r="S572" s="8" t="s">
        <v>7243</v>
      </c>
    </row>
    <row r="573" customFormat="false" ht="15" hidden="false" customHeight="false" outlineLevel="0" collapsed="false">
      <c r="A573" s="8" t="s">
        <v>4027</v>
      </c>
      <c r="B573" s="8" t="s">
        <v>4028</v>
      </c>
      <c r="C573" s="8" t="s">
        <v>178</v>
      </c>
      <c r="D573" s="8" t="s">
        <v>3828</v>
      </c>
      <c r="E573" s="8"/>
      <c r="F573" s="8" t="s">
        <v>86</v>
      </c>
      <c r="G573" s="8" t="n">
        <v>2</v>
      </c>
      <c r="H573" s="13" t="n">
        <v>3</v>
      </c>
      <c r="I573" s="8" t="n">
        <v>3</v>
      </c>
      <c r="J573" s="20" t="s">
        <v>259</v>
      </c>
      <c r="K573" s="8"/>
      <c r="L573" s="20" t="s">
        <v>259</v>
      </c>
      <c r="M573" s="16" t="n">
        <f aca="false">H573*Scoring!$C$5</f>
        <v>3.9</v>
      </c>
      <c r="N573" s="16" t="n">
        <f aca="false">IF(I573&gt;=5,1,IF(I573=4,0.75,IF(I573=3,0.5,IF(I573=2,0.25,0))))*Scoring!$C$8</f>
        <v>0.5</v>
      </c>
      <c r="O573" s="16" t="n">
        <f aca="false">IF(J573="Yes",0,Scoring!$C$6)</f>
        <v>2</v>
      </c>
      <c r="P573" s="16" t="n">
        <f aca="false">IF(L573="Yes",0,Scoring!$C$7)</f>
        <v>0.5</v>
      </c>
      <c r="Q573" s="8" t="n">
        <f aca="false">ROUND(SUM(M573:P573),2)</f>
        <v>6.9</v>
      </c>
      <c r="R573" s="8" t="str">
        <f aca="false">IF(Q573&gt;=Scoring!$C$10-0.000001,"Keep","Remove")</f>
        <v>Keep</v>
      </c>
      <c r="S573" s="8" t="s">
        <v>166</v>
      </c>
    </row>
    <row r="574" customFormat="false" ht="15" hidden="false" customHeight="false" outlineLevel="0" collapsed="false">
      <c r="A574" s="8" t="s">
        <v>7509</v>
      </c>
      <c r="B574" s="8" t="s">
        <v>7510</v>
      </c>
      <c r="C574" s="8" t="s">
        <v>178</v>
      </c>
      <c r="D574" s="8" t="s">
        <v>3828</v>
      </c>
      <c r="E574" s="8"/>
      <c r="F574" s="8" t="s">
        <v>78</v>
      </c>
      <c r="G574" s="8" t="n">
        <v>3</v>
      </c>
      <c r="H574" s="13" t="n">
        <v>2</v>
      </c>
      <c r="I574" s="8" t="n">
        <v>4</v>
      </c>
      <c r="J574" s="20" t="s">
        <v>259</v>
      </c>
      <c r="K574" s="8"/>
      <c r="L574" s="20" t="s">
        <v>259</v>
      </c>
      <c r="M574" s="16" t="n">
        <f aca="false">H574*Scoring!$C$5</f>
        <v>2.6</v>
      </c>
      <c r="N574" s="16" t="n">
        <f aca="false">IF(I574&gt;=5,1,IF(I574=4,0.75,IF(I574=3,0.5,IF(I574=2,0.25,0))))*Scoring!$C$8</f>
        <v>0.75</v>
      </c>
      <c r="O574" s="16" t="n">
        <f aca="false">IF(J574="Yes",0,Scoring!$C$6)</f>
        <v>2</v>
      </c>
      <c r="P574" s="16" t="n">
        <f aca="false">IF(L574="Yes",0,Scoring!$C$7)</f>
        <v>0.5</v>
      </c>
      <c r="Q574" s="8" t="n">
        <f aca="false">ROUND(SUM(M574:P574),2)</f>
        <v>5.85</v>
      </c>
      <c r="R574" s="8" t="str">
        <f aca="false">IF(Q574&gt;=Scoring!$C$10-0.000001,"Keep","Remove")</f>
        <v>Remove</v>
      </c>
      <c r="S574" s="8" t="s">
        <v>7243</v>
      </c>
    </row>
    <row r="575" customFormat="false" ht="15" hidden="false" customHeight="false" outlineLevel="0" collapsed="false">
      <c r="A575" s="8" t="s">
        <v>7711</v>
      </c>
      <c r="B575" s="8" t="s">
        <v>7712</v>
      </c>
      <c r="C575" s="8" t="s">
        <v>178</v>
      </c>
      <c r="D575" s="8" t="s">
        <v>3828</v>
      </c>
      <c r="E575" s="8"/>
      <c r="F575" s="8" t="s">
        <v>78</v>
      </c>
      <c r="G575" s="8" t="n">
        <v>3</v>
      </c>
      <c r="H575" s="13" t="n">
        <v>2</v>
      </c>
      <c r="I575" s="8" t="n">
        <v>3</v>
      </c>
      <c r="J575" s="20" t="s">
        <v>259</v>
      </c>
      <c r="K575" s="8"/>
      <c r="L575" s="20" t="s">
        <v>259</v>
      </c>
      <c r="M575" s="16" t="n">
        <f aca="false">H575*Scoring!$C$5</f>
        <v>2.6</v>
      </c>
      <c r="N575" s="16" t="n">
        <f aca="false">IF(I575&gt;=5,1,IF(I575=4,0.75,IF(I575=3,0.5,IF(I575=2,0.25,0))))*Scoring!$C$8</f>
        <v>0.5</v>
      </c>
      <c r="O575" s="16" t="n">
        <f aca="false">IF(J575="Yes",0,Scoring!$C$6)</f>
        <v>2</v>
      </c>
      <c r="P575" s="16" t="n">
        <f aca="false">IF(L575="Yes",0,Scoring!$C$7)</f>
        <v>0.5</v>
      </c>
      <c r="Q575" s="8" t="n">
        <f aca="false">ROUND(SUM(M575:P575),2)</f>
        <v>5.6</v>
      </c>
      <c r="R575" s="8" t="str">
        <f aca="false">IF(Q575&gt;=Scoring!$C$10-0.000001,"Keep","Remove")</f>
        <v>Remove</v>
      </c>
      <c r="S575" s="8" t="s">
        <v>7243</v>
      </c>
    </row>
    <row r="576" customFormat="false" ht="15" hidden="false" customHeight="false" outlineLevel="0" collapsed="false">
      <c r="A576" s="8" t="s">
        <v>7511</v>
      </c>
      <c r="B576" s="8" t="s">
        <v>7512</v>
      </c>
      <c r="C576" s="8" t="s">
        <v>178</v>
      </c>
      <c r="D576" s="8" t="s">
        <v>3828</v>
      </c>
      <c r="E576" s="8"/>
      <c r="F576" s="8" t="s">
        <v>78</v>
      </c>
      <c r="G576" s="8" t="n">
        <v>3</v>
      </c>
      <c r="H576" s="13" t="n">
        <v>2</v>
      </c>
      <c r="I576" s="8" t="n">
        <v>4</v>
      </c>
      <c r="J576" s="20" t="s">
        <v>259</v>
      </c>
      <c r="K576" s="8"/>
      <c r="L576" s="20" t="s">
        <v>259</v>
      </c>
      <c r="M576" s="16" t="n">
        <f aca="false">H576*Scoring!$C$5</f>
        <v>2.6</v>
      </c>
      <c r="N576" s="16" t="n">
        <f aca="false">IF(I576&gt;=5,1,IF(I576=4,0.75,IF(I576=3,0.5,IF(I576=2,0.25,0))))*Scoring!$C$8</f>
        <v>0.75</v>
      </c>
      <c r="O576" s="16" t="n">
        <f aca="false">IF(J576="Yes",0,Scoring!$C$6)</f>
        <v>2</v>
      </c>
      <c r="P576" s="16" t="n">
        <f aca="false">IF(L576="Yes",0,Scoring!$C$7)</f>
        <v>0.5</v>
      </c>
      <c r="Q576" s="8" t="n">
        <f aca="false">ROUND(SUM(M576:P576),2)</f>
        <v>5.85</v>
      </c>
      <c r="R576" s="8" t="str">
        <f aca="false">IF(Q576&gt;=Scoring!$C$10-0.000001,"Keep","Remove")</f>
        <v>Remove</v>
      </c>
      <c r="S576" s="8" t="s">
        <v>7243</v>
      </c>
    </row>
    <row r="577" customFormat="false" ht="15" hidden="false" customHeight="false" outlineLevel="0" collapsed="false">
      <c r="A577" s="8" t="s">
        <v>7857</v>
      </c>
      <c r="B577" s="8" t="s">
        <v>7858</v>
      </c>
      <c r="C577" s="8" t="s">
        <v>178</v>
      </c>
      <c r="D577" s="8" t="s">
        <v>3828</v>
      </c>
      <c r="E577" s="8"/>
      <c r="F577" s="8" t="s">
        <v>78</v>
      </c>
      <c r="G577" s="8" t="n">
        <v>3</v>
      </c>
      <c r="H577" s="13" t="n">
        <v>2</v>
      </c>
      <c r="I577" s="8" t="n">
        <v>5</v>
      </c>
      <c r="J577" s="20" t="s">
        <v>218</v>
      </c>
      <c r="K577" s="8" t="s">
        <v>8179</v>
      </c>
      <c r="L577" s="20" t="s">
        <v>259</v>
      </c>
      <c r="M577" s="16" t="n">
        <f aca="false">H577*Scoring!$C$5</f>
        <v>2.6</v>
      </c>
      <c r="N577" s="16" t="n">
        <f aca="false">IF(I577&gt;=5,1,IF(I577=4,0.75,IF(I577=3,0.5,IF(I577=2,0.25,0))))*Scoring!$C$8</f>
        <v>1</v>
      </c>
      <c r="O577" s="16" t="n">
        <f aca="false">IF(J577="Yes",0,Scoring!$C$6)</f>
        <v>0</v>
      </c>
      <c r="P577" s="16" t="n">
        <f aca="false">IF(L577="Yes",0,Scoring!$C$7)</f>
        <v>0.5</v>
      </c>
      <c r="Q577" s="8" t="n">
        <f aca="false">ROUND(SUM(M577:P577),2)</f>
        <v>4.1</v>
      </c>
      <c r="R577" s="8" t="str">
        <f aca="false">IF(Q577&gt;=Scoring!$C$10-0.000001,"Keep","Remove")</f>
        <v>Remove</v>
      </c>
      <c r="S577" s="8" t="s">
        <v>7859</v>
      </c>
    </row>
    <row r="578" customFormat="false" ht="15" hidden="false" customHeight="false" outlineLevel="0" collapsed="false">
      <c r="A578" s="8" t="s">
        <v>4035</v>
      </c>
      <c r="B578" s="8" t="s">
        <v>4036</v>
      </c>
      <c r="C578" s="8" t="s">
        <v>178</v>
      </c>
      <c r="D578" s="8" t="s">
        <v>3828</v>
      </c>
      <c r="E578" s="8"/>
      <c r="F578" s="8" t="s">
        <v>80</v>
      </c>
      <c r="G578" s="8" t="n">
        <v>2</v>
      </c>
      <c r="H578" s="13" t="n">
        <v>3</v>
      </c>
      <c r="I578" s="8" t="n">
        <v>6</v>
      </c>
      <c r="J578" s="20" t="s">
        <v>259</v>
      </c>
      <c r="K578" s="8"/>
      <c r="L578" s="20" t="s">
        <v>259</v>
      </c>
      <c r="M578" s="16" t="n">
        <f aca="false">H578*Scoring!$C$5</f>
        <v>3.9</v>
      </c>
      <c r="N578" s="16" t="n">
        <f aca="false">IF(I578&gt;=5,1,IF(I578=4,0.75,IF(I578=3,0.5,IF(I578=2,0.25,0))))*Scoring!$C$8</f>
        <v>1</v>
      </c>
      <c r="O578" s="16" t="n">
        <f aca="false">IF(J578="Yes",0,Scoring!$C$6)</f>
        <v>2</v>
      </c>
      <c r="P578" s="16" t="n">
        <f aca="false">IF(L578="Yes",0,Scoring!$C$7)</f>
        <v>0.5</v>
      </c>
      <c r="Q578" s="8" t="n">
        <f aca="false">ROUND(SUM(M578:P578),2)</f>
        <v>7.4</v>
      </c>
      <c r="R578" s="8" t="str">
        <f aca="false">IF(Q578&gt;=Scoring!$C$10-0.000001,"Keep","Remove")</f>
        <v>Keep</v>
      </c>
      <c r="S578" s="8" t="s">
        <v>166</v>
      </c>
    </row>
    <row r="579" customFormat="false" ht="15" hidden="false" customHeight="false" outlineLevel="0" collapsed="false">
      <c r="A579" s="8" t="s">
        <v>4045</v>
      </c>
      <c r="B579" s="8" t="s">
        <v>4046</v>
      </c>
      <c r="C579" s="8" t="s">
        <v>178</v>
      </c>
      <c r="D579" s="8" t="s">
        <v>3828</v>
      </c>
      <c r="E579" s="8"/>
      <c r="F579" s="8" t="s">
        <v>80</v>
      </c>
      <c r="G579" s="8" t="n">
        <v>2</v>
      </c>
      <c r="H579" s="13" t="n">
        <v>3</v>
      </c>
      <c r="I579" s="8" t="n">
        <v>3</v>
      </c>
      <c r="J579" s="20" t="s">
        <v>259</v>
      </c>
      <c r="K579" s="8"/>
      <c r="L579" s="20" t="s">
        <v>259</v>
      </c>
      <c r="M579" s="16" t="n">
        <f aca="false">H579*Scoring!$C$5</f>
        <v>3.9</v>
      </c>
      <c r="N579" s="16" t="n">
        <f aca="false">IF(I579&gt;=5,1,IF(I579=4,0.75,IF(I579=3,0.5,IF(I579=2,0.25,0))))*Scoring!$C$8</f>
        <v>0.5</v>
      </c>
      <c r="O579" s="16" t="n">
        <f aca="false">IF(J579="Yes",0,Scoring!$C$6)</f>
        <v>2</v>
      </c>
      <c r="P579" s="16" t="n">
        <f aca="false">IF(L579="Yes",0,Scoring!$C$7)</f>
        <v>0.5</v>
      </c>
      <c r="Q579" s="8" t="n">
        <f aca="false">ROUND(SUM(M579:P579),2)</f>
        <v>6.9</v>
      </c>
      <c r="R579" s="8" t="str">
        <f aca="false">IF(Q579&gt;=Scoring!$C$10-0.000001,"Keep","Remove")</f>
        <v>Keep</v>
      </c>
      <c r="S579" s="8" t="s">
        <v>166</v>
      </c>
    </row>
    <row r="580" customFormat="false" ht="15" hidden="false" customHeight="false" outlineLevel="0" collapsed="false">
      <c r="A580" s="8" t="s">
        <v>4057</v>
      </c>
      <c r="B580" s="8" t="s">
        <v>4058</v>
      </c>
      <c r="C580" s="8" t="s">
        <v>178</v>
      </c>
      <c r="D580" s="8" t="s">
        <v>3828</v>
      </c>
      <c r="E580" s="8"/>
      <c r="F580" s="8" t="s">
        <v>78</v>
      </c>
      <c r="G580" s="8" t="n">
        <v>2</v>
      </c>
      <c r="H580" s="13" t="n">
        <v>5</v>
      </c>
      <c r="I580" s="8" t="n">
        <v>6</v>
      </c>
      <c r="J580" s="20" t="s">
        <v>259</v>
      </c>
      <c r="K580" s="8"/>
      <c r="L580" s="20" t="s">
        <v>259</v>
      </c>
      <c r="M580" s="16" t="n">
        <f aca="false">H580*Scoring!$C$5</f>
        <v>6.5</v>
      </c>
      <c r="N580" s="16" t="n">
        <f aca="false">IF(I580&gt;=5,1,IF(I580=4,0.75,IF(I580=3,0.5,IF(I580=2,0.25,0))))*Scoring!$C$8</f>
        <v>1</v>
      </c>
      <c r="O580" s="16" t="n">
        <f aca="false">IF(J580="Yes",0,Scoring!$C$6)</f>
        <v>2</v>
      </c>
      <c r="P580" s="16" t="n">
        <f aca="false">IF(L580="Yes",0,Scoring!$C$7)</f>
        <v>0.5</v>
      </c>
      <c r="Q580" s="8" t="n">
        <f aca="false">ROUND(SUM(M580:P580),2)</f>
        <v>10</v>
      </c>
      <c r="R580" s="8" t="str">
        <f aca="false">IF(Q580&gt;=Scoring!$C$10-0.000001,"Keep","Remove")</f>
        <v>Keep</v>
      </c>
      <c r="S580" s="8" t="s">
        <v>166</v>
      </c>
    </row>
    <row r="581" customFormat="false" ht="15" hidden="false" customHeight="false" outlineLevel="0" collapsed="false">
      <c r="A581" s="8" t="s">
        <v>4068</v>
      </c>
      <c r="B581" s="8" t="s">
        <v>4069</v>
      </c>
      <c r="C581" s="8" t="s">
        <v>178</v>
      </c>
      <c r="D581" s="8" t="s">
        <v>3828</v>
      </c>
      <c r="E581" s="8"/>
      <c r="F581" s="8" t="s">
        <v>78</v>
      </c>
      <c r="G581" s="8" t="n">
        <v>2</v>
      </c>
      <c r="H581" s="13" t="n">
        <v>5</v>
      </c>
      <c r="I581" s="8" t="n">
        <v>2</v>
      </c>
      <c r="J581" s="20" t="s">
        <v>259</v>
      </c>
      <c r="K581" s="8"/>
      <c r="L581" s="20" t="s">
        <v>259</v>
      </c>
      <c r="M581" s="16" t="n">
        <f aca="false">H581*Scoring!$C$5</f>
        <v>6.5</v>
      </c>
      <c r="N581" s="16" t="n">
        <f aca="false">IF(I581&gt;=5,1,IF(I581=4,0.75,IF(I581=3,0.5,IF(I581=2,0.25,0))))*Scoring!$C$8</f>
        <v>0.25</v>
      </c>
      <c r="O581" s="16" t="n">
        <f aca="false">IF(J581="Yes",0,Scoring!$C$6)</f>
        <v>2</v>
      </c>
      <c r="P581" s="16" t="n">
        <f aca="false">IF(L581="Yes",0,Scoring!$C$7)</f>
        <v>0.5</v>
      </c>
      <c r="Q581" s="8" t="n">
        <f aca="false">ROUND(SUM(M581:P581),2)</f>
        <v>9.25</v>
      </c>
      <c r="R581" s="8" t="str">
        <f aca="false">IF(Q581&gt;=Scoring!$C$10-0.000001,"Keep","Remove")</f>
        <v>Keep</v>
      </c>
      <c r="S581" s="8" t="s">
        <v>166</v>
      </c>
    </row>
    <row r="582" customFormat="false" ht="15" hidden="false" customHeight="false" outlineLevel="0" collapsed="false">
      <c r="A582" s="8" t="s">
        <v>7513</v>
      </c>
      <c r="B582" s="8" t="s">
        <v>7514</v>
      </c>
      <c r="C582" s="8" t="s">
        <v>178</v>
      </c>
      <c r="D582" s="8" t="s">
        <v>3828</v>
      </c>
      <c r="E582" s="8"/>
      <c r="F582" s="8" t="s">
        <v>79</v>
      </c>
      <c r="G582" s="8" t="n">
        <v>3</v>
      </c>
      <c r="H582" s="13" t="n">
        <v>2</v>
      </c>
      <c r="I582" s="8" t="n">
        <v>4</v>
      </c>
      <c r="J582" s="20" t="s">
        <v>259</v>
      </c>
      <c r="K582" s="8"/>
      <c r="L582" s="20" t="s">
        <v>259</v>
      </c>
      <c r="M582" s="16" t="n">
        <f aca="false">H582*Scoring!$C$5</f>
        <v>2.6</v>
      </c>
      <c r="N582" s="16" t="n">
        <f aca="false">IF(I582&gt;=5,1,IF(I582=4,0.75,IF(I582=3,0.5,IF(I582=2,0.25,0))))*Scoring!$C$8</f>
        <v>0.75</v>
      </c>
      <c r="O582" s="16" t="n">
        <f aca="false">IF(J582="Yes",0,Scoring!$C$6)</f>
        <v>2</v>
      </c>
      <c r="P582" s="16" t="n">
        <f aca="false">IF(L582="Yes",0,Scoring!$C$7)</f>
        <v>0.5</v>
      </c>
      <c r="Q582" s="8" t="n">
        <f aca="false">ROUND(SUM(M582:P582),2)</f>
        <v>5.85</v>
      </c>
      <c r="R582" s="8" t="str">
        <f aca="false">IF(Q582&gt;=Scoring!$C$10-0.000001,"Keep","Remove")</f>
        <v>Remove</v>
      </c>
      <c r="S582" s="8" t="s">
        <v>7243</v>
      </c>
    </row>
    <row r="583" customFormat="false" ht="15" hidden="false" customHeight="false" outlineLevel="0" collapsed="false">
      <c r="A583" s="8" t="s">
        <v>7795</v>
      </c>
      <c r="B583" s="8" t="s">
        <v>7796</v>
      </c>
      <c r="C583" s="8" t="s">
        <v>178</v>
      </c>
      <c r="D583" s="8" t="s">
        <v>3828</v>
      </c>
      <c r="E583" s="8"/>
      <c r="F583" s="8" t="s">
        <v>79</v>
      </c>
      <c r="G583" s="8" t="n">
        <v>3</v>
      </c>
      <c r="H583" s="13" t="n">
        <v>2</v>
      </c>
      <c r="I583" s="8" t="n">
        <v>2</v>
      </c>
      <c r="J583" s="20" t="s">
        <v>259</v>
      </c>
      <c r="K583" s="8"/>
      <c r="L583" s="20" t="s">
        <v>259</v>
      </c>
      <c r="M583" s="16" t="n">
        <f aca="false">H583*Scoring!$C$5</f>
        <v>2.6</v>
      </c>
      <c r="N583" s="16" t="n">
        <f aca="false">IF(I583&gt;=5,1,IF(I583=4,0.75,IF(I583=3,0.5,IF(I583=2,0.25,0))))*Scoring!$C$8</f>
        <v>0.25</v>
      </c>
      <c r="O583" s="16" t="n">
        <f aca="false">IF(J583="Yes",0,Scoring!$C$6)</f>
        <v>2</v>
      </c>
      <c r="P583" s="16" t="n">
        <f aca="false">IF(L583="Yes",0,Scoring!$C$7)</f>
        <v>0.5</v>
      </c>
      <c r="Q583" s="8" t="n">
        <f aca="false">ROUND(SUM(M583:P583),2)</f>
        <v>5.35</v>
      </c>
      <c r="R583" s="8" t="str">
        <f aca="false">IF(Q583&gt;=Scoring!$C$10-0.000001,"Keep","Remove")</f>
        <v>Remove</v>
      </c>
      <c r="S583" s="8" t="s">
        <v>7243</v>
      </c>
    </row>
    <row r="584" customFormat="false" ht="15" hidden="false" customHeight="false" outlineLevel="0" collapsed="false">
      <c r="A584" s="8" t="s">
        <v>4079</v>
      </c>
      <c r="B584" s="8" t="s">
        <v>4080</v>
      </c>
      <c r="C584" s="8" t="s">
        <v>178</v>
      </c>
      <c r="D584" s="8" t="s">
        <v>4081</v>
      </c>
      <c r="E584" s="8"/>
      <c r="F584" s="8" t="s">
        <v>82</v>
      </c>
      <c r="G584" s="8" t="n">
        <v>1</v>
      </c>
      <c r="H584" s="13" t="n">
        <v>5</v>
      </c>
      <c r="I584" s="8" t="n">
        <v>3</v>
      </c>
      <c r="J584" s="20" t="s">
        <v>259</v>
      </c>
      <c r="K584" s="8"/>
      <c r="L584" s="20" t="s">
        <v>259</v>
      </c>
      <c r="M584" s="16" t="n">
        <f aca="false">H584*Scoring!$C$5</f>
        <v>6.5</v>
      </c>
      <c r="N584" s="16" t="n">
        <f aca="false">IF(I584&gt;=5,1,IF(I584=4,0.75,IF(I584=3,0.5,IF(I584=2,0.25,0))))*Scoring!$C$8</f>
        <v>0.5</v>
      </c>
      <c r="O584" s="16" t="n">
        <f aca="false">IF(J584="Yes",0,Scoring!$C$6)</f>
        <v>2</v>
      </c>
      <c r="P584" s="16" t="n">
        <f aca="false">IF(L584="Yes",0,Scoring!$C$7)</f>
        <v>0.5</v>
      </c>
      <c r="Q584" s="8" t="n">
        <f aca="false">ROUND(SUM(M584:P584),2)</f>
        <v>9.5</v>
      </c>
      <c r="R584" s="8" t="str">
        <f aca="false">IF(Q584&gt;=Scoring!$C$10-0.000001,"Keep","Remove")</f>
        <v>Keep</v>
      </c>
      <c r="S584" s="8" t="s">
        <v>166</v>
      </c>
    </row>
    <row r="585" customFormat="false" ht="15" hidden="false" customHeight="false" outlineLevel="0" collapsed="false">
      <c r="A585" s="8" t="s">
        <v>4091</v>
      </c>
      <c r="B585" s="8" t="s">
        <v>4092</v>
      </c>
      <c r="C585" s="8" t="s">
        <v>178</v>
      </c>
      <c r="D585" s="8" t="s">
        <v>4081</v>
      </c>
      <c r="E585" s="8"/>
      <c r="F585" s="8" t="s">
        <v>78</v>
      </c>
      <c r="G585" s="8" t="n">
        <v>1</v>
      </c>
      <c r="H585" s="13" t="n">
        <v>3</v>
      </c>
      <c r="I585" s="8" t="n">
        <v>6</v>
      </c>
      <c r="J585" s="20" t="s">
        <v>259</v>
      </c>
      <c r="K585" s="8"/>
      <c r="L585" s="20" t="s">
        <v>259</v>
      </c>
      <c r="M585" s="16" t="n">
        <f aca="false">H585*Scoring!$C$5</f>
        <v>3.9</v>
      </c>
      <c r="N585" s="16" t="n">
        <f aca="false">IF(I585&gt;=5,1,IF(I585=4,0.75,IF(I585=3,0.5,IF(I585=2,0.25,0))))*Scoring!$C$8</f>
        <v>1</v>
      </c>
      <c r="O585" s="16" t="n">
        <f aca="false">IF(J585="Yes",0,Scoring!$C$6)</f>
        <v>2</v>
      </c>
      <c r="P585" s="16" t="n">
        <f aca="false">IF(L585="Yes",0,Scoring!$C$7)</f>
        <v>0.5</v>
      </c>
      <c r="Q585" s="8" t="n">
        <f aca="false">ROUND(SUM(M585:P585),2)</f>
        <v>7.4</v>
      </c>
      <c r="R585" s="8" t="str">
        <f aca="false">IF(Q585&gt;=Scoring!$C$10-0.000001,"Keep","Remove")</f>
        <v>Keep</v>
      </c>
      <c r="S585" s="8" t="s">
        <v>166</v>
      </c>
    </row>
    <row r="586" customFormat="false" ht="15" hidden="false" customHeight="false" outlineLevel="0" collapsed="false">
      <c r="A586" s="8" t="s">
        <v>4102</v>
      </c>
      <c r="B586" s="8" t="s">
        <v>4103</v>
      </c>
      <c r="C586" s="8" t="s">
        <v>178</v>
      </c>
      <c r="D586" s="8" t="s">
        <v>4081</v>
      </c>
      <c r="E586" s="8"/>
      <c r="F586" s="8" t="s">
        <v>78</v>
      </c>
      <c r="G586" s="8" t="n">
        <v>1</v>
      </c>
      <c r="H586" s="13" t="n">
        <v>3</v>
      </c>
      <c r="I586" s="8" t="n">
        <v>6</v>
      </c>
      <c r="J586" s="20" t="s">
        <v>259</v>
      </c>
      <c r="K586" s="8"/>
      <c r="L586" s="20" t="s">
        <v>259</v>
      </c>
      <c r="M586" s="16" t="n">
        <f aca="false">H586*Scoring!$C$5</f>
        <v>3.9</v>
      </c>
      <c r="N586" s="16" t="n">
        <f aca="false">IF(I586&gt;=5,1,IF(I586=4,0.75,IF(I586=3,0.5,IF(I586=2,0.25,0))))*Scoring!$C$8</f>
        <v>1</v>
      </c>
      <c r="O586" s="16" t="n">
        <f aca="false">IF(J586="Yes",0,Scoring!$C$6)</f>
        <v>2</v>
      </c>
      <c r="P586" s="16" t="n">
        <f aca="false">IF(L586="Yes",0,Scoring!$C$7)</f>
        <v>0.5</v>
      </c>
      <c r="Q586" s="8" t="n">
        <f aca="false">ROUND(SUM(M586:P586),2)</f>
        <v>7.4</v>
      </c>
      <c r="R586" s="8" t="str">
        <f aca="false">IF(Q586&gt;=Scoring!$C$10-0.000001,"Keep","Remove")</f>
        <v>Keep</v>
      </c>
      <c r="S586" s="8" t="s">
        <v>166</v>
      </c>
    </row>
    <row r="587" customFormat="false" ht="15" hidden="false" customHeight="false" outlineLevel="0" collapsed="false">
      <c r="A587" s="8" t="s">
        <v>4110</v>
      </c>
      <c r="B587" s="8" t="s">
        <v>4111</v>
      </c>
      <c r="C587" s="8" t="s">
        <v>178</v>
      </c>
      <c r="D587" s="8" t="s">
        <v>4081</v>
      </c>
      <c r="E587" s="8"/>
      <c r="F587" s="8" t="s">
        <v>78</v>
      </c>
      <c r="G587" s="8" t="n">
        <v>1</v>
      </c>
      <c r="H587" s="13" t="n">
        <v>4</v>
      </c>
      <c r="I587" s="8" t="n">
        <v>4</v>
      </c>
      <c r="J587" s="20" t="s">
        <v>259</v>
      </c>
      <c r="K587" s="8"/>
      <c r="L587" s="20" t="s">
        <v>259</v>
      </c>
      <c r="M587" s="16" t="n">
        <f aca="false">H587*Scoring!$C$5</f>
        <v>5.2</v>
      </c>
      <c r="N587" s="16" t="n">
        <f aca="false">IF(I587&gt;=5,1,IF(I587=4,0.75,IF(I587=3,0.5,IF(I587=2,0.25,0))))*Scoring!$C$8</f>
        <v>0.75</v>
      </c>
      <c r="O587" s="16" t="n">
        <f aca="false">IF(J587="Yes",0,Scoring!$C$6)</f>
        <v>2</v>
      </c>
      <c r="P587" s="16" t="n">
        <f aca="false">IF(L587="Yes",0,Scoring!$C$7)</f>
        <v>0.5</v>
      </c>
      <c r="Q587" s="8" t="n">
        <f aca="false">ROUND(SUM(M587:P587),2)</f>
        <v>8.45</v>
      </c>
      <c r="R587" s="8" t="str">
        <f aca="false">IF(Q587&gt;=Scoring!$C$10-0.000001,"Keep","Remove")</f>
        <v>Keep</v>
      </c>
      <c r="S587" s="8" t="s">
        <v>166</v>
      </c>
    </row>
    <row r="588" customFormat="false" ht="15" hidden="false" customHeight="false" outlineLevel="0" collapsed="false">
      <c r="A588" s="8" t="s">
        <v>4118</v>
      </c>
      <c r="B588" s="8" t="s">
        <v>4119</v>
      </c>
      <c r="C588" s="8" t="s">
        <v>178</v>
      </c>
      <c r="D588" s="8" t="s">
        <v>4081</v>
      </c>
      <c r="E588" s="8"/>
      <c r="F588" s="8" t="s">
        <v>83</v>
      </c>
      <c r="G588" s="8" t="n">
        <v>1</v>
      </c>
      <c r="H588" s="13" t="n">
        <v>4</v>
      </c>
      <c r="I588" s="8" t="n">
        <v>6</v>
      </c>
      <c r="J588" s="20" t="s">
        <v>259</v>
      </c>
      <c r="K588" s="8"/>
      <c r="L588" s="20" t="s">
        <v>259</v>
      </c>
      <c r="M588" s="16" t="n">
        <f aca="false">H588*Scoring!$C$5</f>
        <v>5.2</v>
      </c>
      <c r="N588" s="16" t="n">
        <f aca="false">IF(I588&gt;=5,1,IF(I588=4,0.75,IF(I588=3,0.5,IF(I588=2,0.25,0))))*Scoring!$C$8</f>
        <v>1</v>
      </c>
      <c r="O588" s="16" t="n">
        <f aca="false">IF(J588="Yes",0,Scoring!$C$6)</f>
        <v>2</v>
      </c>
      <c r="P588" s="16" t="n">
        <f aca="false">IF(L588="Yes",0,Scoring!$C$7)</f>
        <v>0.5</v>
      </c>
      <c r="Q588" s="8" t="n">
        <f aca="false">ROUND(SUM(M588:P588),2)</f>
        <v>8.7</v>
      </c>
      <c r="R588" s="8" t="str">
        <f aca="false">IF(Q588&gt;=Scoring!$C$10-0.000001,"Keep","Remove")</f>
        <v>Keep</v>
      </c>
      <c r="S588" s="8" t="s">
        <v>166</v>
      </c>
    </row>
    <row r="589" customFormat="false" ht="15" hidden="false" customHeight="false" outlineLevel="0" collapsed="false">
      <c r="A589" s="8" t="s">
        <v>4131</v>
      </c>
      <c r="B589" s="8" t="s">
        <v>4132</v>
      </c>
      <c r="C589" s="8" t="s">
        <v>178</v>
      </c>
      <c r="D589" s="8" t="s">
        <v>4081</v>
      </c>
      <c r="E589" s="8"/>
      <c r="F589" s="8" t="s">
        <v>80</v>
      </c>
      <c r="G589" s="8" t="n">
        <v>1</v>
      </c>
      <c r="H589" s="13" t="n">
        <v>5</v>
      </c>
      <c r="I589" s="8" t="n">
        <v>5</v>
      </c>
      <c r="J589" s="20" t="s">
        <v>259</v>
      </c>
      <c r="K589" s="8"/>
      <c r="L589" s="20" t="s">
        <v>259</v>
      </c>
      <c r="M589" s="16" t="n">
        <f aca="false">H589*Scoring!$C$5</f>
        <v>6.5</v>
      </c>
      <c r="N589" s="16" t="n">
        <f aca="false">IF(I589&gt;=5,1,IF(I589=4,0.75,IF(I589=3,0.5,IF(I589=2,0.25,0))))*Scoring!$C$8</f>
        <v>1</v>
      </c>
      <c r="O589" s="16" t="n">
        <f aca="false">IF(J589="Yes",0,Scoring!$C$6)</f>
        <v>2</v>
      </c>
      <c r="P589" s="16" t="n">
        <f aca="false">IF(L589="Yes",0,Scoring!$C$7)</f>
        <v>0.5</v>
      </c>
      <c r="Q589" s="8" t="n">
        <f aca="false">ROUND(SUM(M589:P589),2)</f>
        <v>10</v>
      </c>
      <c r="R589" s="8" t="str">
        <f aca="false">IF(Q589&gt;=Scoring!$C$10-0.000001,"Keep","Remove")</f>
        <v>Keep</v>
      </c>
      <c r="S589" s="8" t="s">
        <v>166</v>
      </c>
    </row>
    <row r="590" customFormat="false" ht="15" hidden="false" customHeight="false" outlineLevel="0" collapsed="false">
      <c r="A590" s="8" t="s">
        <v>4140</v>
      </c>
      <c r="B590" s="8" t="s">
        <v>4141</v>
      </c>
      <c r="C590" s="8" t="s">
        <v>178</v>
      </c>
      <c r="D590" s="8" t="s">
        <v>4081</v>
      </c>
      <c r="E590" s="8"/>
      <c r="F590" s="8" t="s">
        <v>83</v>
      </c>
      <c r="G590" s="8" t="n">
        <v>2</v>
      </c>
      <c r="H590" s="13" t="n">
        <v>3</v>
      </c>
      <c r="I590" s="8" t="n">
        <v>6</v>
      </c>
      <c r="J590" s="20" t="s">
        <v>259</v>
      </c>
      <c r="K590" s="8"/>
      <c r="L590" s="20" t="s">
        <v>259</v>
      </c>
      <c r="M590" s="16" t="n">
        <f aca="false">H590*Scoring!$C$5</f>
        <v>3.9</v>
      </c>
      <c r="N590" s="16" t="n">
        <f aca="false">IF(I590&gt;=5,1,IF(I590=4,0.75,IF(I590=3,0.5,IF(I590=2,0.25,0))))*Scoring!$C$8</f>
        <v>1</v>
      </c>
      <c r="O590" s="16" t="n">
        <f aca="false">IF(J590="Yes",0,Scoring!$C$6)</f>
        <v>2</v>
      </c>
      <c r="P590" s="16" t="n">
        <f aca="false">IF(L590="Yes",0,Scoring!$C$7)</f>
        <v>0.5</v>
      </c>
      <c r="Q590" s="8" t="n">
        <f aca="false">ROUND(SUM(M590:P590),2)</f>
        <v>7.4</v>
      </c>
      <c r="R590" s="8" t="str">
        <f aca="false">IF(Q590&gt;=Scoring!$C$10-0.000001,"Keep","Remove")</f>
        <v>Keep</v>
      </c>
      <c r="S590" s="8" t="s">
        <v>166</v>
      </c>
    </row>
    <row r="591" customFormat="false" ht="15" hidden="false" customHeight="false" outlineLevel="0" collapsed="false">
      <c r="A591" s="8" t="s">
        <v>4150</v>
      </c>
      <c r="B591" s="8" t="s">
        <v>4151</v>
      </c>
      <c r="C591" s="8" t="s">
        <v>178</v>
      </c>
      <c r="D591" s="8" t="s">
        <v>4081</v>
      </c>
      <c r="E591" s="8"/>
      <c r="F591" s="8" t="s">
        <v>78</v>
      </c>
      <c r="G591" s="8" t="n">
        <v>2</v>
      </c>
      <c r="H591" s="13" t="n">
        <v>4</v>
      </c>
      <c r="I591" s="8" t="n">
        <v>5</v>
      </c>
      <c r="J591" s="20" t="s">
        <v>259</v>
      </c>
      <c r="K591" s="8"/>
      <c r="L591" s="20" t="s">
        <v>259</v>
      </c>
      <c r="M591" s="16" t="n">
        <f aca="false">H591*Scoring!$C$5</f>
        <v>5.2</v>
      </c>
      <c r="N591" s="16" t="n">
        <f aca="false">IF(I591&gt;=5,1,IF(I591=4,0.75,IF(I591=3,0.5,IF(I591=2,0.25,0))))*Scoring!$C$8</f>
        <v>1</v>
      </c>
      <c r="O591" s="16" t="n">
        <f aca="false">IF(J591="Yes",0,Scoring!$C$6)</f>
        <v>2</v>
      </c>
      <c r="P591" s="16" t="n">
        <f aca="false">IF(L591="Yes",0,Scoring!$C$7)</f>
        <v>0.5</v>
      </c>
      <c r="Q591" s="8" t="n">
        <f aca="false">ROUND(SUM(M591:P591),2)</f>
        <v>8.7</v>
      </c>
      <c r="R591" s="8" t="str">
        <f aca="false">IF(Q591&gt;=Scoring!$C$10-0.000001,"Keep","Remove")</f>
        <v>Keep</v>
      </c>
      <c r="S591" s="8" t="s">
        <v>166</v>
      </c>
    </row>
    <row r="592" customFormat="false" ht="15" hidden="false" customHeight="false" outlineLevel="0" collapsed="false">
      <c r="A592" s="8" t="s">
        <v>4157</v>
      </c>
      <c r="B592" s="8" t="s">
        <v>4158</v>
      </c>
      <c r="C592" s="8" t="s">
        <v>178</v>
      </c>
      <c r="D592" s="8" t="s">
        <v>4081</v>
      </c>
      <c r="E592" s="8"/>
      <c r="F592" s="8" t="s">
        <v>80</v>
      </c>
      <c r="G592" s="8" t="n">
        <v>1</v>
      </c>
      <c r="H592" s="13" t="n">
        <v>5</v>
      </c>
      <c r="I592" s="8" t="n">
        <v>4</v>
      </c>
      <c r="J592" s="20" t="s">
        <v>259</v>
      </c>
      <c r="K592" s="8"/>
      <c r="L592" s="20" t="s">
        <v>259</v>
      </c>
      <c r="M592" s="16" t="n">
        <f aca="false">H592*Scoring!$C$5</f>
        <v>6.5</v>
      </c>
      <c r="N592" s="16" t="n">
        <f aca="false">IF(I592&gt;=5,1,IF(I592=4,0.75,IF(I592=3,0.5,IF(I592=2,0.25,0))))*Scoring!$C$8</f>
        <v>0.75</v>
      </c>
      <c r="O592" s="16" t="n">
        <f aca="false">IF(J592="Yes",0,Scoring!$C$6)</f>
        <v>2</v>
      </c>
      <c r="P592" s="16" t="n">
        <f aca="false">IF(L592="Yes",0,Scoring!$C$7)</f>
        <v>0.5</v>
      </c>
      <c r="Q592" s="8" t="n">
        <f aca="false">ROUND(SUM(M592:P592),2)</f>
        <v>9.75</v>
      </c>
      <c r="R592" s="8" t="str">
        <f aca="false">IF(Q592&gt;=Scoring!$C$10-0.000001,"Keep","Remove")</f>
        <v>Keep</v>
      </c>
      <c r="S592" s="8" t="s">
        <v>166</v>
      </c>
    </row>
    <row r="593" customFormat="false" ht="15" hidden="false" customHeight="false" outlineLevel="0" collapsed="false">
      <c r="A593" s="8" t="s">
        <v>4163</v>
      </c>
      <c r="B593" s="8" t="s">
        <v>4164</v>
      </c>
      <c r="C593" s="8" t="s">
        <v>178</v>
      </c>
      <c r="D593" s="8" t="s">
        <v>4081</v>
      </c>
      <c r="E593" s="8"/>
      <c r="F593" s="8" t="s">
        <v>79</v>
      </c>
      <c r="G593" s="8" t="n">
        <v>2</v>
      </c>
      <c r="H593" s="13" t="n">
        <v>3</v>
      </c>
      <c r="I593" s="8" t="n">
        <v>5</v>
      </c>
      <c r="J593" s="20" t="s">
        <v>259</v>
      </c>
      <c r="K593" s="8"/>
      <c r="L593" s="20" t="s">
        <v>259</v>
      </c>
      <c r="M593" s="16" t="n">
        <f aca="false">H593*Scoring!$C$5</f>
        <v>3.9</v>
      </c>
      <c r="N593" s="16" t="n">
        <f aca="false">IF(I593&gt;=5,1,IF(I593=4,0.75,IF(I593=3,0.5,IF(I593=2,0.25,0))))*Scoring!$C$8</f>
        <v>1</v>
      </c>
      <c r="O593" s="16" t="n">
        <f aca="false">IF(J593="Yes",0,Scoring!$C$6)</f>
        <v>2</v>
      </c>
      <c r="P593" s="16" t="n">
        <f aca="false">IF(L593="Yes",0,Scoring!$C$7)</f>
        <v>0.5</v>
      </c>
      <c r="Q593" s="8" t="n">
        <f aca="false">ROUND(SUM(M593:P593),2)</f>
        <v>7.4</v>
      </c>
      <c r="R593" s="8" t="str">
        <f aca="false">IF(Q593&gt;=Scoring!$C$10-0.000001,"Keep","Remove")</f>
        <v>Keep</v>
      </c>
      <c r="S593" s="8" t="s">
        <v>166</v>
      </c>
    </row>
    <row r="594" customFormat="false" ht="15" hidden="false" customHeight="false" outlineLevel="0" collapsed="false">
      <c r="A594" s="8" t="s">
        <v>4175</v>
      </c>
      <c r="B594" s="8" t="s">
        <v>4176</v>
      </c>
      <c r="C594" s="8" t="s">
        <v>178</v>
      </c>
      <c r="D594" s="8" t="s">
        <v>4081</v>
      </c>
      <c r="E594" s="8"/>
      <c r="F594" s="8" t="s">
        <v>79</v>
      </c>
      <c r="G594" s="8" t="n">
        <v>2</v>
      </c>
      <c r="H594" s="13" t="n">
        <v>4</v>
      </c>
      <c r="I594" s="8" t="n">
        <v>4</v>
      </c>
      <c r="J594" s="20" t="s">
        <v>259</v>
      </c>
      <c r="K594" s="8"/>
      <c r="L594" s="20" t="s">
        <v>259</v>
      </c>
      <c r="M594" s="16" t="n">
        <f aca="false">H594*Scoring!$C$5</f>
        <v>5.2</v>
      </c>
      <c r="N594" s="16" t="n">
        <f aca="false">IF(I594&gt;=5,1,IF(I594=4,0.75,IF(I594=3,0.5,IF(I594=2,0.25,0))))*Scoring!$C$8</f>
        <v>0.75</v>
      </c>
      <c r="O594" s="16" t="n">
        <f aca="false">IF(J594="Yes",0,Scoring!$C$6)</f>
        <v>2</v>
      </c>
      <c r="P594" s="16" t="n">
        <f aca="false">IF(L594="Yes",0,Scoring!$C$7)</f>
        <v>0.5</v>
      </c>
      <c r="Q594" s="8" t="n">
        <f aca="false">ROUND(SUM(M594:P594),2)</f>
        <v>8.45</v>
      </c>
      <c r="R594" s="8" t="str">
        <f aca="false">IF(Q594&gt;=Scoring!$C$10-0.000001,"Keep","Remove")</f>
        <v>Keep</v>
      </c>
      <c r="S594" s="8" t="s">
        <v>166</v>
      </c>
    </row>
    <row r="595" customFormat="false" ht="15" hidden="false" customHeight="false" outlineLevel="0" collapsed="false">
      <c r="A595" s="8" t="s">
        <v>4183</v>
      </c>
      <c r="B595" s="8" t="s">
        <v>4184</v>
      </c>
      <c r="C595" s="8" t="s">
        <v>178</v>
      </c>
      <c r="D595" s="8" t="s">
        <v>4081</v>
      </c>
      <c r="E595" s="8"/>
      <c r="F595" s="8" t="s">
        <v>78</v>
      </c>
      <c r="G595" s="8" t="n">
        <v>2</v>
      </c>
      <c r="H595" s="13" t="n">
        <v>3</v>
      </c>
      <c r="I595" s="8" t="n">
        <v>3</v>
      </c>
      <c r="J595" s="20" t="s">
        <v>259</v>
      </c>
      <c r="K595" s="8"/>
      <c r="L595" s="20" t="s">
        <v>259</v>
      </c>
      <c r="M595" s="16" t="n">
        <f aca="false">H595*Scoring!$C$5</f>
        <v>3.9</v>
      </c>
      <c r="N595" s="16" t="n">
        <f aca="false">IF(I595&gt;=5,1,IF(I595=4,0.75,IF(I595=3,0.5,IF(I595=2,0.25,0))))*Scoring!$C$8</f>
        <v>0.5</v>
      </c>
      <c r="O595" s="16" t="n">
        <f aca="false">IF(J595="Yes",0,Scoring!$C$6)</f>
        <v>2</v>
      </c>
      <c r="P595" s="16" t="n">
        <f aca="false">IF(L595="Yes",0,Scoring!$C$7)</f>
        <v>0.5</v>
      </c>
      <c r="Q595" s="8" t="n">
        <f aca="false">ROUND(SUM(M595:P595),2)</f>
        <v>6.9</v>
      </c>
      <c r="R595" s="8" t="str">
        <f aca="false">IF(Q595&gt;=Scoring!$C$10-0.000001,"Keep","Remove")</f>
        <v>Keep</v>
      </c>
      <c r="S595" s="8" t="s">
        <v>166</v>
      </c>
    </row>
    <row r="596" customFormat="false" ht="15" hidden="false" customHeight="false" outlineLevel="0" collapsed="false">
      <c r="A596" s="8" t="s">
        <v>4193</v>
      </c>
      <c r="B596" s="8" t="s">
        <v>4194</v>
      </c>
      <c r="C596" s="8" t="s">
        <v>178</v>
      </c>
      <c r="D596" s="8" t="s">
        <v>4081</v>
      </c>
      <c r="E596" s="8"/>
      <c r="F596" s="8" t="s">
        <v>78</v>
      </c>
      <c r="G596" s="8" t="n">
        <v>2</v>
      </c>
      <c r="H596" s="13" t="n">
        <v>3</v>
      </c>
      <c r="I596" s="8" t="n">
        <v>4</v>
      </c>
      <c r="J596" s="20" t="s">
        <v>259</v>
      </c>
      <c r="K596" s="8"/>
      <c r="L596" s="20" t="s">
        <v>259</v>
      </c>
      <c r="M596" s="16" t="n">
        <f aca="false">H596*Scoring!$C$5</f>
        <v>3.9</v>
      </c>
      <c r="N596" s="16" t="n">
        <f aca="false">IF(I596&gt;=5,1,IF(I596=4,0.75,IF(I596=3,0.5,IF(I596=2,0.25,0))))*Scoring!$C$8</f>
        <v>0.75</v>
      </c>
      <c r="O596" s="16" t="n">
        <f aca="false">IF(J596="Yes",0,Scoring!$C$6)</f>
        <v>2</v>
      </c>
      <c r="P596" s="16" t="n">
        <f aca="false">IF(L596="Yes",0,Scoring!$C$7)</f>
        <v>0.5</v>
      </c>
      <c r="Q596" s="8" t="n">
        <f aca="false">ROUND(SUM(M596:P596),2)</f>
        <v>7.15</v>
      </c>
      <c r="R596" s="8" t="str">
        <f aca="false">IF(Q596&gt;=Scoring!$C$10-0.000001,"Keep","Remove")</f>
        <v>Keep</v>
      </c>
      <c r="S596" s="8" t="s">
        <v>166</v>
      </c>
    </row>
    <row r="597" customFormat="false" ht="15" hidden="false" customHeight="false" outlineLevel="0" collapsed="false">
      <c r="A597" s="8" t="s">
        <v>4202</v>
      </c>
      <c r="B597" s="8" t="s">
        <v>4203</v>
      </c>
      <c r="C597" s="8" t="s">
        <v>178</v>
      </c>
      <c r="D597" s="8" t="s">
        <v>4081</v>
      </c>
      <c r="E597" s="8"/>
      <c r="F597" s="8" t="s">
        <v>89</v>
      </c>
      <c r="G597" s="8" t="n">
        <v>2</v>
      </c>
      <c r="H597" s="13" t="n">
        <v>3</v>
      </c>
      <c r="I597" s="8" t="n">
        <v>5</v>
      </c>
      <c r="J597" s="20" t="s">
        <v>259</v>
      </c>
      <c r="K597" s="8"/>
      <c r="L597" s="20" t="s">
        <v>259</v>
      </c>
      <c r="M597" s="16" t="n">
        <f aca="false">H597*Scoring!$C$5</f>
        <v>3.9</v>
      </c>
      <c r="N597" s="16" t="n">
        <f aca="false">IF(I597&gt;=5,1,IF(I597=4,0.75,IF(I597=3,0.5,IF(I597=2,0.25,0))))*Scoring!$C$8</f>
        <v>1</v>
      </c>
      <c r="O597" s="16" t="n">
        <f aca="false">IF(J597="Yes",0,Scoring!$C$6)</f>
        <v>2</v>
      </c>
      <c r="P597" s="16" t="n">
        <f aca="false">IF(L597="Yes",0,Scoring!$C$7)</f>
        <v>0.5</v>
      </c>
      <c r="Q597" s="8" t="n">
        <f aca="false">ROUND(SUM(M597:P597),2)</f>
        <v>7.4</v>
      </c>
      <c r="R597" s="8" t="str">
        <f aca="false">IF(Q597&gt;=Scoring!$C$10-0.000001,"Keep","Remove")</f>
        <v>Keep</v>
      </c>
      <c r="S597" s="8" t="s">
        <v>166</v>
      </c>
    </row>
    <row r="598" customFormat="false" ht="15" hidden="false" customHeight="false" outlineLevel="0" collapsed="false">
      <c r="A598" s="8" t="s">
        <v>4211</v>
      </c>
      <c r="B598" s="8" t="s">
        <v>4212</v>
      </c>
      <c r="C598" s="8" t="s">
        <v>178</v>
      </c>
      <c r="D598" s="8" t="s">
        <v>4081</v>
      </c>
      <c r="E598" s="8"/>
      <c r="F598" s="8" t="s">
        <v>78</v>
      </c>
      <c r="G598" s="8" t="n">
        <v>2</v>
      </c>
      <c r="H598" s="13" t="n">
        <v>3</v>
      </c>
      <c r="I598" s="8" t="n">
        <v>4</v>
      </c>
      <c r="J598" s="20" t="s">
        <v>259</v>
      </c>
      <c r="K598" s="8"/>
      <c r="L598" s="20" t="s">
        <v>259</v>
      </c>
      <c r="M598" s="16" t="n">
        <f aca="false">H598*Scoring!$C$5</f>
        <v>3.9</v>
      </c>
      <c r="N598" s="16" t="n">
        <f aca="false">IF(I598&gt;=5,1,IF(I598=4,0.75,IF(I598=3,0.5,IF(I598=2,0.25,0))))*Scoring!$C$8</f>
        <v>0.75</v>
      </c>
      <c r="O598" s="16" t="n">
        <f aca="false">IF(J598="Yes",0,Scoring!$C$6)</f>
        <v>2</v>
      </c>
      <c r="P598" s="16" t="n">
        <f aca="false">IF(L598="Yes",0,Scoring!$C$7)</f>
        <v>0.5</v>
      </c>
      <c r="Q598" s="8" t="n">
        <f aca="false">ROUND(SUM(M598:P598),2)</f>
        <v>7.15</v>
      </c>
      <c r="R598" s="8" t="str">
        <f aca="false">IF(Q598&gt;=Scoring!$C$10-0.000001,"Keep","Remove")</f>
        <v>Keep</v>
      </c>
      <c r="S598" s="8" t="s">
        <v>166</v>
      </c>
    </row>
    <row r="599" customFormat="false" ht="15" hidden="false" customHeight="false" outlineLevel="0" collapsed="false">
      <c r="A599" s="8" t="s">
        <v>4220</v>
      </c>
      <c r="B599" s="8" t="s">
        <v>4221</v>
      </c>
      <c r="C599" s="8" t="s">
        <v>178</v>
      </c>
      <c r="D599" s="8" t="s">
        <v>4081</v>
      </c>
      <c r="E599" s="8"/>
      <c r="F599" s="8" t="s">
        <v>80</v>
      </c>
      <c r="G599" s="8" t="n">
        <v>2</v>
      </c>
      <c r="H599" s="13" t="n">
        <v>3</v>
      </c>
      <c r="I599" s="8" t="n">
        <v>5</v>
      </c>
      <c r="J599" s="20" t="s">
        <v>259</v>
      </c>
      <c r="K599" s="8"/>
      <c r="L599" s="20" t="s">
        <v>259</v>
      </c>
      <c r="M599" s="16" t="n">
        <f aca="false">H599*Scoring!$C$5</f>
        <v>3.9</v>
      </c>
      <c r="N599" s="16" t="n">
        <f aca="false">IF(I599&gt;=5,1,IF(I599=4,0.75,IF(I599=3,0.5,IF(I599=2,0.25,0))))*Scoring!$C$8</f>
        <v>1</v>
      </c>
      <c r="O599" s="16" t="n">
        <f aca="false">IF(J599="Yes",0,Scoring!$C$6)</f>
        <v>2</v>
      </c>
      <c r="P599" s="16" t="n">
        <f aca="false">IF(L599="Yes",0,Scoring!$C$7)</f>
        <v>0.5</v>
      </c>
      <c r="Q599" s="8" t="n">
        <f aca="false">ROUND(SUM(M599:P599),2)</f>
        <v>7.4</v>
      </c>
      <c r="R599" s="8" t="str">
        <f aca="false">IF(Q599&gt;=Scoring!$C$10-0.000001,"Keep","Remove")</f>
        <v>Keep</v>
      </c>
      <c r="S599" s="8" t="s">
        <v>166</v>
      </c>
    </row>
    <row r="600" customFormat="false" ht="15" hidden="false" customHeight="false" outlineLevel="0" collapsed="false">
      <c r="A600" s="8" t="s">
        <v>4231</v>
      </c>
      <c r="B600" s="8" t="s">
        <v>4232</v>
      </c>
      <c r="C600" s="8" t="s">
        <v>178</v>
      </c>
      <c r="D600" s="8" t="s">
        <v>4081</v>
      </c>
      <c r="E600" s="8"/>
      <c r="F600" s="8" t="s">
        <v>80</v>
      </c>
      <c r="G600" s="8" t="n">
        <v>1</v>
      </c>
      <c r="H600" s="13" t="n">
        <v>5</v>
      </c>
      <c r="I600" s="8" t="n">
        <v>4</v>
      </c>
      <c r="J600" s="20" t="s">
        <v>259</v>
      </c>
      <c r="K600" s="8"/>
      <c r="L600" s="20" t="s">
        <v>259</v>
      </c>
      <c r="M600" s="16" t="n">
        <f aca="false">H600*Scoring!$C$5</f>
        <v>6.5</v>
      </c>
      <c r="N600" s="16" t="n">
        <f aca="false">IF(I600&gt;=5,1,IF(I600=4,0.75,IF(I600=3,0.5,IF(I600=2,0.25,0))))*Scoring!$C$8</f>
        <v>0.75</v>
      </c>
      <c r="O600" s="16" t="n">
        <f aca="false">IF(J600="Yes",0,Scoring!$C$6)</f>
        <v>2</v>
      </c>
      <c r="P600" s="16" t="n">
        <f aca="false">IF(L600="Yes",0,Scoring!$C$7)</f>
        <v>0.5</v>
      </c>
      <c r="Q600" s="8" t="n">
        <f aca="false">ROUND(SUM(M600:P600),2)</f>
        <v>9.75</v>
      </c>
      <c r="R600" s="8" t="str">
        <f aca="false">IF(Q600&gt;=Scoring!$C$10-0.000001,"Keep","Remove")</f>
        <v>Keep</v>
      </c>
      <c r="S600" s="8" t="s">
        <v>166</v>
      </c>
    </row>
    <row r="601" customFormat="false" ht="15" hidden="false" customHeight="false" outlineLevel="0" collapsed="false">
      <c r="A601" s="8" t="s">
        <v>4240</v>
      </c>
      <c r="B601" s="8" t="s">
        <v>4241</v>
      </c>
      <c r="C601" s="8" t="s">
        <v>178</v>
      </c>
      <c r="D601" s="8" t="s">
        <v>4081</v>
      </c>
      <c r="E601" s="8"/>
      <c r="F601" s="8" t="s">
        <v>87</v>
      </c>
      <c r="G601" s="8" t="n">
        <v>1</v>
      </c>
      <c r="H601" s="13" t="n">
        <v>5</v>
      </c>
      <c r="I601" s="8" t="n">
        <v>2</v>
      </c>
      <c r="J601" s="20" t="s">
        <v>259</v>
      </c>
      <c r="K601" s="8"/>
      <c r="L601" s="20" t="s">
        <v>259</v>
      </c>
      <c r="M601" s="16" t="n">
        <f aca="false">H601*Scoring!$C$5</f>
        <v>6.5</v>
      </c>
      <c r="N601" s="16" t="n">
        <f aca="false">IF(I601&gt;=5,1,IF(I601=4,0.75,IF(I601=3,0.5,IF(I601=2,0.25,0))))*Scoring!$C$8</f>
        <v>0.25</v>
      </c>
      <c r="O601" s="16" t="n">
        <f aca="false">IF(J601="Yes",0,Scoring!$C$6)</f>
        <v>2</v>
      </c>
      <c r="P601" s="16" t="n">
        <f aca="false">IF(L601="Yes",0,Scoring!$C$7)</f>
        <v>0.5</v>
      </c>
      <c r="Q601" s="8" t="n">
        <f aca="false">ROUND(SUM(M601:P601),2)</f>
        <v>9.25</v>
      </c>
      <c r="R601" s="8" t="str">
        <f aca="false">IF(Q601&gt;=Scoring!$C$10-0.000001,"Keep","Remove")</f>
        <v>Keep</v>
      </c>
      <c r="S601" s="8" t="s">
        <v>166</v>
      </c>
    </row>
    <row r="602" customFormat="false" ht="15" hidden="false" customHeight="false" outlineLevel="0" collapsed="false">
      <c r="A602" s="8" t="s">
        <v>4248</v>
      </c>
      <c r="B602" s="8" t="s">
        <v>4249</v>
      </c>
      <c r="C602" s="8" t="s">
        <v>178</v>
      </c>
      <c r="D602" s="8" t="s">
        <v>4081</v>
      </c>
      <c r="E602" s="8"/>
      <c r="F602" s="8" t="s">
        <v>82</v>
      </c>
      <c r="G602" s="8" t="n">
        <v>2</v>
      </c>
      <c r="H602" s="13" t="n">
        <v>4</v>
      </c>
      <c r="I602" s="8" t="n">
        <v>3</v>
      </c>
      <c r="J602" s="20" t="s">
        <v>259</v>
      </c>
      <c r="K602" s="8"/>
      <c r="L602" s="20" t="s">
        <v>259</v>
      </c>
      <c r="M602" s="16" t="n">
        <f aca="false">H602*Scoring!$C$5</f>
        <v>5.2</v>
      </c>
      <c r="N602" s="16" t="n">
        <f aca="false">IF(I602&gt;=5,1,IF(I602=4,0.75,IF(I602=3,0.5,IF(I602=2,0.25,0))))*Scoring!$C$8</f>
        <v>0.5</v>
      </c>
      <c r="O602" s="16" t="n">
        <f aca="false">IF(J602="Yes",0,Scoring!$C$6)</f>
        <v>2</v>
      </c>
      <c r="P602" s="16" t="n">
        <f aca="false">IF(L602="Yes",0,Scoring!$C$7)</f>
        <v>0.5</v>
      </c>
      <c r="Q602" s="8" t="n">
        <f aca="false">ROUND(SUM(M602:P602),2)</f>
        <v>8.2</v>
      </c>
      <c r="R602" s="8" t="str">
        <f aca="false">IF(Q602&gt;=Scoring!$C$10-0.000001,"Keep","Remove")</f>
        <v>Keep</v>
      </c>
      <c r="S602" s="8" t="s">
        <v>166</v>
      </c>
    </row>
    <row r="603" customFormat="false" ht="15" hidden="false" customHeight="false" outlineLevel="0" collapsed="false">
      <c r="A603" s="8" t="s">
        <v>4255</v>
      </c>
      <c r="B603" s="8" t="s">
        <v>4256</v>
      </c>
      <c r="C603" s="8" t="s">
        <v>178</v>
      </c>
      <c r="D603" s="8" t="s">
        <v>4081</v>
      </c>
      <c r="E603" s="8"/>
      <c r="F603" s="8" t="s">
        <v>80</v>
      </c>
      <c r="G603" s="8" t="n">
        <v>2</v>
      </c>
      <c r="H603" s="13" t="n">
        <v>4</v>
      </c>
      <c r="I603" s="8" t="n">
        <v>4</v>
      </c>
      <c r="J603" s="20" t="s">
        <v>259</v>
      </c>
      <c r="K603" s="8"/>
      <c r="L603" s="20" t="s">
        <v>259</v>
      </c>
      <c r="M603" s="16" t="n">
        <f aca="false">H603*Scoring!$C$5</f>
        <v>5.2</v>
      </c>
      <c r="N603" s="16" t="n">
        <f aca="false">IF(I603&gt;=5,1,IF(I603=4,0.75,IF(I603=3,0.5,IF(I603=2,0.25,0))))*Scoring!$C$8</f>
        <v>0.75</v>
      </c>
      <c r="O603" s="16" t="n">
        <f aca="false">IF(J603="Yes",0,Scoring!$C$6)</f>
        <v>2</v>
      </c>
      <c r="P603" s="16" t="n">
        <f aca="false">IF(L603="Yes",0,Scoring!$C$7)</f>
        <v>0.5</v>
      </c>
      <c r="Q603" s="8" t="n">
        <f aca="false">ROUND(SUM(M603:P603),2)</f>
        <v>8.45</v>
      </c>
      <c r="R603" s="8" t="str">
        <f aca="false">IF(Q603&gt;=Scoring!$C$10-0.000001,"Keep","Remove")</f>
        <v>Keep</v>
      </c>
      <c r="S603" s="8" t="s">
        <v>166</v>
      </c>
    </row>
    <row r="604" customFormat="false" ht="15" hidden="false" customHeight="false" outlineLevel="0" collapsed="false">
      <c r="A604" s="8" t="s">
        <v>4264</v>
      </c>
      <c r="B604" s="8" t="s">
        <v>4265</v>
      </c>
      <c r="C604" s="8" t="s">
        <v>178</v>
      </c>
      <c r="D604" s="8" t="s">
        <v>4081</v>
      </c>
      <c r="E604" s="8"/>
      <c r="F604" s="8" t="s">
        <v>78</v>
      </c>
      <c r="G604" s="8" t="n">
        <v>2</v>
      </c>
      <c r="H604" s="13" t="n">
        <v>3</v>
      </c>
      <c r="I604" s="8" t="n">
        <v>5</v>
      </c>
      <c r="J604" s="20" t="s">
        <v>259</v>
      </c>
      <c r="K604" s="8"/>
      <c r="L604" s="20" t="s">
        <v>259</v>
      </c>
      <c r="M604" s="16" t="n">
        <f aca="false">H604*Scoring!$C$5</f>
        <v>3.9</v>
      </c>
      <c r="N604" s="16" t="n">
        <f aca="false">IF(I604&gt;=5,1,IF(I604=4,0.75,IF(I604=3,0.5,IF(I604=2,0.25,0))))*Scoring!$C$8</f>
        <v>1</v>
      </c>
      <c r="O604" s="16" t="n">
        <f aca="false">IF(J604="Yes",0,Scoring!$C$6)</f>
        <v>2</v>
      </c>
      <c r="P604" s="16" t="n">
        <f aca="false">IF(L604="Yes",0,Scoring!$C$7)</f>
        <v>0.5</v>
      </c>
      <c r="Q604" s="8" t="n">
        <f aca="false">ROUND(SUM(M604:P604),2)</f>
        <v>7.4</v>
      </c>
      <c r="R604" s="8" t="str">
        <f aca="false">IF(Q604&gt;=Scoring!$C$10-0.000001,"Keep","Remove")</f>
        <v>Keep</v>
      </c>
      <c r="S604" s="8" t="s">
        <v>166</v>
      </c>
    </row>
    <row r="605" customFormat="false" ht="15" hidden="false" customHeight="false" outlineLevel="0" collapsed="false">
      <c r="A605" s="8" t="s">
        <v>7515</v>
      </c>
      <c r="B605" s="8" t="s">
        <v>7516</v>
      </c>
      <c r="C605" s="8" t="s">
        <v>178</v>
      </c>
      <c r="D605" s="8" t="s">
        <v>4081</v>
      </c>
      <c r="E605" s="8"/>
      <c r="F605" s="8" t="s">
        <v>78</v>
      </c>
      <c r="G605" s="8" t="n">
        <v>3</v>
      </c>
      <c r="H605" s="13" t="n">
        <v>2</v>
      </c>
      <c r="I605" s="8" t="n">
        <v>4</v>
      </c>
      <c r="J605" s="20" t="s">
        <v>259</v>
      </c>
      <c r="K605" s="8"/>
      <c r="L605" s="20" t="s">
        <v>259</v>
      </c>
      <c r="M605" s="16" t="n">
        <f aca="false">H605*Scoring!$C$5</f>
        <v>2.6</v>
      </c>
      <c r="N605" s="16" t="n">
        <f aca="false">IF(I605&gt;=5,1,IF(I605=4,0.75,IF(I605=3,0.5,IF(I605=2,0.25,0))))*Scoring!$C$8</f>
        <v>0.75</v>
      </c>
      <c r="O605" s="16" t="n">
        <f aca="false">IF(J605="Yes",0,Scoring!$C$6)</f>
        <v>2</v>
      </c>
      <c r="P605" s="16" t="n">
        <f aca="false">IF(L605="Yes",0,Scoring!$C$7)</f>
        <v>0.5</v>
      </c>
      <c r="Q605" s="8" t="n">
        <f aca="false">ROUND(SUM(M605:P605),2)</f>
        <v>5.85</v>
      </c>
      <c r="R605" s="8" t="str">
        <f aca="false">IF(Q605&gt;=Scoring!$C$10-0.000001,"Keep","Remove")</f>
        <v>Remove</v>
      </c>
      <c r="S605" s="8" t="s">
        <v>7243</v>
      </c>
    </row>
    <row r="606" customFormat="false" ht="15" hidden="false" customHeight="false" outlineLevel="0" collapsed="false">
      <c r="A606" s="8" t="s">
        <v>7517</v>
      </c>
      <c r="B606" s="8" t="s">
        <v>7518</v>
      </c>
      <c r="C606" s="8" t="s">
        <v>178</v>
      </c>
      <c r="D606" s="8" t="s">
        <v>4081</v>
      </c>
      <c r="E606" s="8"/>
      <c r="F606" s="8" t="s">
        <v>78</v>
      </c>
      <c r="G606" s="8" t="n">
        <v>3</v>
      </c>
      <c r="H606" s="13" t="n">
        <v>2</v>
      </c>
      <c r="I606" s="8" t="n">
        <v>4</v>
      </c>
      <c r="J606" s="20" t="s">
        <v>259</v>
      </c>
      <c r="K606" s="8"/>
      <c r="L606" s="20" t="s">
        <v>259</v>
      </c>
      <c r="M606" s="16" t="n">
        <f aca="false">H606*Scoring!$C$5</f>
        <v>2.6</v>
      </c>
      <c r="N606" s="16" t="n">
        <f aca="false">IF(I606&gt;=5,1,IF(I606=4,0.75,IF(I606=3,0.5,IF(I606=2,0.25,0))))*Scoring!$C$8</f>
        <v>0.75</v>
      </c>
      <c r="O606" s="16" t="n">
        <f aca="false">IF(J606="Yes",0,Scoring!$C$6)</f>
        <v>2</v>
      </c>
      <c r="P606" s="16" t="n">
        <f aca="false">IF(L606="Yes",0,Scoring!$C$7)</f>
        <v>0.5</v>
      </c>
      <c r="Q606" s="8" t="n">
        <f aca="false">ROUND(SUM(M606:P606),2)</f>
        <v>5.85</v>
      </c>
      <c r="R606" s="8" t="str">
        <f aca="false">IF(Q606&gt;=Scoring!$C$10-0.000001,"Keep","Remove")</f>
        <v>Remove</v>
      </c>
      <c r="S606" s="8" t="s">
        <v>7243</v>
      </c>
    </row>
    <row r="607" customFormat="false" ht="15" hidden="false" customHeight="false" outlineLevel="0" collapsed="false">
      <c r="A607" s="8" t="s">
        <v>4271</v>
      </c>
      <c r="B607" s="8" t="s">
        <v>4272</v>
      </c>
      <c r="C607" s="8" t="s">
        <v>178</v>
      </c>
      <c r="D607" s="8" t="s">
        <v>4081</v>
      </c>
      <c r="E607" s="8"/>
      <c r="F607" s="8" t="s">
        <v>86</v>
      </c>
      <c r="G607" s="8" t="n">
        <v>2</v>
      </c>
      <c r="H607" s="13" t="n">
        <v>3</v>
      </c>
      <c r="I607" s="8" t="n">
        <v>4</v>
      </c>
      <c r="J607" s="20" t="s">
        <v>259</v>
      </c>
      <c r="K607" s="8"/>
      <c r="L607" s="20" t="s">
        <v>259</v>
      </c>
      <c r="M607" s="16" t="n">
        <f aca="false">H607*Scoring!$C$5</f>
        <v>3.9</v>
      </c>
      <c r="N607" s="16" t="n">
        <f aca="false">IF(I607&gt;=5,1,IF(I607=4,0.75,IF(I607=3,0.5,IF(I607=2,0.25,0))))*Scoring!$C$8</f>
        <v>0.75</v>
      </c>
      <c r="O607" s="16" t="n">
        <f aca="false">IF(J607="Yes",0,Scoring!$C$6)</f>
        <v>2</v>
      </c>
      <c r="P607" s="16" t="n">
        <f aca="false">IF(L607="Yes",0,Scoring!$C$7)</f>
        <v>0.5</v>
      </c>
      <c r="Q607" s="8" t="n">
        <f aca="false">ROUND(SUM(M607:P607),2)</f>
        <v>7.15</v>
      </c>
      <c r="R607" s="8" t="str">
        <f aca="false">IF(Q607&gt;=Scoring!$C$10-0.000001,"Keep","Remove")</f>
        <v>Keep</v>
      </c>
      <c r="S607" s="8" t="s">
        <v>166</v>
      </c>
    </row>
    <row r="608" customFormat="false" ht="15" hidden="false" customHeight="false" outlineLevel="0" collapsed="false">
      <c r="A608" s="8" t="s">
        <v>7519</v>
      </c>
      <c r="B608" s="8" t="s">
        <v>7520</v>
      </c>
      <c r="C608" s="8" t="s">
        <v>178</v>
      </c>
      <c r="D608" s="8" t="s">
        <v>4081</v>
      </c>
      <c r="E608" s="8"/>
      <c r="F608" s="8" t="s">
        <v>80</v>
      </c>
      <c r="G608" s="8" t="n">
        <v>3</v>
      </c>
      <c r="H608" s="13" t="n">
        <v>2</v>
      </c>
      <c r="I608" s="8" t="n">
        <v>4</v>
      </c>
      <c r="J608" s="20" t="s">
        <v>259</v>
      </c>
      <c r="K608" s="8"/>
      <c r="L608" s="20" t="s">
        <v>259</v>
      </c>
      <c r="M608" s="16" t="n">
        <f aca="false">H608*Scoring!$C$5</f>
        <v>2.6</v>
      </c>
      <c r="N608" s="16" t="n">
        <f aca="false">IF(I608&gt;=5,1,IF(I608=4,0.75,IF(I608=3,0.5,IF(I608=2,0.25,0))))*Scoring!$C$8</f>
        <v>0.75</v>
      </c>
      <c r="O608" s="16" t="n">
        <f aca="false">IF(J608="Yes",0,Scoring!$C$6)</f>
        <v>2</v>
      </c>
      <c r="P608" s="16" t="n">
        <f aca="false">IF(L608="Yes",0,Scoring!$C$7)</f>
        <v>0.5</v>
      </c>
      <c r="Q608" s="8" t="n">
        <f aca="false">ROUND(SUM(M608:P608),2)</f>
        <v>5.85</v>
      </c>
      <c r="R608" s="8" t="str">
        <f aca="false">IF(Q608&gt;=Scoring!$C$10-0.000001,"Keep","Remove")</f>
        <v>Remove</v>
      </c>
      <c r="S608" s="8" t="s">
        <v>7243</v>
      </c>
    </row>
    <row r="609" customFormat="false" ht="15" hidden="false" customHeight="false" outlineLevel="0" collapsed="false">
      <c r="A609" s="8" t="s">
        <v>4278</v>
      </c>
      <c r="B609" s="8" t="s">
        <v>4279</v>
      </c>
      <c r="C609" s="8" t="s">
        <v>178</v>
      </c>
      <c r="D609" s="8" t="s">
        <v>4081</v>
      </c>
      <c r="E609" s="8"/>
      <c r="F609" s="8" t="s">
        <v>80</v>
      </c>
      <c r="G609" s="8" t="n">
        <v>2</v>
      </c>
      <c r="H609" s="13" t="n">
        <v>4</v>
      </c>
      <c r="I609" s="8" t="n">
        <v>4</v>
      </c>
      <c r="J609" s="20" t="s">
        <v>259</v>
      </c>
      <c r="K609" s="8"/>
      <c r="L609" s="20" t="s">
        <v>259</v>
      </c>
      <c r="M609" s="16" t="n">
        <f aca="false">H609*Scoring!$C$5</f>
        <v>5.2</v>
      </c>
      <c r="N609" s="16" t="n">
        <f aca="false">IF(I609&gt;=5,1,IF(I609=4,0.75,IF(I609=3,0.5,IF(I609=2,0.25,0))))*Scoring!$C$8</f>
        <v>0.75</v>
      </c>
      <c r="O609" s="16" t="n">
        <f aca="false">IF(J609="Yes",0,Scoring!$C$6)</f>
        <v>2</v>
      </c>
      <c r="P609" s="16" t="n">
        <f aca="false">IF(L609="Yes",0,Scoring!$C$7)</f>
        <v>0.5</v>
      </c>
      <c r="Q609" s="8" t="n">
        <f aca="false">ROUND(SUM(M609:P609),2)</f>
        <v>8.45</v>
      </c>
      <c r="R609" s="8" t="str">
        <f aca="false">IF(Q609&gt;=Scoring!$C$10-0.000001,"Keep","Remove")</f>
        <v>Keep</v>
      </c>
      <c r="S609" s="8" t="s">
        <v>166</v>
      </c>
    </row>
    <row r="610" customFormat="false" ht="15" hidden="false" customHeight="false" outlineLevel="0" collapsed="false">
      <c r="A610" s="8" t="s">
        <v>4285</v>
      </c>
      <c r="B610" s="8" t="s">
        <v>4286</v>
      </c>
      <c r="C610" s="8" t="s">
        <v>178</v>
      </c>
      <c r="D610" s="8" t="s">
        <v>4081</v>
      </c>
      <c r="E610" s="8"/>
      <c r="F610" s="8" t="s">
        <v>80</v>
      </c>
      <c r="G610" s="8" t="n">
        <v>3</v>
      </c>
      <c r="H610" s="13" t="n">
        <v>3</v>
      </c>
      <c r="I610" s="8" t="n">
        <v>4</v>
      </c>
      <c r="J610" s="20" t="s">
        <v>259</v>
      </c>
      <c r="K610" s="8"/>
      <c r="L610" s="20" t="s">
        <v>259</v>
      </c>
      <c r="M610" s="16" t="n">
        <f aca="false">H610*Scoring!$C$5</f>
        <v>3.9</v>
      </c>
      <c r="N610" s="16" t="n">
        <f aca="false">IF(I610&gt;=5,1,IF(I610=4,0.75,IF(I610=3,0.5,IF(I610=2,0.25,0))))*Scoring!$C$8</f>
        <v>0.75</v>
      </c>
      <c r="O610" s="16" t="n">
        <f aca="false">IF(J610="Yes",0,Scoring!$C$6)</f>
        <v>2</v>
      </c>
      <c r="P610" s="16" t="n">
        <f aca="false">IF(L610="Yes",0,Scoring!$C$7)</f>
        <v>0.5</v>
      </c>
      <c r="Q610" s="8" t="n">
        <f aca="false">ROUND(SUM(M610:P610),2)</f>
        <v>7.15</v>
      </c>
      <c r="R610" s="8" t="str">
        <f aca="false">IF(Q610&gt;=Scoring!$C$10-0.000001,"Keep","Remove")</f>
        <v>Keep</v>
      </c>
      <c r="S610" s="8" t="s">
        <v>166</v>
      </c>
    </row>
    <row r="611" customFormat="false" ht="15" hidden="false" customHeight="false" outlineLevel="0" collapsed="false">
      <c r="A611" s="8" t="s">
        <v>7521</v>
      </c>
      <c r="B611" s="8" t="s">
        <v>7522</v>
      </c>
      <c r="C611" s="8" t="s">
        <v>178</v>
      </c>
      <c r="D611" s="8" t="s">
        <v>4081</v>
      </c>
      <c r="E611" s="8"/>
      <c r="F611" s="8" t="s">
        <v>80</v>
      </c>
      <c r="G611" s="8" t="n">
        <v>3</v>
      </c>
      <c r="H611" s="13" t="n">
        <v>2</v>
      </c>
      <c r="I611" s="8" t="n">
        <v>4</v>
      </c>
      <c r="J611" s="20" t="s">
        <v>259</v>
      </c>
      <c r="K611" s="8"/>
      <c r="L611" s="20" t="s">
        <v>259</v>
      </c>
      <c r="M611" s="16" t="n">
        <f aca="false">H611*Scoring!$C$5</f>
        <v>2.6</v>
      </c>
      <c r="N611" s="16" t="n">
        <f aca="false">IF(I611&gt;=5,1,IF(I611=4,0.75,IF(I611=3,0.5,IF(I611=2,0.25,0))))*Scoring!$C$8</f>
        <v>0.75</v>
      </c>
      <c r="O611" s="16" t="n">
        <f aca="false">IF(J611="Yes",0,Scoring!$C$6)</f>
        <v>2</v>
      </c>
      <c r="P611" s="16" t="n">
        <f aca="false">IF(L611="Yes",0,Scoring!$C$7)</f>
        <v>0.5</v>
      </c>
      <c r="Q611" s="8" t="n">
        <f aca="false">ROUND(SUM(M611:P611),2)</f>
        <v>5.85</v>
      </c>
      <c r="R611" s="8" t="str">
        <f aca="false">IF(Q611&gt;=Scoring!$C$10-0.000001,"Keep","Remove")</f>
        <v>Remove</v>
      </c>
      <c r="S611" s="8" t="s">
        <v>7243</v>
      </c>
    </row>
    <row r="612" customFormat="false" ht="15" hidden="false" customHeight="false" outlineLevel="0" collapsed="false">
      <c r="A612" s="8" t="s">
        <v>7326</v>
      </c>
      <c r="B612" s="8" t="s">
        <v>7327</v>
      </c>
      <c r="C612" s="8" t="s">
        <v>178</v>
      </c>
      <c r="D612" s="8" t="s">
        <v>4081</v>
      </c>
      <c r="E612" s="8"/>
      <c r="F612" s="8" t="s">
        <v>78</v>
      </c>
      <c r="G612" s="8" t="n">
        <v>3</v>
      </c>
      <c r="H612" s="13" t="n">
        <v>2</v>
      </c>
      <c r="I612" s="8" t="n">
        <v>5</v>
      </c>
      <c r="J612" s="20" t="s">
        <v>259</v>
      </c>
      <c r="K612" s="8"/>
      <c r="L612" s="20" t="s">
        <v>259</v>
      </c>
      <c r="M612" s="16" t="n">
        <f aca="false">H612*Scoring!$C$5</f>
        <v>2.6</v>
      </c>
      <c r="N612" s="16" t="n">
        <f aca="false">IF(I612&gt;=5,1,IF(I612=4,0.75,IF(I612=3,0.5,IF(I612=2,0.25,0))))*Scoring!$C$8</f>
        <v>1</v>
      </c>
      <c r="O612" s="16" t="n">
        <f aca="false">IF(J612="Yes",0,Scoring!$C$6)</f>
        <v>2</v>
      </c>
      <c r="P612" s="16" t="n">
        <f aca="false">IF(L612="Yes",0,Scoring!$C$7)</f>
        <v>0.5</v>
      </c>
      <c r="Q612" s="8" t="n">
        <f aca="false">ROUND(SUM(M612:P612),2)</f>
        <v>6.1</v>
      </c>
      <c r="R612" s="8" t="str">
        <f aca="false">IF(Q612&gt;=Scoring!$C$10-0.000001,"Keep","Remove")</f>
        <v>Remove</v>
      </c>
      <c r="S612" s="8" t="s">
        <v>7243</v>
      </c>
    </row>
    <row r="613" customFormat="false" ht="15" hidden="false" customHeight="false" outlineLevel="0" collapsed="false">
      <c r="A613" s="8" t="s">
        <v>7328</v>
      </c>
      <c r="B613" s="8" t="s">
        <v>7329</v>
      </c>
      <c r="C613" s="8" t="s">
        <v>178</v>
      </c>
      <c r="D613" s="8" t="s">
        <v>4081</v>
      </c>
      <c r="E613" s="8"/>
      <c r="F613" s="8" t="s">
        <v>78</v>
      </c>
      <c r="G613" s="8" t="n">
        <v>3</v>
      </c>
      <c r="H613" s="13" t="n">
        <v>2</v>
      </c>
      <c r="I613" s="8" t="n">
        <v>5</v>
      </c>
      <c r="J613" s="20" t="s">
        <v>259</v>
      </c>
      <c r="K613" s="8"/>
      <c r="L613" s="20" t="s">
        <v>259</v>
      </c>
      <c r="M613" s="16" t="n">
        <f aca="false">H613*Scoring!$C$5</f>
        <v>2.6</v>
      </c>
      <c r="N613" s="16" t="n">
        <f aca="false">IF(I613&gt;=5,1,IF(I613=4,0.75,IF(I613=3,0.5,IF(I613=2,0.25,0))))*Scoring!$C$8</f>
        <v>1</v>
      </c>
      <c r="O613" s="16" t="n">
        <f aca="false">IF(J613="Yes",0,Scoring!$C$6)</f>
        <v>2</v>
      </c>
      <c r="P613" s="16" t="n">
        <f aca="false">IF(L613="Yes",0,Scoring!$C$7)</f>
        <v>0.5</v>
      </c>
      <c r="Q613" s="8" t="n">
        <f aca="false">ROUND(SUM(M613:P613),2)</f>
        <v>6.1</v>
      </c>
      <c r="R613" s="8" t="str">
        <f aca="false">IF(Q613&gt;=Scoring!$C$10-0.000001,"Keep","Remove")</f>
        <v>Remove</v>
      </c>
      <c r="S613" s="8" t="s">
        <v>7243</v>
      </c>
    </row>
    <row r="614" customFormat="false" ht="15" hidden="false" customHeight="false" outlineLevel="0" collapsed="false">
      <c r="A614" s="8" t="s">
        <v>7523</v>
      </c>
      <c r="B614" s="8" t="s">
        <v>7524</v>
      </c>
      <c r="C614" s="8" t="s">
        <v>178</v>
      </c>
      <c r="D614" s="8" t="s">
        <v>4081</v>
      </c>
      <c r="E614" s="8"/>
      <c r="F614" s="8" t="s">
        <v>86</v>
      </c>
      <c r="G614" s="8" t="n">
        <v>3</v>
      </c>
      <c r="H614" s="13" t="n">
        <v>2</v>
      </c>
      <c r="I614" s="8" t="n">
        <v>4</v>
      </c>
      <c r="J614" s="20" t="s">
        <v>259</v>
      </c>
      <c r="K614" s="8"/>
      <c r="L614" s="20" t="s">
        <v>259</v>
      </c>
      <c r="M614" s="16" t="n">
        <f aca="false">H614*Scoring!$C$5</f>
        <v>2.6</v>
      </c>
      <c r="N614" s="16" t="n">
        <f aca="false">IF(I614&gt;=5,1,IF(I614=4,0.75,IF(I614=3,0.5,IF(I614=2,0.25,0))))*Scoring!$C$8</f>
        <v>0.75</v>
      </c>
      <c r="O614" s="16" t="n">
        <f aca="false">IF(J614="Yes",0,Scoring!$C$6)</f>
        <v>2</v>
      </c>
      <c r="P614" s="16" t="n">
        <f aca="false">IF(L614="Yes",0,Scoring!$C$7)</f>
        <v>0.5</v>
      </c>
      <c r="Q614" s="8" t="n">
        <f aca="false">ROUND(SUM(M614:P614),2)</f>
        <v>5.85</v>
      </c>
      <c r="R614" s="8" t="str">
        <f aca="false">IF(Q614&gt;=Scoring!$C$10-0.000001,"Keep","Remove")</f>
        <v>Remove</v>
      </c>
      <c r="S614" s="8" t="s">
        <v>7243</v>
      </c>
    </row>
    <row r="615" customFormat="false" ht="15" hidden="false" customHeight="false" outlineLevel="0" collapsed="false">
      <c r="A615" s="8" t="s">
        <v>4294</v>
      </c>
      <c r="B615" s="8" t="s">
        <v>4295</v>
      </c>
      <c r="C615" s="8" t="s">
        <v>178</v>
      </c>
      <c r="D615" s="8" t="s">
        <v>4296</v>
      </c>
      <c r="E615" s="8"/>
      <c r="F615" s="8" t="s">
        <v>78</v>
      </c>
      <c r="G615" s="8" t="n">
        <v>1</v>
      </c>
      <c r="H615" s="13" t="n">
        <v>4</v>
      </c>
      <c r="I615" s="8" t="n">
        <v>4</v>
      </c>
      <c r="J615" s="20" t="s">
        <v>259</v>
      </c>
      <c r="K615" s="8"/>
      <c r="L615" s="20" t="s">
        <v>259</v>
      </c>
      <c r="M615" s="16" t="n">
        <f aca="false">H615*Scoring!$C$5</f>
        <v>5.2</v>
      </c>
      <c r="N615" s="16" t="n">
        <f aca="false">IF(I615&gt;=5,1,IF(I615=4,0.75,IF(I615=3,0.5,IF(I615=2,0.25,0))))*Scoring!$C$8</f>
        <v>0.75</v>
      </c>
      <c r="O615" s="16" t="n">
        <f aca="false">IF(J615="Yes",0,Scoring!$C$6)</f>
        <v>2</v>
      </c>
      <c r="P615" s="16" t="n">
        <f aca="false">IF(L615="Yes",0,Scoring!$C$7)</f>
        <v>0.5</v>
      </c>
      <c r="Q615" s="8" t="n">
        <f aca="false">ROUND(SUM(M615:P615),2)</f>
        <v>8.45</v>
      </c>
      <c r="R615" s="8" t="str">
        <f aca="false">IF(Q615&gt;=Scoring!$C$10-0.000001,"Keep","Remove")</f>
        <v>Keep</v>
      </c>
      <c r="S615" s="8" t="s">
        <v>166</v>
      </c>
    </row>
    <row r="616" customFormat="false" ht="15" hidden="false" customHeight="false" outlineLevel="0" collapsed="false">
      <c r="A616" s="8" t="s">
        <v>4305</v>
      </c>
      <c r="B616" s="8" t="s">
        <v>4306</v>
      </c>
      <c r="C616" s="8" t="s">
        <v>178</v>
      </c>
      <c r="D616" s="8" t="s">
        <v>4296</v>
      </c>
      <c r="E616" s="8"/>
      <c r="F616" s="8" t="s">
        <v>78</v>
      </c>
      <c r="G616" s="8" t="n">
        <v>2</v>
      </c>
      <c r="H616" s="13" t="n">
        <v>3</v>
      </c>
      <c r="I616" s="8" t="n">
        <v>4</v>
      </c>
      <c r="J616" s="20" t="s">
        <v>259</v>
      </c>
      <c r="K616" s="8"/>
      <c r="L616" s="20" t="s">
        <v>259</v>
      </c>
      <c r="M616" s="16" t="n">
        <f aca="false">H616*Scoring!$C$5</f>
        <v>3.9</v>
      </c>
      <c r="N616" s="16" t="n">
        <f aca="false">IF(I616&gt;=5,1,IF(I616=4,0.75,IF(I616=3,0.5,IF(I616=2,0.25,0))))*Scoring!$C$8</f>
        <v>0.75</v>
      </c>
      <c r="O616" s="16" t="n">
        <f aca="false">IF(J616="Yes",0,Scoring!$C$6)</f>
        <v>2</v>
      </c>
      <c r="P616" s="16" t="n">
        <f aca="false">IF(L616="Yes",0,Scoring!$C$7)</f>
        <v>0.5</v>
      </c>
      <c r="Q616" s="8" t="n">
        <f aca="false">ROUND(SUM(M616:P616),2)</f>
        <v>7.15</v>
      </c>
      <c r="R616" s="8" t="str">
        <f aca="false">IF(Q616&gt;=Scoring!$C$10-0.000001,"Keep","Remove")</f>
        <v>Keep</v>
      </c>
      <c r="S616" s="8" t="s">
        <v>166</v>
      </c>
    </row>
    <row r="617" customFormat="false" ht="15" hidden="false" customHeight="false" outlineLevel="0" collapsed="false">
      <c r="A617" s="8" t="s">
        <v>4315</v>
      </c>
      <c r="B617" s="8" t="s">
        <v>4316</v>
      </c>
      <c r="C617" s="8" t="s">
        <v>178</v>
      </c>
      <c r="D617" s="8" t="s">
        <v>4296</v>
      </c>
      <c r="E617" s="8"/>
      <c r="F617" s="8" t="s">
        <v>86</v>
      </c>
      <c r="G617" s="8" t="n">
        <v>2</v>
      </c>
      <c r="H617" s="13" t="n">
        <v>3</v>
      </c>
      <c r="I617" s="8" t="n">
        <v>4</v>
      </c>
      <c r="J617" s="20" t="s">
        <v>259</v>
      </c>
      <c r="K617" s="8"/>
      <c r="L617" s="20" t="s">
        <v>259</v>
      </c>
      <c r="M617" s="16" t="n">
        <f aca="false">H617*Scoring!$C$5</f>
        <v>3.9</v>
      </c>
      <c r="N617" s="16" t="n">
        <f aca="false">IF(I617&gt;=5,1,IF(I617=4,0.75,IF(I617=3,0.5,IF(I617=2,0.25,0))))*Scoring!$C$8</f>
        <v>0.75</v>
      </c>
      <c r="O617" s="16" t="n">
        <f aca="false">IF(J617="Yes",0,Scoring!$C$6)</f>
        <v>2</v>
      </c>
      <c r="P617" s="16" t="n">
        <f aca="false">IF(L617="Yes",0,Scoring!$C$7)</f>
        <v>0.5</v>
      </c>
      <c r="Q617" s="8" t="n">
        <f aca="false">ROUND(SUM(M617:P617),2)</f>
        <v>7.15</v>
      </c>
      <c r="R617" s="8" t="str">
        <f aca="false">IF(Q617&gt;=Scoring!$C$10-0.000001,"Keep","Remove")</f>
        <v>Keep</v>
      </c>
      <c r="S617" s="8" t="s">
        <v>166</v>
      </c>
    </row>
    <row r="618" customFormat="false" ht="15" hidden="false" customHeight="false" outlineLevel="0" collapsed="false">
      <c r="A618" s="8" t="s">
        <v>7330</v>
      </c>
      <c r="B618" s="8" t="s">
        <v>7331</v>
      </c>
      <c r="C618" s="8" t="s">
        <v>178</v>
      </c>
      <c r="D618" s="8" t="s">
        <v>4296</v>
      </c>
      <c r="E618" s="8"/>
      <c r="F618" s="8" t="s">
        <v>78</v>
      </c>
      <c r="G618" s="8" t="n">
        <v>3</v>
      </c>
      <c r="H618" s="13" t="n">
        <v>2</v>
      </c>
      <c r="I618" s="8" t="n">
        <v>5</v>
      </c>
      <c r="J618" s="20" t="s">
        <v>259</v>
      </c>
      <c r="K618" s="8"/>
      <c r="L618" s="20" t="s">
        <v>259</v>
      </c>
      <c r="M618" s="16" t="n">
        <f aca="false">H618*Scoring!$C$5</f>
        <v>2.6</v>
      </c>
      <c r="N618" s="16" t="n">
        <f aca="false">IF(I618&gt;=5,1,IF(I618=4,0.75,IF(I618=3,0.5,IF(I618=2,0.25,0))))*Scoring!$C$8</f>
        <v>1</v>
      </c>
      <c r="O618" s="16" t="n">
        <f aca="false">IF(J618="Yes",0,Scoring!$C$6)</f>
        <v>2</v>
      </c>
      <c r="P618" s="16" t="n">
        <f aca="false">IF(L618="Yes",0,Scoring!$C$7)</f>
        <v>0.5</v>
      </c>
      <c r="Q618" s="8" t="n">
        <f aca="false">ROUND(SUM(M618:P618),2)</f>
        <v>6.1</v>
      </c>
      <c r="R618" s="8" t="str">
        <f aca="false">IF(Q618&gt;=Scoring!$C$10-0.000001,"Keep","Remove")</f>
        <v>Remove</v>
      </c>
      <c r="S618" s="8" t="s">
        <v>7243</v>
      </c>
    </row>
    <row r="619" customFormat="false" ht="15" hidden="false" customHeight="false" outlineLevel="0" collapsed="false">
      <c r="A619" s="8" t="s">
        <v>4323</v>
      </c>
      <c r="B619" s="8" t="s">
        <v>4324</v>
      </c>
      <c r="C619" s="8" t="s">
        <v>178</v>
      </c>
      <c r="D619" s="8" t="s">
        <v>4325</v>
      </c>
      <c r="E619" s="8"/>
      <c r="F619" s="8" t="s">
        <v>85</v>
      </c>
      <c r="G619" s="8" t="n">
        <v>1</v>
      </c>
      <c r="H619" s="13" t="n">
        <v>5</v>
      </c>
      <c r="I619" s="8" t="n">
        <v>6</v>
      </c>
      <c r="J619" s="20" t="s">
        <v>259</v>
      </c>
      <c r="K619" s="8"/>
      <c r="L619" s="20" t="s">
        <v>259</v>
      </c>
      <c r="M619" s="16" t="n">
        <f aca="false">H619*Scoring!$C$5</f>
        <v>6.5</v>
      </c>
      <c r="N619" s="16" t="n">
        <f aca="false">IF(I619&gt;=5,1,IF(I619=4,0.75,IF(I619=3,0.5,IF(I619=2,0.25,0))))*Scoring!$C$8</f>
        <v>1</v>
      </c>
      <c r="O619" s="16" t="n">
        <f aca="false">IF(J619="Yes",0,Scoring!$C$6)</f>
        <v>2</v>
      </c>
      <c r="P619" s="16" t="n">
        <f aca="false">IF(L619="Yes",0,Scoring!$C$7)</f>
        <v>0.5</v>
      </c>
      <c r="Q619" s="8" t="n">
        <f aca="false">ROUND(SUM(M619:P619),2)</f>
        <v>10</v>
      </c>
      <c r="R619" s="8" t="str">
        <f aca="false">IF(Q619&gt;=Scoring!$C$10-0.000001,"Keep","Remove")</f>
        <v>Keep</v>
      </c>
      <c r="S619" s="8" t="s">
        <v>166</v>
      </c>
    </row>
    <row r="620" customFormat="false" ht="15" hidden="false" customHeight="false" outlineLevel="0" collapsed="false">
      <c r="A620" s="8" t="s">
        <v>7768</v>
      </c>
      <c r="B620" s="8" t="s">
        <v>7769</v>
      </c>
      <c r="C620" s="8" t="s">
        <v>178</v>
      </c>
      <c r="D620" s="8" t="s">
        <v>4325</v>
      </c>
      <c r="E620" s="8"/>
      <c r="F620" s="8" t="s">
        <v>85</v>
      </c>
      <c r="G620" s="8" t="n">
        <v>2</v>
      </c>
      <c r="H620" s="13" t="n">
        <v>3</v>
      </c>
      <c r="I620" s="8" t="n">
        <v>6</v>
      </c>
      <c r="J620" s="20" t="s">
        <v>218</v>
      </c>
      <c r="K620" s="8" t="s">
        <v>8180</v>
      </c>
      <c r="L620" s="20" t="s">
        <v>259</v>
      </c>
      <c r="M620" s="16" t="n">
        <f aca="false">H620*Scoring!$C$5</f>
        <v>3.9</v>
      </c>
      <c r="N620" s="16" t="n">
        <f aca="false">IF(I620&gt;=5,1,IF(I620=4,0.75,IF(I620=3,0.5,IF(I620=2,0.25,0))))*Scoring!$C$8</f>
        <v>1</v>
      </c>
      <c r="O620" s="16" t="n">
        <f aca="false">IF(J620="Yes",0,Scoring!$C$6)</f>
        <v>0</v>
      </c>
      <c r="P620" s="16" t="n">
        <f aca="false">IF(L620="Yes",0,Scoring!$C$7)</f>
        <v>0.5</v>
      </c>
      <c r="Q620" s="8" t="n">
        <f aca="false">ROUND(SUM(M620:P620),2)</f>
        <v>5.4</v>
      </c>
      <c r="R620" s="8" t="str">
        <f aca="false">IF(Q620&gt;=Scoring!$C$10-0.000001,"Keep","Remove")</f>
        <v>Remove</v>
      </c>
      <c r="S620" s="8" t="s">
        <v>7770</v>
      </c>
    </row>
    <row r="621" customFormat="false" ht="15" hidden="false" customHeight="false" outlineLevel="0" collapsed="false">
      <c r="A621" s="8" t="s">
        <v>4333</v>
      </c>
      <c r="B621" s="8" t="s">
        <v>4334</v>
      </c>
      <c r="C621" s="8" t="s">
        <v>178</v>
      </c>
      <c r="D621" s="8" t="s">
        <v>4325</v>
      </c>
      <c r="E621" s="8"/>
      <c r="F621" s="8" t="s">
        <v>78</v>
      </c>
      <c r="G621" s="8" t="n">
        <v>1</v>
      </c>
      <c r="H621" s="13" t="n">
        <v>3</v>
      </c>
      <c r="I621" s="8" t="n">
        <v>2</v>
      </c>
      <c r="J621" s="20" t="s">
        <v>259</v>
      </c>
      <c r="K621" s="8"/>
      <c r="L621" s="20" t="s">
        <v>259</v>
      </c>
      <c r="M621" s="16" t="n">
        <f aca="false">H621*Scoring!$C$5</f>
        <v>3.9</v>
      </c>
      <c r="N621" s="16" t="n">
        <f aca="false">IF(I621&gt;=5,1,IF(I621=4,0.75,IF(I621=3,0.5,IF(I621=2,0.25,0))))*Scoring!$C$8</f>
        <v>0.25</v>
      </c>
      <c r="O621" s="16" t="n">
        <f aca="false">IF(J621="Yes",0,Scoring!$C$6)</f>
        <v>2</v>
      </c>
      <c r="P621" s="16" t="n">
        <f aca="false">IF(L621="Yes",0,Scoring!$C$7)</f>
        <v>0.5</v>
      </c>
      <c r="Q621" s="8" t="n">
        <f aca="false">ROUND(SUM(M621:P621),2)</f>
        <v>6.65</v>
      </c>
      <c r="R621" s="8" t="str">
        <f aca="false">IF(Q621&gt;=Scoring!$C$10-0.000001,"Keep","Remove")</f>
        <v>Keep</v>
      </c>
      <c r="S621" s="8" t="s">
        <v>166</v>
      </c>
    </row>
    <row r="622" customFormat="false" ht="15" hidden="false" customHeight="false" outlineLevel="0" collapsed="false">
      <c r="A622" s="8" t="s">
        <v>4343</v>
      </c>
      <c r="B622" s="8" t="s">
        <v>4344</v>
      </c>
      <c r="C622" s="8" t="s">
        <v>178</v>
      </c>
      <c r="D622" s="8" t="s">
        <v>4325</v>
      </c>
      <c r="E622" s="8"/>
      <c r="F622" s="8" t="s">
        <v>83</v>
      </c>
      <c r="G622" s="8" t="n">
        <v>1</v>
      </c>
      <c r="H622" s="13" t="n">
        <v>3</v>
      </c>
      <c r="I622" s="8" t="n">
        <v>4</v>
      </c>
      <c r="J622" s="20" t="s">
        <v>259</v>
      </c>
      <c r="K622" s="8"/>
      <c r="L622" s="20" t="s">
        <v>259</v>
      </c>
      <c r="M622" s="16" t="n">
        <f aca="false">H622*Scoring!$C$5</f>
        <v>3.9</v>
      </c>
      <c r="N622" s="16" t="n">
        <f aca="false">IF(I622&gt;=5,1,IF(I622=4,0.75,IF(I622=3,0.5,IF(I622=2,0.25,0))))*Scoring!$C$8</f>
        <v>0.75</v>
      </c>
      <c r="O622" s="16" t="n">
        <f aca="false">IF(J622="Yes",0,Scoring!$C$6)</f>
        <v>2</v>
      </c>
      <c r="P622" s="16" t="n">
        <f aca="false">IF(L622="Yes",0,Scoring!$C$7)</f>
        <v>0.5</v>
      </c>
      <c r="Q622" s="8" t="n">
        <f aca="false">ROUND(SUM(M622:P622),2)</f>
        <v>7.15</v>
      </c>
      <c r="R622" s="8" t="str">
        <f aca="false">IF(Q622&gt;=Scoring!$C$10-0.000001,"Keep","Remove")</f>
        <v>Keep</v>
      </c>
      <c r="S622" s="8" t="s">
        <v>166</v>
      </c>
    </row>
    <row r="623" customFormat="false" ht="15" hidden="false" customHeight="false" outlineLevel="0" collapsed="false">
      <c r="A623" s="8" t="s">
        <v>4353</v>
      </c>
      <c r="B623" s="8" t="s">
        <v>4354</v>
      </c>
      <c r="C623" s="8" t="s">
        <v>178</v>
      </c>
      <c r="D623" s="8" t="s">
        <v>4325</v>
      </c>
      <c r="E623" s="8"/>
      <c r="F623" s="8" t="s">
        <v>79</v>
      </c>
      <c r="G623" s="8" t="n">
        <v>1</v>
      </c>
      <c r="H623" s="13" t="n">
        <v>3</v>
      </c>
      <c r="I623" s="8" t="n">
        <v>4</v>
      </c>
      <c r="J623" s="20" t="s">
        <v>259</v>
      </c>
      <c r="K623" s="8"/>
      <c r="L623" s="20" t="s">
        <v>259</v>
      </c>
      <c r="M623" s="16" t="n">
        <f aca="false">H623*Scoring!$C$5</f>
        <v>3.9</v>
      </c>
      <c r="N623" s="16" t="n">
        <f aca="false">IF(I623&gt;=5,1,IF(I623=4,0.75,IF(I623=3,0.5,IF(I623=2,0.25,0))))*Scoring!$C$8</f>
        <v>0.75</v>
      </c>
      <c r="O623" s="16" t="n">
        <f aca="false">IF(J623="Yes",0,Scoring!$C$6)</f>
        <v>2</v>
      </c>
      <c r="P623" s="16" t="n">
        <f aca="false">IF(L623="Yes",0,Scoring!$C$7)</f>
        <v>0.5</v>
      </c>
      <c r="Q623" s="8" t="n">
        <f aca="false">ROUND(SUM(M623:P623),2)</f>
        <v>7.15</v>
      </c>
      <c r="R623" s="8" t="str">
        <f aca="false">IF(Q623&gt;=Scoring!$C$10-0.000001,"Keep","Remove")</f>
        <v>Keep</v>
      </c>
      <c r="S623" s="8" t="s">
        <v>166</v>
      </c>
    </row>
    <row r="624" customFormat="false" ht="15" hidden="false" customHeight="false" outlineLevel="0" collapsed="false">
      <c r="A624" s="8" t="s">
        <v>4363</v>
      </c>
      <c r="B624" s="8" t="s">
        <v>4364</v>
      </c>
      <c r="C624" s="8" t="s">
        <v>178</v>
      </c>
      <c r="D624" s="8" t="s">
        <v>4325</v>
      </c>
      <c r="E624" s="8"/>
      <c r="F624" s="8" t="s">
        <v>80</v>
      </c>
      <c r="G624" s="8" t="n">
        <v>1</v>
      </c>
      <c r="H624" s="13" t="n">
        <v>5</v>
      </c>
      <c r="I624" s="8" t="n">
        <v>3</v>
      </c>
      <c r="J624" s="20" t="s">
        <v>259</v>
      </c>
      <c r="K624" s="8"/>
      <c r="L624" s="20" t="s">
        <v>259</v>
      </c>
      <c r="M624" s="16" t="n">
        <f aca="false">H624*Scoring!$C$5</f>
        <v>6.5</v>
      </c>
      <c r="N624" s="16" t="n">
        <f aca="false">IF(I624&gt;=5,1,IF(I624=4,0.75,IF(I624=3,0.5,IF(I624=2,0.25,0))))*Scoring!$C$8</f>
        <v>0.5</v>
      </c>
      <c r="O624" s="16" t="n">
        <f aca="false">IF(J624="Yes",0,Scoring!$C$6)</f>
        <v>2</v>
      </c>
      <c r="P624" s="16" t="n">
        <f aca="false">IF(L624="Yes",0,Scoring!$C$7)</f>
        <v>0.5</v>
      </c>
      <c r="Q624" s="8" t="n">
        <f aca="false">ROUND(SUM(M624:P624),2)</f>
        <v>9.5</v>
      </c>
      <c r="R624" s="8" t="str">
        <f aca="false">IF(Q624&gt;=Scoring!$C$10-0.000001,"Keep","Remove")</f>
        <v>Keep</v>
      </c>
      <c r="S624" s="8" t="s">
        <v>166</v>
      </c>
    </row>
    <row r="625" customFormat="false" ht="15" hidden="false" customHeight="false" outlineLevel="0" collapsed="false">
      <c r="A625" s="8" t="s">
        <v>4376</v>
      </c>
      <c r="B625" s="8" t="s">
        <v>4377</v>
      </c>
      <c r="C625" s="8" t="s">
        <v>178</v>
      </c>
      <c r="D625" s="8" t="s">
        <v>4325</v>
      </c>
      <c r="E625" s="8"/>
      <c r="F625" s="8" t="s">
        <v>79</v>
      </c>
      <c r="G625" s="8" t="n">
        <v>2</v>
      </c>
      <c r="H625" s="13" t="n">
        <v>3</v>
      </c>
      <c r="I625" s="8" t="n">
        <v>2</v>
      </c>
      <c r="J625" s="20" t="s">
        <v>259</v>
      </c>
      <c r="K625" s="8"/>
      <c r="L625" s="20" t="s">
        <v>259</v>
      </c>
      <c r="M625" s="16" t="n">
        <f aca="false">H625*Scoring!$C$5</f>
        <v>3.9</v>
      </c>
      <c r="N625" s="16" t="n">
        <f aca="false">IF(I625&gt;=5,1,IF(I625=4,0.75,IF(I625=3,0.5,IF(I625=2,0.25,0))))*Scoring!$C$8</f>
        <v>0.25</v>
      </c>
      <c r="O625" s="16" t="n">
        <f aca="false">IF(J625="Yes",0,Scoring!$C$6)</f>
        <v>2</v>
      </c>
      <c r="P625" s="16" t="n">
        <f aca="false">IF(L625="Yes",0,Scoring!$C$7)</f>
        <v>0.5</v>
      </c>
      <c r="Q625" s="8" t="n">
        <f aca="false">ROUND(SUM(M625:P625),2)</f>
        <v>6.65</v>
      </c>
      <c r="R625" s="8" t="str">
        <f aca="false">IF(Q625&gt;=Scoring!$C$10-0.000001,"Keep","Remove")</f>
        <v>Keep</v>
      </c>
      <c r="S625" s="8" t="s">
        <v>166</v>
      </c>
    </row>
    <row r="626" customFormat="false" ht="15" hidden="false" customHeight="false" outlineLevel="0" collapsed="false">
      <c r="A626" s="8" t="s">
        <v>4383</v>
      </c>
      <c r="B626" s="8" t="s">
        <v>4384</v>
      </c>
      <c r="C626" s="8" t="s">
        <v>178</v>
      </c>
      <c r="D626" s="8" t="s">
        <v>4325</v>
      </c>
      <c r="E626" s="8"/>
      <c r="F626" s="8" t="s">
        <v>79</v>
      </c>
      <c r="G626" s="8" t="n">
        <v>2</v>
      </c>
      <c r="H626" s="13" t="n">
        <v>3</v>
      </c>
      <c r="I626" s="8" t="n">
        <v>4</v>
      </c>
      <c r="J626" s="20" t="s">
        <v>259</v>
      </c>
      <c r="K626" s="8"/>
      <c r="L626" s="20" t="s">
        <v>259</v>
      </c>
      <c r="M626" s="16" t="n">
        <f aca="false">H626*Scoring!$C$5</f>
        <v>3.9</v>
      </c>
      <c r="N626" s="16" t="n">
        <f aca="false">IF(I626&gt;=5,1,IF(I626=4,0.75,IF(I626=3,0.5,IF(I626=2,0.25,0))))*Scoring!$C$8</f>
        <v>0.75</v>
      </c>
      <c r="O626" s="16" t="n">
        <f aca="false">IF(J626="Yes",0,Scoring!$C$6)</f>
        <v>2</v>
      </c>
      <c r="P626" s="16" t="n">
        <f aca="false">IF(L626="Yes",0,Scoring!$C$7)</f>
        <v>0.5</v>
      </c>
      <c r="Q626" s="8" t="n">
        <f aca="false">ROUND(SUM(M626:P626),2)</f>
        <v>7.15</v>
      </c>
      <c r="R626" s="8" t="str">
        <f aca="false">IF(Q626&gt;=Scoring!$C$10-0.000001,"Keep","Remove")</f>
        <v>Keep</v>
      </c>
      <c r="S626" s="8" t="s">
        <v>166</v>
      </c>
    </row>
    <row r="627" customFormat="false" ht="15" hidden="false" customHeight="false" outlineLevel="0" collapsed="false">
      <c r="A627" s="8" t="s">
        <v>4394</v>
      </c>
      <c r="B627" s="8" t="s">
        <v>4395</v>
      </c>
      <c r="C627" s="8" t="s">
        <v>178</v>
      </c>
      <c r="D627" s="8" t="s">
        <v>4325</v>
      </c>
      <c r="E627" s="8"/>
      <c r="F627" s="8" t="s">
        <v>79</v>
      </c>
      <c r="G627" s="8" t="n">
        <v>2</v>
      </c>
      <c r="H627" s="13" t="n">
        <v>3</v>
      </c>
      <c r="I627" s="8" t="n">
        <v>5</v>
      </c>
      <c r="J627" s="20" t="s">
        <v>259</v>
      </c>
      <c r="K627" s="8"/>
      <c r="L627" s="20" t="s">
        <v>259</v>
      </c>
      <c r="M627" s="16" t="n">
        <f aca="false">H627*Scoring!$C$5</f>
        <v>3.9</v>
      </c>
      <c r="N627" s="16" t="n">
        <f aca="false">IF(I627&gt;=5,1,IF(I627=4,0.75,IF(I627=3,0.5,IF(I627=2,0.25,0))))*Scoring!$C$8</f>
        <v>1</v>
      </c>
      <c r="O627" s="16" t="n">
        <f aca="false">IF(J627="Yes",0,Scoring!$C$6)</f>
        <v>2</v>
      </c>
      <c r="P627" s="16" t="n">
        <f aca="false">IF(L627="Yes",0,Scoring!$C$7)</f>
        <v>0.5</v>
      </c>
      <c r="Q627" s="8" t="n">
        <f aca="false">ROUND(SUM(M627:P627),2)</f>
        <v>7.4</v>
      </c>
      <c r="R627" s="8" t="str">
        <f aca="false">IF(Q627&gt;=Scoring!$C$10-0.000001,"Keep","Remove")</f>
        <v>Keep</v>
      </c>
      <c r="S627" s="8" t="s">
        <v>166</v>
      </c>
    </row>
    <row r="628" customFormat="false" ht="15" hidden="false" customHeight="false" outlineLevel="0" collapsed="false">
      <c r="A628" s="8" t="s">
        <v>7525</v>
      </c>
      <c r="B628" s="8" t="s">
        <v>7526</v>
      </c>
      <c r="C628" s="8" t="s">
        <v>178</v>
      </c>
      <c r="D628" s="8" t="s">
        <v>4325</v>
      </c>
      <c r="E628" s="8"/>
      <c r="F628" s="8" t="s">
        <v>78</v>
      </c>
      <c r="G628" s="8" t="n">
        <v>3</v>
      </c>
      <c r="H628" s="13" t="n">
        <v>2</v>
      </c>
      <c r="I628" s="8" t="n">
        <v>4</v>
      </c>
      <c r="J628" s="20" t="s">
        <v>259</v>
      </c>
      <c r="K628" s="8"/>
      <c r="L628" s="20" t="s">
        <v>259</v>
      </c>
      <c r="M628" s="16" t="n">
        <f aca="false">H628*Scoring!$C$5</f>
        <v>2.6</v>
      </c>
      <c r="N628" s="16" t="n">
        <f aca="false">IF(I628&gt;=5,1,IF(I628=4,0.75,IF(I628=3,0.5,IF(I628=2,0.25,0))))*Scoring!$C$8</f>
        <v>0.75</v>
      </c>
      <c r="O628" s="16" t="n">
        <f aca="false">IF(J628="Yes",0,Scoring!$C$6)</f>
        <v>2</v>
      </c>
      <c r="P628" s="16" t="n">
        <f aca="false">IF(L628="Yes",0,Scoring!$C$7)</f>
        <v>0.5</v>
      </c>
      <c r="Q628" s="8" t="n">
        <f aca="false">ROUND(SUM(M628:P628),2)</f>
        <v>5.85</v>
      </c>
      <c r="R628" s="8" t="str">
        <f aca="false">IF(Q628&gt;=Scoring!$C$10-0.000001,"Keep","Remove")</f>
        <v>Remove</v>
      </c>
      <c r="S628" s="8" t="s">
        <v>7243</v>
      </c>
    </row>
    <row r="629" customFormat="false" ht="15" hidden="false" customHeight="false" outlineLevel="0" collapsed="false">
      <c r="A629" s="8" t="s">
        <v>7332</v>
      </c>
      <c r="B629" s="8" t="s">
        <v>7333</v>
      </c>
      <c r="C629" s="8" t="s">
        <v>178</v>
      </c>
      <c r="D629" s="8" t="s">
        <v>4325</v>
      </c>
      <c r="E629" s="8"/>
      <c r="F629" s="8" t="s">
        <v>78</v>
      </c>
      <c r="G629" s="8" t="n">
        <v>3</v>
      </c>
      <c r="H629" s="13" t="n">
        <v>2</v>
      </c>
      <c r="I629" s="8" t="n">
        <v>5</v>
      </c>
      <c r="J629" s="20" t="s">
        <v>259</v>
      </c>
      <c r="K629" s="8"/>
      <c r="L629" s="20" t="s">
        <v>259</v>
      </c>
      <c r="M629" s="16" t="n">
        <f aca="false">H629*Scoring!$C$5</f>
        <v>2.6</v>
      </c>
      <c r="N629" s="16" t="n">
        <f aca="false">IF(I629&gt;=5,1,IF(I629=4,0.75,IF(I629=3,0.5,IF(I629=2,0.25,0))))*Scoring!$C$8</f>
        <v>1</v>
      </c>
      <c r="O629" s="16" t="n">
        <f aca="false">IF(J629="Yes",0,Scoring!$C$6)</f>
        <v>2</v>
      </c>
      <c r="P629" s="16" t="n">
        <f aca="false">IF(L629="Yes",0,Scoring!$C$7)</f>
        <v>0.5</v>
      </c>
      <c r="Q629" s="8" t="n">
        <f aca="false">ROUND(SUM(M629:P629),2)</f>
        <v>6.1</v>
      </c>
      <c r="R629" s="8" t="str">
        <f aca="false">IF(Q629&gt;=Scoring!$C$10-0.000001,"Keep","Remove")</f>
        <v>Remove</v>
      </c>
      <c r="S629" s="8" t="s">
        <v>7243</v>
      </c>
    </row>
    <row r="630" customFormat="false" ht="15" hidden="false" customHeight="false" outlineLevel="0" collapsed="false">
      <c r="A630" s="8" t="s">
        <v>7797</v>
      </c>
      <c r="B630" s="8" t="s">
        <v>7798</v>
      </c>
      <c r="C630" s="8" t="s">
        <v>178</v>
      </c>
      <c r="D630" s="8" t="s">
        <v>4325</v>
      </c>
      <c r="E630" s="8"/>
      <c r="F630" s="8" t="s">
        <v>79</v>
      </c>
      <c r="G630" s="8" t="n">
        <v>3</v>
      </c>
      <c r="H630" s="13" t="n">
        <v>2</v>
      </c>
      <c r="I630" s="8" t="n">
        <v>2</v>
      </c>
      <c r="J630" s="20" t="s">
        <v>259</v>
      </c>
      <c r="K630" s="8"/>
      <c r="L630" s="20" t="s">
        <v>259</v>
      </c>
      <c r="M630" s="16" t="n">
        <f aca="false">H630*Scoring!$C$5</f>
        <v>2.6</v>
      </c>
      <c r="N630" s="16" t="n">
        <f aca="false">IF(I630&gt;=5,1,IF(I630=4,0.75,IF(I630=3,0.5,IF(I630=2,0.25,0))))*Scoring!$C$8</f>
        <v>0.25</v>
      </c>
      <c r="O630" s="16" t="n">
        <f aca="false">IF(J630="Yes",0,Scoring!$C$6)</f>
        <v>2</v>
      </c>
      <c r="P630" s="16" t="n">
        <f aca="false">IF(L630="Yes",0,Scoring!$C$7)</f>
        <v>0.5</v>
      </c>
      <c r="Q630" s="8" t="n">
        <f aca="false">ROUND(SUM(M630:P630),2)</f>
        <v>5.35</v>
      </c>
      <c r="R630" s="8" t="str">
        <f aca="false">IF(Q630&gt;=Scoring!$C$10-0.000001,"Keep","Remove")</f>
        <v>Remove</v>
      </c>
      <c r="S630" s="8" t="s">
        <v>7243</v>
      </c>
    </row>
    <row r="631" customFormat="false" ht="15" hidden="false" customHeight="false" outlineLevel="0" collapsed="false">
      <c r="A631" s="8" t="s">
        <v>7527</v>
      </c>
      <c r="B631" s="8" t="s">
        <v>7528</v>
      </c>
      <c r="C631" s="8" t="s">
        <v>178</v>
      </c>
      <c r="D631" s="8" t="s">
        <v>4325</v>
      </c>
      <c r="E631" s="8"/>
      <c r="F631" s="8" t="s">
        <v>83</v>
      </c>
      <c r="G631" s="8" t="n">
        <v>3</v>
      </c>
      <c r="H631" s="13" t="n">
        <v>2</v>
      </c>
      <c r="I631" s="8" t="n">
        <v>4</v>
      </c>
      <c r="J631" s="20" t="s">
        <v>259</v>
      </c>
      <c r="K631" s="8"/>
      <c r="L631" s="20" t="s">
        <v>259</v>
      </c>
      <c r="M631" s="16" t="n">
        <f aca="false">H631*Scoring!$C$5</f>
        <v>2.6</v>
      </c>
      <c r="N631" s="16" t="n">
        <f aca="false">IF(I631&gt;=5,1,IF(I631=4,0.75,IF(I631=3,0.5,IF(I631=2,0.25,0))))*Scoring!$C$8</f>
        <v>0.75</v>
      </c>
      <c r="O631" s="16" t="n">
        <f aca="false">IF(J631="Yes",0,Scoring!$C$6)</f>
        <v>2</v>
      </c>
      <c r="P631" s="16" t="n">
        <f aca="false">IF(L631="Yes",0,Scoring!$C$7)</f>
        <v>0.5</v>
      </c>
      <c r="Q631" s="8" t="n">
        <f aca="false">ROUND(SUM(M631:P631),2)</f>
        <v>5.85</v>
      </c>
      <c r="R631" s="8" t="str">
        <f aca="false">IF(Q631&gt;=Scoring!$C$10-0.000001,"Keep","Remove")</f>
        <v>Remove</v>
      </c>
      <c r="S631" s="8" t="s">
        <v>7243</v>
      </c>
    </row>
    <row r="632" customFormat="false" ht="15" hidden="false" customHeight="false" outlineLevel="0" collapsed="false">
      <c r="A632" s="8" t="s">
        <v>7334</v>
      </c>
      <c r="B632" s="8" t="s">
        <v>7335</v>
      </c>
      <c r="C632" s="8" t="s">
        <v>178</v>
      </c>
      <c r="D632" s="8" t="s">
        <v>4325</v>
      </c>
      <c r="E632" s="8"/>
      <c r="F632" s="8" t="s">
        <v>80</v>
      </c>
      <c r="G632" s="8" t="n">
        <v>3</v>
      </c>
      <c r="H632" s="13" t="n">
        <v>2</v>
      </c>
      <c r="I632" s="8" t="n">
        <v>5</v>
      </c>
      <c r="J632" s="20" t="s">
        <v>259</v>
      </c>
      <c r="K632" s="8"/>
      <c r="L632" s="20" t="s">
        <v>259</v>
      </c>
      <c r="M632" s="16" t="n">
        <f aca="false">H632*Scoring!$C$5</f>
        <v>2.6</v>
      </c>
      <c r="N632" s="16" t="n">
        <f aca="false">IF(I632&gt;=5,1,IF(I632=4,0.75,IF(I632=3,0.5,IF(I632=2,0.25,0))))*Scoring!$C$8</f>
        <v>1</v>
      </c>
      <c r="O632" s="16" t="n">
        <f aca="false">IF(J632="Yes",0,Scoring!$C$6)</f>
        <v>2</v>
      </c>
      <c r="P632" s="16" t="n">
        <f aca="false">IF(L632="Yes",0,Scoring!$C$7)</f>
        <v>0.5</v>
      </c>
      <c r="Q632" s="8" t="n">
        <f aca="false">ROUND(SUM(M632:P632),2)</f>
        <v>6.1</v>
      </c>
      <c r="R632" s="8" t="str">
        <f aca="false">IF(Q632&gt;=Scoring!$C$10-0.000001,"Keep","Remove")</f>
        <v>Remove</v>
      </c>
      <c r="S632" s="8" t="s">
        <v>7243</v>
      </c>
    </row>
    <row r="633" customFormat="false" ht="15" hidden="false" customHeight="false" outlineLevel="0" collapsed="false">
      <c r="A633" s="8" t="s">
        <v>7713</v>
      </c>
      <c r="B633" s="8" t="s">
        <v>7714</v>
      </c>
      <c r="C633" s="8" t="s">
        <v>178</v>
      </c>
      <c r="D633" s="8" t="s">
        <v>4325</v>
      </c>
      <c r="E633" s="8"/>
      <c r="F633" s="8" t="s">
        <v>79</v>
      </c>
      <c r="G633" s="8" t="n">
        <v>3</v>
      </c>
      <c r="H633" s="13" t="n">
        <v>2</v>
      </c>
      <c r="I633" s="8" t="n">
        <v>3</v>
      </c>
      <c r="J633" s="20" t="s">
        <v>259</v>
      </c>
      <c r="K633" s="8"/>
      <c r="L633" s="20" t="s">
        <v>259</v>
      </c>
      <c r="M633" s="16" t="n">
        <f aca="false">H633*Scoring!$C$5</f>
        <v>2.6</v>
      </c>
      <c r="N633" s="16" t="n">
        <f aca="false">IF(I633&gt;=5,1,IF(I633=4,0.75,IF(I633=3,0.5,IF(I633=2,0.25,0))))*Scoring!$C$8</f>
        <v>0.5</v>
      </c>
      <c r="O633" s="16" t="n">
        <f aca="false">IF(J633="Yes",0,Scoring!$C$6)</f>
        <v>2</v>
      </c>
      <c r="P633" s="16" t="n">
        <f aca="false">IF(L633="Yes",0,Scoring!$C$7)</f>
        <v>0.5</v>
      </c>
      <c r="Q633" s="8" t="n">
        <f aca="false">ROUND(SUM(M633:P633),2)</f>
        <v>5.6</v>
      </c>
      <c r="R633" s="8" t="str">
        <f aca="false">IF(Q633&gt;=Scoring!$C$10-0.000001,"Keep","Remove")</f>
        <v>Remove</v>
      </c>
      <c r="S633" s="8" t="s">
        <v>7243</v>
      </c>
    </row>
    <row r="634" customFormat="false" ht="15" hidden="false" customHeight="false" outlineLevel="0" collapsed="false">
      <c r="A634" s="8" t="s">
        <v>7529</v>
      </c>
      <c r="B634" s="8" t="s">
        <v>7530</v>
      </c>
      <c r="C634" s="8" t="s">
        <v>178</v>
      </c>
      <c r="D634" s="8" t="s">
        <v>4325</v>
      </c>
      <c r="E634" s="8"/>
      <c r="F634" s="8" t="s">
        <v>80</v>
      </c>
      <c r="G634" s="8" t="n">
        <v>3</v>
      </c>
      <c r="H634" s="13" t="n">
        <v>2</v>
      </c>
      <c r="I634" s="8" t="n">
        <v>4</v>
      </c>
      <c r="J634" s="20" t="s">
        <v>259</v>
      </c>
      <c r="K634" s="8"/>
      <c r="L634" s="20" t="s">
        <v>259</v>
      </c>
      <c r="M634" s="16" t="n">
        <f aca="false">H634*Scoring!$C$5</f>
        <v>2.6</v>
      </c>
      <c r="N634" s="16" t="n">
        <f aca="false">IF(I634&gt;=5,1,IF(I634=4,0.75,IF(I634=3,0.5,IF(I634=2,0.25,0))))*Scoring!$C$8</f>
        <v>0.75</v>
      </c>
      <c r="O634" s="16" t="n">
        <f aca="false">IF(J634="Yes",0,Scoring!$C$6)</f>
        <v>2</v>
      </c>
      <c r="P634" s="16" t="n">
        <f aca="false">IF(L634="Yes",0,Scoring!$C$7)</f>
        <v>0.5</v>
      </c>
      <c r="Q634" s="8" t="n">
        <f aca="false">ROUND(SUM(M634:P634),2)</f>
        <v>5.85</v>
      </c>
      <c r="R634" s="8" t="str">
        <f aca="false">IF(Q634&gt;=Scoring!$C$10-0.000001,"Keep","Remove")</f>
        <v>Remove</v>
      </c>
      <c r="S634" s="8" t="s">
        <v>7243</v>
      </c>
    </row>
    <row r="635" customFormat="false" ht="15" hidden="false" customHeight="false" outlineLevel="0" collapsed="false">
      <c r="A635" s="8" t="s">
        <v>4401</v>
      </c>
      <c r="B635" s="8" t="s">
        <v>4402</v>
      </c>
      <c r="C635" s="8" t="s">
        <v>178</v>
      </c>
      <c r="D635" s="8" t="s">
        <v>4403</v>
      </c>
      <c r="E635" s="8"/>
      <c r="F635" s="8" t="s">
        <v>80</v>
      </c>
      <c r="G635" s="8" t="n">
        <v>1</v>
      </c>
      <c r="H635" s="13" t="n">
        <v>3</v>
      </c>
      <c r="I635" s="8" t="n">
        <v>5</v>
      </c>
      <c r="J635" s="20" t="s">
        <v>259</v>
      </c>
      <c r="K635" s="8"/>
      <c r="L635" s="20" t="s">
        <v>259</v>
      </c>
      <c r="M635" s="16" t="n">
        <f aca="false">H635*Scoring!$C$5</f>
        <v>3.9</v>
      </c>
      <c r="N635" s="16" t="n">
        <f aca="false">IF(I635&gt;=5,1,IF(I635=4,0.75,IF(I635=3,0.5,IF(I635=2,0.25,0))))*Scoring!$C$8</f>
        <v>1</v>
      </c>
      <c r="O635" s="16" t="n">
        <f aca="false">IF(J635="Yes",0,Scoring!$C$6)</f>
        <v>2</v>
      </c>
      <c r="P635" s="16" t="n">
        <f aca="false">IF(L635="Yes",0,Scoring!$C$7)</f>
        <v>0.5</v>
      </c>
      <c r="Q635" s="8" t="n">
        <f aca="false">ROUND(SUM(M635:P635),2)</f>
        <v>7.4</v>
      </c>
      <c r="R635" s="8" t="str">
        <f aca="false">IF(Q635&gt;=Scoring!$C$10-0.000001,"Keep","Remove")</f>
        <v>Keep</v>
      </c>
      <c r="S635" s="8" t="s">
        <v>166</v>
      </c>
    </row>
    <row r="636" customFormat="false" ht="15" hidden="false" customHeight="false" outlineLevel="0" collapsed="false">
      <c r="A636" s="8" t="s">
        <v>4412</v>
      </c>
      <c r="B636" s="8" t="s">
        <v>4413</v>
      </c>
      <c r="C636" s="8" t="s">
        <v>178</v>
      </c>
      <c r="D636" s="8" t="s">
        <v>4403</v>
      </c>
      <c r="E636" s="8"/>
      <c r="F636" s="8" t="s">
        <v>78</v>
      </c>
      <c r="G636" s="8" t="n">
        <v>2</v>
      </c>
      <c r="H636" s="13" t="n">
        <v>3</v>
      </c>
      <c r="I636" s="8" t="n">
        <v>5</v>
      </c>
      <c r="J636" s="20" t="s">
        <v>259</v>
      </c>
      <c r="K636" s="8"/>
      <c r="L636" s="20" t="s">
        <v>259</v>
      </c>
      <c r="M636" s="16" t="n">
        <f aca="false">H636*Scoring!$C$5</f>
        <v>3.9</v>
      </c>
      <c r="N636" s="16" t="n">
        <f aca="false">IF(I636&gt;=5,1,IF(I636=4,0.75,IF(I636=3,0.5,IF(I636=2,0.25,0))))*Scoring!$C$8</f>
        <v>1</v>
      </c>
      <c r="O636" s="16" t="n">
        <f aca="false">IF(J636="Yes",0,Scoring!$C$6)</f>
        <v>2</v>
      </c>
      <c r="P636" s="16" t="n">
        <f aca="false">IF(L636="Yes",0,Scoring!$C$7)</f>
        <v>0.5</v>
      </c>
      <c r="Q636" s="8" t="n">
        <f aca="false">ROUND(SUM(M636:P636),2)</f>
        <v>7.4</v>
      </c>
      <c r="R636" s="8" t="str">
        <f aca="false">IF(Q636&gt;=Scoring!$C$10-0.000001,"Keep","Remove")</f>
        <v>Keep</v>
      </c>
      <c r="S636" s="8" t="s">
        <v>166</v>
      </c>
    </row>
    <row r="637" customFormat="false" ht="15" hidden="false" customHeight="false" outlineLevel="0" collapsed="false">
      <c r="A637" s="8" t="s">
        <v>4420</v>
      </c>
      <c r="B637" s="8" t="s">
        <v>4421</v>
      </c>
      <c r="C637" s="8" t="s">
        <v>178</v>
      </c>
      <c r="D637" s="8" t="s">
        <v>4403</v>
      </c>
      <c r="E637" s="8"/>
      <c r="F637" s="8" t="s">
        <v>78</v>
      </c>
      <c r="G637" s="8" t="n">
        <v>2</v>
      </c>
      <c r="H637" s="13" t="n">
        <v>3</v>
      </c>
      <c r="I637" s="8" t="n">
        <v>6</v>
      </c>
      <c r="J637" s="20" t="s">
        <v>259</v>
      </c>
      <c r="K637" s="8"/>
      <c r="L637" s="20" t="s">
        <v>259</v>
      </c>
      <c r="M637" s="16" t="n">
        <f aca="false">H637*Scoring!$C$5</f>
        <v>3.9</v>
      </c>
      <c r="N637" s="16" t="n">
        <f aca="false">IF(I637&gt;=5,1,IF(I637=4,0.75,IF(I637=3,0.5,IF(I637=2,0.25,0))))*Scoring!$C$8</f>
        <v>1</v>
      </c>
      <c r="O637" s="16" t="n">
        <f aca="false">IF(J637="Yes",0,Scoring!$C$6)</f>
        <v>2</v>
      </c>
      <c r="P637" s="16" t="n">
        <f aca="false">IF(L637="Yes",0,Scoring!$C$7)</f>
        <v>0.5</v>
      </c>
      <c r="Q637" s="8" t="n">
        <f aca="false">ROUND(SUM(M637:P637),2)</f>
        <v>7.4</v>
      </c>
      <c r="R637" s="8" t="str">
        <f aca="false">IF(Q637&gt;=Scoring!$C$10-0.000001,"Keep","Remove")</f>
        <v>Keep</v>
      </c>
      <c r="S637" s="8" t="s">
        <v>166</v>
      </c>
    </row>
    <row r="638" customFormat="false" ht="15" hidden="false" customHeight="false" outlineLevel="0" collapsed="false">
      <c r="A638" s="8" t="s">
        <v>4431</v>
      </c>
      <c r="B638" s="8" t="s">
        <v>4432</v>
      </c>
      <c r="C638" s="8" t="s">
        <v>178</v>
      </c>
      <c r="D638" s="8" t="s">
        <v>4403</v>
      </c>
      <c r="E638" s="8"/>
      <c r="F638" s="8" t="s">
        <v>83</v>
      </c>
      <c r="G638" s="8" t="n">
        <v>2</v>
      </c>
      <c r="H638" s="13" t="n">
        <v>3</v>
      </c>
      <c r="I638" s="8" t="n">
        <v>3</v>
      </c>
      <c r="J638" s="20" t="s">
        <v>259</v>
      </c>
      <c r="K638" s="8"/>
      <c r="L638" s="20" t="s">
        <v>259</v>
      </c>
      <c r="M638" s="16" t="n">
        <f aca="false">H638*Scoring!$C$5</f>
        <v>3.9</v>
      </c>
      <c r="N638" s="16" t="n">
        <f aca="false">IF(I638&gt;=5,1,IF(I638=4,0.75,IF(I638=3,0.5,IF(I638=2,0.25,0))))*Scoring!$C$8</f>
        <v>0.5</v>
      </c>
      <c r="O638" s="16" t="n">
        <f aca="false">IF(J638="Yes",0,Scoring!$C$6)</f>
        <v>2</v>
      </c>
      <c r="P638" s="16" t="n">
        <f aca="false">IF(L638="Yes",0,Scoring!$C$7)</f>
        <v>0.5</v>
      </c>
      <c r="Q638" s="8" t="n">
        <f aca="false">ROUND(SUM(M638:P638),2)</f>
        <v>6.9</v>
      </c>
      <c r="R638" s="8" t="str">
        <f aca="false">IF(Q638&gt;=Scoring!$C$10-0.000001,"Keep","Remove")</f>
        <v>Keep</v>
      </c>
      <c r="S638" s="8" t="s">
        <v>166</v>
      </c>
    </row>
    <row r="639" customFormat="false" ht="15" hidden="false" customHeight="false" outlineLevel="0" collapsed="false">
      <c r="A639" s="8" t="s">
        <v>4440</v>
      </c>
      <c r="B639" s="8" t="s">
        <v>4441</v>
      </c>
      <c r="C639" s="8" t="s">
        <v>178</v>
      </c>
      <c r="D639" s="8" t="s">
        <v>4403</v>
      </c>
      <c r="E639" s="8"/>
      <c r="F639" s="8" t="s">
        <v>78</v>
      </c>
      <c r="G639" s="8" t="n">
        <v>2</v>
      </c>
      <c r="H639" s="13" t="n">
        <v>4</v>
      </c>
      <c r="I639" s="8" t="n">
        <v>4</v>
      </c>
      <c r="J639" s="20" t="s">
        <v>259</v>
      </c>
      <c r="K639" s="8"/>
      <c r="L639" s="20" t="s">
        <v>259</v>
      </c>
      <c r="M639" s="16" t="n">
        <f aca="false">H639*Scoring!$C$5</f>
        <v>5.2</v>
      </c>
      <c r="N639" s="16" t="n">
        <f aca="false">IF(I639&gt;=5,1,IF(I639=4,0.75,IF(I639=3,0.5,IF(I639=2,0.25,0))))*Scoring!$C$8</f>
        <v>0.75</v>
      </c>
      <c r="O639" s="16" t="n">
        <f aca="false">IF(J639="Yes",0,Scoring!$C$6)</f>
        <v>2</v>
      </c>
      <c r="P639" s="16" t="n">
        <f aca="false">IF(L639="Yes",0,Scoring!$C$7)</f>
        <v>0.5</v>
      </c>
      <c r="Q639" s="8" t="n">
        <f aca="false">ROUND(SUM(M639:P639),2)</f>
        <v>8.45</v>
      </c>
      <c r="R639" s="8" t="str">
        <f aca="false">IF(Q639&gt;=Scoring!$C$10-0.000001,"Keep","Remove")</f>
        <v>Keep</v>
      </c>
      <c r="S639" s="8" t="s">
        <v>166</v>
      </c>
    </row>
    <row r="640" customFormat="false" ht="15" hidden="false" customHeight="false" outlineLevel="0" collapsed="false">
      <c r="A640" s="8" t="s">
        <v>7531</v>
      </c>
      <c r="B640" s="8" t="s">
        <v>7532</v>
      </c>
      <c r="C640" s="8" t="s">
        <v>178</v>
      </c>
      <c r="D640" s="8" t="s">
        <v>4403</v>
      </c>
      <c r="E640" s="8"/>
      <c r="F640" s="8" t="s">
        <v>78</v>
      </c>
      <c r="G640" s="8" t="n">
        <v>3</v>
      </c>
      <c r="H640" s="13" t="n">
        <v>2</v>
      </c>
      <c r="I640" s="8" t="n">
        <v>4</v>
      </c>
      <c r="J640" s="20" t="s">
        <v>259</v>
      </c>
      <c r="K640" s="8"/>
      <c r="L640" s="20" t="s">
        <v>259</v>
      </c>
      <c r="M640" s="16" t="n">
        <f aca="false">H640*Scoring!$C$5</f>
        <v>2.6</v>
      </c>
      <c r="N640" s="16" t="n">
        <f aca="false">IF(I640&gt;=5,1,IF(I640=4,0.75,IF(I640=3,0.5,IF(I640=2,0.25,0))))*Scoring!$C$8</f>
        <v>0.75</v>
      </c>
      <c r="O640" s="16" t="n">
        <f aca="false">IF(J640="Yes",0,Scoring!$C$6)</f>
        <v>2</v>
      </c>
      <c r="P640" s="16" t="n">
        <f aca="false">IF(L640="Yes",0,Scoring!$C$7)</f>
        <v>0.5</v>
      </c>
      <c r="Q640" s="8" t="n">
        <f aca="false">ROUND(SUM(M640:P640),2)</f>
        <v>5.85</v>
      </c>
      <c r="R640" s="8" t="str">
        <f aca="false">IF(Q640&gt;=Scoring!$C$10-0.000001,"Keep","Remove")</f>
        <v>Remove</v>
      </c>
      <c r="S640" s="8" t="s">
        <v>7243</v>
      </c>
    </row>
    <row r="641" customFormat="false" ht="15" hidden="false" customHeight="false" outlineLevel="0" collapsed="false">
      <c r="A641" s="8" t="s">
        <v>7533</v>
      </c>
      <c r="B641" s="8" t="s">
        <v>7534</v>
      </c>
      <c r="C641" s="8" t="s">
        <v>178</v>
      </c>
      <c r="D641" s="8" t="s">
        <v>4403</v>
      </c>
      <c r="E641" s="8"/>
      <c r="F641" s="8" t="s">
        <v>81</v>
      </c>
      <c r="G641" s="8" t="n">
        <v>3</v>
      </c>
      <c r="H641" s="13" t="n">
        <v>2</v>
      </c>
      <c r="I641" s="8" t="n">
        <v>4</v>
      </c>
      <c r="J641" s="20" t="s">
        <v>259</v>
      </c>
      <c r="K641" s="8"/>
      <c r="L641" s="20" t="s">
        <v>259</v>
      </c>
      <c r="M641" s="16" t="n">
        <f aca="false">H641*Scoring!$C$5</f>
        <v>2.6</v>
      </c>
      <c r="N641" s="16" t="n">
        <f aca="false">IF(I641&gt;=5,1,IF(I641=4,0.75,IF(I641=3,0.5,IF(I641=2,0.25,0))))*Scoring!$C$8</f>
        <v>0.75</v>
      </c>
      <c r="O641" s="16" t="n">
        <f aca="false">IF(J641="Yes",0,Scoring!$C$6)</f>
        <v>2</v>
      </c>
      <c r="P641" s="16" t="n">
        <f aca="false">IF(L641="Yes",0,Scoring!$C$7)</f>
        <v>0.5</v>
      </c>
      <c r="Q641" s="8" t="n">
        <f aca="false">ROUND(SUM(M641:P641),2)</f>
        <v>5.85</v>
      </c>
      <c r="R641" s="8" t="str">
        <f aca="false">IF(Q641&gt;=Scoring!$C$10-0.000001,"Keep","Remove")</f>
        <v>Remove</v>
      </c>
      <c r="S641" s="8" t="s">
        <v>7243</v>
      </c>
    </row>
    <row r="642" customFormat="false" ht="15" hidden="false" customHeight="false" outlineLevel="0" collapsed="false">
      <c r="A642" s="8" t="s">
        <v>4446</v>
      </c>
      <c r="B642" s="8" t="s">
        <v>4447</v>
      </c>
      <c r="C642" s="8" t="s">
        <v>178</v>
      </c>
      <c r="D642" s="8" t="s">
        <v>4448</v>
      </c>
      <c r="E642" s="8"/>
      <c r="F642" s="8" t="s">
        <v>78</v>
      </c>
      <c r="G642" s="8" t="n">
        <v>1</v>
      </c>
      <c r="H642" s="13" t="n">
        <v>5</v>
      </c>
      <c r="I642" s="8" t="n">
        <v>5</v>
      </c>
      <c r="J642" s="20" t="s">
        <v>259</v>
      </c>
      <c r="K642" s="8"/>
      <c r="L642" s="20" t="s">
        <v>259</v>
      </c>
      <c r="M642" s="16" t="n">
        <f aca="false">H642*Scoring!$C$5</f>
        <v>6.5</v>
      </c>
      <c r="N642" s="16" t="n">
        <f aca="false">IF(I642&gt;=5,1,IF(I642=4,0.75,IF(I642=3,0.5,IF(I642=2,0.25,0))))*Scoring!$C$8</f>
        <v>1</v>
      </c>
      <c r="O642" s="16" t="n">
        <f aca="false">IF(J642="Yes",0,Scoring!$C$6)</f>
        <v>2</v>
      </c>
      <c r="P642" s="16" t="n">
        <f aca="false">IF(L642="Yes",0,Scoring!$C$7)</f>
        <v>0.5</v>
      </c>
      <c r="Q642" s="8" t="n">
        <f aca="false">ROUND(SUM(M642:P642),2)</f>
        <v>10</v>
      </c>
      <c r="R642" s="8" t="str">
        <f aca="false">IF(Q642&gt;=Scoring!$C$10-0.000001,"Keep","Remove")</f>
        <v>Keep</v>
      </c>
      <c r="S642" s="8" t="s">
        <v>166</v>
      </c>
    </row>
    <row r="643" customFormat="false" ht="15" hidden="false" customHeight="false" outlineLevel="0" collapsed="false">
      <c r="A643" s="8" t="s">
        <v>4462</v>
      </c>
      <c r="B643" s="8" t="s">
        <v>4463</v>
      </c>
      <c r="C643" s="8" t="s">
        <v>178</v>
      </c>
      <c r="D643" s="8" t="s">
        <v>4448</v>
      </c>
      <c r="E643" s="8"/>
      <c r="F643" s="8" t="s">
        <v>82</v>
      </c>
      <c r="G643" s="8" t="n">
        <v>1</v>
      </c>
      <c r="H643" s="13" t="n">
        <v>4</v>
      </c>
      <c r="I643" s="8" t="n">
        <v>6</v>
      </c>
      <c r="J643" s="20" t="s">
        <v>259</v>
      </c>
      <c r="K643" s="8"/>
      <c r="L643" s="20" t="s">
        <v>259</v>
      </c>
      <c r="M643" s="16" t="n">
        <f aca="false">H643*Scoring!$C$5</f>
        <v>5.2</v>
      </c>
      <c r="N643" s="16" t="n">
        <f aca="false">IF(I643&gt;=5,1,IF(I643=4,0.75,IF(I643=3,0.5,IF(I643=2,0.25,0))))*Scoring!$C$8</f>
        <v>1</v>
      </c>
      <c r="O643" s="16" t="n">
        <f aca="false">IF(J643="Yes",0,Scoring!$C$6)</f>
        <v>2</v>
      </c>
      <c r="P643" s="16" t="n">
        <f aca="false">IF(L643="Yes",0,Scoring!$C$7)</f>
        <v>0.5</v>
      </c>
      <c r="Q643" s="8" t="n">
        <f aca="false">ROUND(SUM(M643:P643),2)</f>
        <v>8.7</v>
      </c>
      <c r="R643" s="8" t="str">
        <f aca="false">IF(Q643&gt;=Scoring!$C$10-0.000001,"Keep","Remove")</f>
        <v>Keep</v>
      </c>
      <c r="S643" s="8" t="s">
        <v>166</v>
      </c>
    </row>
    <row r="644" customFormat="false" ht="15" hidden="false" customHeight="false" outlineLevel="0" collapsed="false">
      <c r="A644" s="8" t="s">
        <v>4469</v>
      </c>
      <c r="B644" s="8" t="s">
        <v>4470</v>
      </c>
      <c r="C644" s="8" t="s">
        <v>178</v>
      </c>
      <c r="D644" s="8" t="s">
        <v>4448</v>
      </c>
      <c r="E644" s="8"/>
      <c r="F644" s="8" t="s">
        <v>78</v>
      </c>
      <c r="G644" s="8" t="n">
        <v>1</v>
      </c>
      <c r="H644" s="13" t="n">
        <v>4</v>
      </c>
      <c r="I644" s="8" t="n">
        <v>5</v>
      </c>
      <c r="J644" s="20" t="s">
        <v>259</v>
      </c>
      <c r="K644" s="8"/>
      <c r="L644" s="20" t="s">
        <v>259</v>
      </c>
      <c r="M644" s="16" t="n">
        <f aca="false">H644*Scoring!$C$5</f>
        <v>5.2</v>
      </c>
      <c r="N644" s="16" t="n">
        <f aca="false">IF(I644&gt;=5,1,IF(I644=4,0.75,IF(I644=3,0.5,IF(I644=2,0.25,0))))*Scoring!$C$8</f>
        <v>1</v>
      </c>
      <c r="O644" s="16" t="n">
        <f aca="false">IF(J644="Yes",0,Scoring!$C$6)</f>
        <v>2</v>
      </c>
      <c r="P644" s="16" t="n">
        <f aca="false">IF(L644="Yes",0,Scoring!$C$7)</f>
        <v>0.5</v>
      </c>
      <c r="Q644" s="8" t="n">
        <f aca="false">ROUND(SUM(M644:P644),2)</f>
        <v>8.7</v>
      </c>
      <c r="R644" s="8" t="str">
        <f aca="false">IF(Q644&gt;=Scoring!$C$10-0.000001,"Keep","Remove")</f>
        <v>Keep</v>
      </c>
      <c r="S644" s="8" t="s">
        <v>166</v>
      </c>
    </row>
    <row r="645" customFormat="false" ht="15" hidden="false" customHeight="false" outlineLevel="0" collapsed="false">
      <c r="A645" s="8" t="s">
        <v>4478</v>
      </c>
      <c r="B645" s="8" t="s">
        <v>4479</v>
      </c>
      <c r="C645" s="8" t="s">
        <v>178</v>
      </c>
      <c r="D645" s="8" t="s">
        <v>4448</v>
      </c>
      <c r="E645" s="8"/>
      <c r="F645" s="8" t="s">
        <v>78</v>
      </c>
      <c r="G645" s="8" t="n">
        <v>1</v>
      </c>
      <c r="H645" s="13" t="n">
        <v>3</v>
      </c>
      <c r="I645" s="8" t="n">
        <v>5</v>
      </c>
      <c r="J645" s="20" t="s">
        <v>259</v>
      </c>
      <c r="K645" s="8"/>
      <c r="L645" s="20" t="s">
        <v>259</v>
      </c>
      <c r="M645" s="16" t="n">
        <f aca="false">H645*Scoring!$C$5</f>
        <v>3.9</v>
      </c>
      <c r="N645" s="16" t="n">
        <f aca="false">IF(I645&gt;=5,1,IF(I645=4,0.75,IF(I645=3,0.5,IF(I645=2,0.25,0))))*Scoring!$C$8</f>
        <v>1</v>
      </c>
      <c r="O645" s="16" t="n">
        <f aca="false">IF(J645="Yes",0,Scoring!$C$6)</f>
        <v>2</v>
      </c>
      <c r="P645" s="16" t="n">
        <f aca="false">IF(L645="Yes",0,Scoring!$C$7)</f>
        <v>0.5</v>
      </c>
      <c r="Q645" s="8" t="n">
        <f aca="false">ROUND(SUM(M645:P645),2)</f>
        <v>7.4</v>
      </c>
      <c r="R645" s="8" t="str">
        <f aca="false">IF(Q645&gt;=Scoring!$C$10-0.000001,"Keep","Remove")</f>
        <v>Keep</v>
      </c>
      <c r="S645" s="8" t="s">
        <v>166</v>
      </c>
    </row>
    <row r="646" customFormat="false" ht="15" hidden="false" customHeight="false" outlineLevel="0" collapsed="false">
      <c r="A646" s="8" t="s">
        <v>4490</v>
      </c>
      <c r="B646" s="8" t="s">
        <v>4491</v>
      </c>
      <c r="C646" s="8" t="s">
        <v>178</v>
      </c>
      <c r="D646" s="8" t="s">
        <v>4448</v>
      </c>
      <c r="E646" s="8"/>
      <c r="F646" s="8" t="s">
        <v>78</v>
      </c>
      <c r="G646" s="8" t="n">
        <v>2</v>
      </c>
      <c r="H646" s="13" t="n">
        <v>4</v>
      </c>
      <c r="I646" s="8" t="n">
        <v>5</v>
      </c>
      <c r="J646" s="20" t="s">
        <v>259</v>
      </c>
      <c r="K646" s="8"/>
      <c r="L646" s="20" t="s">
        <v>259</v>
      </c>
      <c r="M646" s="16" t="n">
        <f aca="false">H646*Scoring!$C$5</f>
        <v>5.2</v>
      </c>
      <c r="N646" s="16" t="n">
        <f aca="false">IF(I646&gt;=5,1,IF(I646=4,0.75,IF(I646=3,0.5,IF(I646=2,0.25,0))))*Scoring!$C$8</f>
        <v>1</v>
      </c>
      <c r="O646" s="16" t="n">
        <f aca="false">IF(J646="Yes",0,Scoring!$C$6)</f>
        <v>2</v>
      </c>
      <c r="P646" s="16" t="n">
        <f aca="false">IF(L646="Yes",0,Scoring!$C$7)</f>
        <v>0.5</v>
      </c>
      <c r="Q646" s="8" t="n">
        <f aca="false">ROUND(SUM(M646:P646),2)</f>
        <v>8.7</v>
      </c>
      <c r="R646" s="8" t="str">
        <f aca="false">IF(Q646&gt;=Scoring!$C$10-0.000001,"Keep","Remove")</f>
        <v>Keep</v>
      </c>
      <c r="S646" s="8" t="s">
        <v>166</v>
      </c>
    </row>
    <row r="647" customFormat="false" ht="15" hidden="false" customHeight="false" outlineLevel="0" collapsed="false">
      <c r="A647" s="8" t="s">
        <v>4501</v>
      </c>
      <c r="B647" s="8" t="s">
        <v>4502</v>
      </c>
      <c r="C647" s="8" t="s">
        <v>178</v>
      </c>
      <c r="D647" s="8" t="s">
        <v>4448</v>
      </c>
      <c r="E647" s="8"/>
      <c r="F647" s="8" t="s">
        <v>78</v>
      </c>
      <c r="G647" s="8" t="n">
        <v>2</v>
      </c>
      <c r="H647" s="13" t="n">
        <v>3</v>
      </c>
      <c r="I647" s="8" t="n">
        <v>5</v>
      </c>
      <c r="J647" s="20" t="s">
        <v>259</v>
      </c>
      <c r="K647" s="8"/>
      <c r="L647" s="20" t="s">
        <v>259</v>
      </c>
      <c r="M647" s="16" t="n">
        <f aca="false">H647*Scoring!$C$5</f>
        <v>3.9</v>
      </c>
      <c r="N647" s="16" t="n">
        <f aca="false">IF(I647&gt;=5,1,IF(I647=4,0.75,IF(I647=3,0.5,IF(I647=2,0.25,0))))*Scoring!$C$8</f>
        <v>1</v>
      </c>
      <c r="O647" s="16" t="n">
        <f aca="false">IF(J647="Yes",0,Scoring!$C$6)</f>
        <v>2</v>
      </c>
      <c r="P647" s="16" t="n">
        <f aca="false">IF(L647="Yes",0,Scoring!$C$7)</f>
        <v>0.5</v>
      </c>
      <c r="Q647" s="8" t="n">
        <f aca="false">ROUND(SUM(M647:P647),2)</f>
        <v>7.4</v>
      </c>
      <c r="R647" s="8" t="str">
        <f aca="false">IF(Q647&gt;=Scoring!$C$10-0.000001,"Keep","Remove")</f>
        <v>Keep</v>
      </c>
      <c r="S647" s="8" t="s">
        <v>166</v>
      </c>
    </row>
    <row r="648" customFormat="false" ht="15" hidden="false" customHeight="false" outlineLevel="0" collapsed="false">
      <c r="A648" s="8" t="s">
        <v>4509</v>
      </c>
      <c r="B648" s="8" t="s">
        <v>4510</v>
      </c>
      <c r="C648" s="8" t="s">
        <v>178</v>
      </c>
      <c r="D648" s="8" t="s">
        <v>4448</v>
      </c>
      <c r="E648" s="8"/>
      <c r="F648" s="8" t="s">
        <v>79</v>
      </c>
      <c r="G648" s="8" t="n">
        <v>2</v>
      </c>
      <c r="H648" s="13" t="n">
        <v>3</v>
      </c>
      <c r="I648" s="8" t="n">
        <v>4</v>
      </c>
      <c r="J648" s="20" t="s">
        <v>259</v>
      </c>
      <c r="K648" s="8"/>
      <c r="L648" s="20" t="s">
        <v>259</v>
      </c>
      <c r="M648" s="16" t="n">
        <f aca="false">H648*Scoring!$C$5</f>
        <v>3.9</v>
      </c>
      <c r="N648" s="16" t="n">
        <f aca="false">IF(I648&gt;=5,1,IF(I648=4,0.75,IF(I648=3,0.5,IF(I648=2,0.25,0))))*Scoring!$C$8</f>
        <v>0.75</v>
      </c>
      <c r="O648" s="16" t="n">
        <f aca="false">IF(J648="Yes",0,Scoring!$C$6)</f>
        <v>2</v>
      </c>
      <c r="P648" s="16" t="n">
        <f aca="false">IF(L648="Yes",0,Scoring!$C$7)</f>
        <v>0.5</v>
      </c>
      <c r="Q648" s="8" t="n">
        <f aca="false">ROUND(SUM(M648:P648),2)</f>
        <v>7.15</v>
      </c>
      <c r="R648" s="8" t="str">
        <f aca="false">IF(Q648&gt;=Scoring!$C$10-0.000001,"Keep","Remove")</f>
        <v>Keep</v>
      </c>
      <c r="S648" s="8" t="s">
        <v>166</v>
      </c>
    </row>
    <row r="649" customFormat="false" ht="15" hidden="false" customHeight="false" outlineLevel="0" collapsed="false">
      <c r="A649" s="8" t="s">
        <v>4517</v>
      </c>
      <c r="B649" s="8" t="s">
        <v>4518</v>
      </c>
      <c r="C649" s="8" t="s">
        <v>178</v>
      </c>
      <c r="D649" s="8" t="s">
        <v>4448</v>
      </c>
      <c r="E649" s="8"/>
      <c r="F649" s="8" t="s">
        <v>79</v>
      </c>
      <c r="G649" s="8" t="n">
        <v>2</v>
      </c>
      <c r="H649" s="13" t="n">
        <v>3</v>
      </c>
      <c r="I649" s="8" t="n">
        <v>4</v>
      </c>
      <c r="J649" s="20" t="s">
        <v>259</v>
      </c>
      <c r="K649" s="8"/>
      <c r="L649" s="20" t="s">
        <v>259</v>
      </c>
      <c r="M649" s="16" t="n">
        <f aca="false">H649*Scoring!$C$5</f>
        <v>3.9</v>
      </c>
      <c r="N649" s="16" t="n">
        <f aca="false">IF(I649&gt;=5,1,IF(I649=4,0.75,IF(I649=3,0.5,IF(I649=2,0.25,0))))*Scoring!$C$8</f>
        <v>0.75</v>
      </c>
      <c r="O649" s="16" t="n">
        <f aca="false">IF(J649="Yes",0,Scoring!$C$6)</f>
        <v>2</v>
      </c>
      <c r="P649" s="16" t="n">
        <f aca="false">IF(L649="Yes",0,Scoring!$C$7)</f>
        <v>0.5</v>
      </c>
      <c r="Q649" s="8" t="n">
        <f aca="false">ROUND(SUM(M649:P649),2)</f>
        <v>7.15</v>
      </c>
      <c r="R649" s="8" t="str">
        <f aca="false">IF(Q649&gt;=Scoring!$C$10-0.000001,"Keep","Remove")</f>
        <v>Keep</v>
      </c>
      <c r="S649" s="8" t="s">
        <v>166</v>
      </c>
    </row>
    <row r="650" customFormat="false" ht="15" hidden="false" customHeight="false" outlineLevel="0" collapsed="false">
      <c r="A650" s="8" t="s">
        <v>7535</v>
      </c>
      <c r="B650" s="8" t="s">
        <v>7536</v>
      </c>
      <c r="C650" s="8" t="s">
        <v>178</v>
      </c>
      <c r="D650" s="8" t="s">
        <v>4448</v>
      </c>
      <c r="E650" s="8"/>
      <c r="F650" s="8" t="s">
        <v>78</v>
      </c>
      <c r="G650" s="8" t="n">
        <v>3</v>
      </c>
      <c r="H650" s="13" t="n">
        <v>2</v>
      </c>
      <c r="I650" s="8" t="n">
        <v>4</v>
      </c>
      <c r="J650" s="20" t="s">
        <v>259</v>
      </c>
      <c r="K650" s="8"/>
      <c r="L650" s="20" t="s">
        <v>259</v>
      </c>
      <c r="M650" s="16" t="n">
        <f aca="false">H650*Scoring!$C$5</f>
        <v>2.6</v>
      </c>
      <c r="N650" s="16" t="n">
        <f aca="false">IF(I650&gt;=5,1,IF(I650=4,0.75,IF(I650=3,0.5,IF(I650=2,0.25,0))))*Scoring!$C$8</f>
        <v>0.75</v>
      </c>
      <c r="O650" s="16" t="n">
        <f aca="false">IF(J650="Yes",0,Scoring!$C$6)</f>
        <v>2</v>
      </c>
      <c r="P650" s="16" t="n">
        <f aca="false">IF(L650="Yes",0,Scoring!$C$7)</f>
        <v>0.5</v>
      </c>
      <c r="Q650" s="8" t="n">
        <f aca="false">ROUND(SUM(M650:P650),2)</f>
        <v>5.85</v>
      </c>
      <c r="R650" s="8" t="str">
        <f aca="false">IF(Q650&gt;=Scoring!$C$10-0.000001,"Keep","Remove")</f>
        <v>Remove</v>
      </c>
      <c r="S650" s="8" t="s">
        <v>7243</v>
      </c>
    </row>
    <row r="651" customFormat="false" ht="15" hidden="false" customHeight="false" outlineLevel="0" collapsed="false">
      <c r="A651" s="8" t="s">
        <v>4526</v>
      </c>
      <c r="B651" s="8" t="s">
        <v>4527</v>
      </c>
      <c r="C651" s="8" t="s">
        <v>178</v>
      </c>
      <c r="D651" s="8" t="s">
        <v>4448</v>
      </c>
      <c r="E651" s="8"/>
      <c r="F651" s="8" t="s">
        <v>80</v>
      </c>
      <c r="G651" s="8" t="n">
        <v>2</v>
      </c>
      <c r="H651" s="13" t="n">
        <v>3</v>
      </c>
      <c r="I651" s="8" t="n">
        <v>4</v>
      </c>
      <c r="J651" s="20" t="s">
        <v>259</v>
      </c>
      <c r="K651" s="8"/>
      <c r="L651" s="20" t="s">
        <v>259</v>
      </c>
      <c r="M651" s="16" t="n">
        <f aca="false">H651*Scoring!$C$5</f>
        <v>3.9</v>
      </c>
      <c r="N651" s="16" t="n">
        <f aca="false">IF(I651&gt;=5,1,IF(I651=4,0.75,IF(I651=3,0.5,IF(I651=2,0.25,0))))*Scoring!$C$8</f>
        <v>0.75</v>
      </c>
      <c r="O651" s="16" t="n">
        <f aca="false">IF(J651="Yes",0,Scoring!$C$6)</f>
        <v>2</v>
      </c>
      <c r="P651" s="16" t="n">
        <f aca="false">IF(L651="Yes",0,Scoring!$C$7)</f>
        <v>0.5</v>
      </c>
      <c r="Q651" s="8" t="n">
        <f aca="false">ROUND(SUM(M651:P651),2)</f>
        <v>7.15</v>
      </c>
      <c r="R651" s="8" t="str">
        <f aca="false">IF(Q651&gt;=Scoring!$C$10-0.000001,"Keep","Remove")</f>
        <v>Keep</v>
      </c>
      <c r="S651" s="8" t="s">
        <v>166</v>
      </c>
    </row>
    <row r="652" customFormat="false" ht="15" hidden="false" customHeight="false" outlineLevel="0" collapsed="false">
      <c r="A652" s="8" t="s">
        <v>4534</v>
      </c>
      <c r="B652" s="8" t="s">
        <v>4535</v>
      </c>
      <c r="C652" s="8" t="s">
        <v>178</v>
      </c>
      <c r="D652" s="8" t="s">
        <v>4448</v>
      </c>
      <c r="E652" s="8"/>
      <c r="F652" s="8" t="s">
        <v>80</v>
      </c>
      <c r="G652" s="8" t="n">
        <v>1</v>
      </c>
      <c r="H652" s="13" t="n">
        <v>4</v>
      </c>
      <c r="I652" s="8" t="n">
        <v>4</v>
      </c>
      <c r="J652" s="20" t="s">
        <v>259</v>
      </c>
      <c r="K652" s="8"/>
      <c r="L652" s="20" t="s">
        <v>259</v>
      </c>
      <c r="M652" s="16" t="n">
        <f aca="false">H652*Scoring!$C$5</f>
        <v>5.2</v>
      </c>
      <c r="N652" s="16" t="n">
        <f aca="false">IF(I652&gt;=5,1,IF(I652=4,0.75,IF(I652=3,0.5,IF(I652=2,0.25,0))))*Scoring!$C$8</f>
        <v>0.75</v>
      </c>
      <c r="O652" s="16" t="n">
        <f aca="false">IF(J652="Yes",0,Scoring!$C$6)</f>
        <v>2</v>
      </c>
      <c r="P652" s="16" t="n">
        <f aca="false">IF(L652="Yes",0,Scoring!$C$7)</f>
        <v>0.5</v>
      </c>
      <c r="Q652" s="8" t="n">
        <f aca="false">ROUND(SUM(M652:P652),2)</f>
        <v>8.45</v>
      </c>
      <c r="R652" s="8" t="str">
        <f aca="false">IF(Q652&gt;=Scoring!$C$10-0.000001,"Keep","Remove")</f>
        <v>Keep</v>
      </c>
      <c r="S652" s="8" t="s">
        <v>166</v>
      </c>
    </row>
    <row r="653" customFormat="false" ht="15" hidden="false" customHeight="false" outlineLevel="0" collapsed="false">
      <c r="A653" s="8" t="s">
        <v>4542</v>
      </c>
      <c r="B653" s="8" t="s">
        <v>4543</v>
      </c>
      <c r="C653" s="8" t="s">
        <v>178</v>
      </c>
      <c r="D653" s="8" t="s">
        <v>4448</v>
      </c>
      <c r="E653" s="8"/>
      <c r="F653" s="8" t="s">
        <v>80</v>
      </c>
      <c r="G653" s="8" t="n">
        <v>2</v>
      </c>
      <c r="H653" s="13" t="n">
        <v>3</v>
      </c>
      <c r="I653" s="8" t="n">
        <v>6</v>
      </c>
      <c r="J653" s="20" t="s">
        <v>259</v>
      </c>
      <c r="K653" s="8"/>
      <c r="L653" s="20" t="s">
        <v>259</v>
      </c>
      <c r="M653" s="16" t="n">
        <f aca="false">H653*Scoring!$C$5</f>
        <v>3.9</v>
      </c>
      <c r="N653" s="16" t="n">
        <f aca="false">IF(I653&gt;=5,1,IF(I653=4,0.75,IF(I653=3,0.5,IF(I653=2,0.25,0))))*Scoring!$C$8</f>
        <v>1</v>
      </c>
      <c r="O653" s="16" t="n">
        <f aca="false">IF(J653="Yes",0,Scoring!$C$6)</f>
        <v>2</v>
      </c>
      <c r="P653" s="16" t="n">
        <f aca="false">IF(L653="Yes",0,Scoring!$C$7)</f>
        <v>0.5</v>
      </c>
      <c r="Q653" s="8" t="n">
        <f aca="false">ROUND(SUM(M653:P653),2)</f>
        <v>7.4</v>
      </c>
      <c r="R653" s="8" t="str">
        <f aca="false">IF(Q653&gt;=Scoring!$C$10-0.000001,"Keep","Remove")</f>
        <v>Keep</v>
      </c>
      <c r="S653" s="8" t="s">
        <v>166</v>
      </c>
    </row>
    <row r="654" customFormat="false" ht="15" hidden="false" customHeight="false" outlineLevel="0" collapsed="false">
      <c r="A654" s="8" t="s">
        <v>7715</v>
      </c>
      <c r="B654" s="8" t="s">
        <v>7716</v>
      </c>
      <c r="C654" s="8" t="s">
        <v>178</v>
      </c>
      <c r="D654" s="8" t="s">
        <v>4448</v>
      </c>
      <c r="E654" s="8"/>
      <c r="F654" s="8" t="s">
        <v>80</v>
      </c>
      <c r="G654" s="8" t="n">
        <v>3</v>
      </c>
      <c r="H654" s="13" t="n">
        <v>2</v>
      </c>
      <c r="I654" s="8" t="n">
        <v>3</v>
      </c>
      <c r="J654" s="20" t="s">
        <v>259</v>
      </c>
      <c r="K654" s="8"/>
      <c r="L654" s="20" t="s">
        <v>259</v>
      </c>
      <c r="M654" s="16" t="n">
        <f aca="false">H654*Scoring!$C$5</f>
        <v>2.6</v>
      </c>
      <c r="N654" s="16" t="n">
        <f aca="false">IF(I654&gt;=5,1,IF(I654=4,0.75,IF(I654=3,0.5,IF(I654=2,0.25,0))))*Scoring!$C$8</f>
        <v>0.5</v>
      </c>
      <c r="O654" s="16" t="n">
        <f aca="false">IF(J654="Yes",0,Scoring!$C$6)</f>
        <v>2</v>
      </c>
      <c r="P654" s="16" t="n">
        <f aca="false">IF(L654="Yes",0,Scoring!$C$7)</f>
        <v>0.5</v>
      </c>
      <c r="Q654" s="8" t="n">
        <f aca="false">ROUND(SUM(M654:P654),2)</f>
        <v>5.6</v>
      </c>
      <c r="R654" s="8" t="str">
        <f aca="false">IF(Q654&gt;=Scoring!$C$10-0.000001,"Keep","Remove")</f>
        <v>Remove</v>
      </c>
      <c r="S654" s="8" t="s">
        <v>7243</v>
      </c>
    </row>
    <row r="655" customFormat="false" ht="15" hidden="false" customHeight="false" outlineLevel="0" collapsed="false">
      <c r="A655" s="8" t="s">
        <v>4550</v>
      </c>
      <c r="B655" s="8" t="s">
        <v>4551</v>
      </c>
      <c r="C655" s="8" t="s">
        <v>178</v>
      </c>
      <c r="D655" s="8" t="s">
        <v>4448</v>
      </c>
      <c r="E655" s="8"/>
      <c r="F655" s="8" t="s">
        <v>80</v>
      </c>
      <c r="G655" s="8" t="n">
        <v>2</v>
      </c>
      <c r="H655" s="13" t="n">
        <v>3</v>
      </c>
      <c r="I655" s="8" t="n">
        <v>5</v>
      </c>
      <c r="J655" s="20" t="s">
        <v>259</v>
      </c>
      <c r="K655" s="8"/>
      <c r="L655" s="20" t="s">
        <v>259</v>
      </c>
      <c r="M655" s="16" t="n">
        <f aca="false">H655*Scoring!$C$5</f>
        <v>3.9</v>
      </c>
      <c r="N655" s="16" t="n">
        <f aca="false">IF(I655&gt;=5,1,IF(I655=4,0.75,IF(I655=3,0.5,IF(I655=2,0.25,0))))*Scoring!$C$8</f>
        <v>1</v>
      </c>
      <c r="O655" s="16" t="n">
        <f aca="false">IF(J655="Yes",0,Scoring!$C$6)</f>
        <v>2</v>
      </c>
      <c r="P655" s="16" t="n">
        <f aca="false">IF(L655="Yes",0,Scoring!$C$7)</f>
        <v>0.5</v>
      </c>
      <c r="Q655" s="8" t="n">
        <f aca="false">ROUND(SUM(M655:P655),2)</f>
        <v>7.4</v>
      </c>
      <c r="R655" s="8" t="str">
        <f aca="false">IF(Q655&gt;=Scoring!$C$10-0.000001,"Keep","Remove")</f>
        <v>Keep</v>
      </c>
      <c r="S655" s="8" t="s">
        <v>166</v>
      </c>
    </row>
    <row r="656" customFormat="false" ht="15" hidden="false" customHeight="false" outlineLevel="0" collapsed="false">
      <c r="A656" s="8" t="s">
        <v>4559</v>
      </c>
      <c r="B656" s="8" t="s">
        <v>4560</v>
      </c>
      <c r="C656" s="8" t="s">
        <v>178</v>
      </c>
      <c r="D656" s="8" t="s">
        <v>4448</v>
      </c>
      <c r="E656" s="8"/>
      <c r="F656" s="8" t="s">
        <v>78</v>
      </c>
      <c r="G656" s="8" t="n">
        <v>2</v>
      </c>
      <c r="H656" s="13" t="n">
        <v>3</v>
      </c>
      <c r="I656" s="8" t="n">
        <v>5</v>
      </c>
      <c r="J656" s="20" t="s">
        <v>259</v>
      </c>
      <c r="K656" s="8"/>
      <c r="L656" s="20" t="s">
        <v>259</v>
      </c>
      <c r="M656" s="16" t="n">
        <f aca="false">H656*Scoring!$C$5</f>
        <v>3.9</v>
      </c>
      <c r="N656" s="16" t="n">
        <f aca="false">IF(I656&gt;=5,1,IF(I656=4,0.75,IF(I656=3,0.5,IF(I656=2,0.25,0))))*Scoring!$C$8</f>
        <v>1</v>
      </c>
      <c r="O656" s="16" t="n">
        <f aca="false">IF(J656="Yes",0,Scoring!$C$6)</f>
        <v>2</v>
      </c>
      <c r="P656" s="16" t="n">
        <f aca="false">IF(L656="Yes",0,Scoring!$C$7)</f>
        <v>0.5</v>
      </c>
      <c r="Q656" s="8" t="n">
        <f aca="false">ROUND(SUM(M656:P656),2)</f>
        <v>7.4</v>
      </c>
      <c r="R656" s="8" t="str">
        <f aca="false">IF(Q656&gt;=Scoring!$C$10-0.000001,"Keep","Remove")</f>
        <v>Keep</v>
      </c>
      <c r="S656" s="8" t="s">
        <v>166</v>
      </c>
    </row>
    <row r="657" customFormat="false" ht="15" hidden="false" customHeight="false" outlineLevel="0" collapsed="false">
      <c r="A657" s="8" t="s">
        <v>7336</v>
      </c>
      <c r="B657" s="8" t="s">
        <v>7337</v>
      </c>
      <c r="C657" s="8" t="s">
        <v>178</v>
      </c>
      <c r="D657" s="8" t="s">
        <v>4448</v>
      </c>
      <c r="E657" s="8"/>
      <c r="F657" s="8" t="s">
        <v>79</v>
      </c>
      <c r="G657" s="8" t="n">
        <v>3</v>
      </c>
      <c r="H657" s="13" t="n">
        <v>2</v>
      </c>
      <c r="I657" s="8" t="n">
        <v>5</v>
      </c>
      <c r="J657" s="20" t="s">
        <v>259</v>
      </c>
      <c r="K657" s="8"/>
      <c r="L657" s="20" t="s">
        <v>259</v>
      </c>
      <c r="M657" s="16" t="n">
        <f aca="false">H657*Scoring!$C$5</f>
        <v>2.6</v>
      </c>
      <c r="N657" s="16" t="n">
        <f aca="false">IF(I657&gt;=5,1,IF(I657=4,0.75,IF(I657=3,0.5,IF(I657=2,0.25,0))))*Scoring!$C$8</f>
        <v>1</v>
      </c>
      <c r="O657" s="16" t="n">
        <f aca="false">IF(J657="Yes",0,Scoring!$C$6)</f>
        <v>2</v>
      </c>
      <c r="P657" s="16" t="n">
        <f aca="false">IF(L657="Yes",0,Scoring!$C$7)</f>
        <v>0.5</v>
      </c>
      <c r="Q657" s="8" t="n">
        <f aca="false">ROUND(SUM(M657:P657),2)</f>
        <v>6.1</v>
      </c>
      <c r="R657" s="8" t="str">
        <f aca="false">IF(Q657&gt;=Scoring!$C$10-0.000001,"Keep","Remove")</f>
        <v>Remove</v>
      </c>
      <c r="S657" s="8" t="s">
        <v>7243</v>
      </c>
    </row>
    <row r="658" customFormat="false" ht="15" hidden="false" customHeight="false" outlineLevel="0" collapsed="false">
      <c r="A658" s="8" t="s">
        <v>7881</v>
      </c>
      <c r="B658" s="8" t="s">
        <v>7882</v>
      </c>
      <c r="C658" s="8" t="s">
        <v>178</v>
      </c>
      <c r="D658" s="8" t="s">
        <v>4448</v>
      </c>
      <c r="E658" s="8"/>
      <c r="F658" s="8" t="s">
        <v>78</v>
      </c>
      <c r="G658" s="8" t="n">
        <v>3</v>
      </c>
      <c r="H658" s="13" t="n">
        <v>2</v>
      </c>
      <c r="I658" s="8" t="n">
        <v>4</v>
      </c>
      <c r="J658" s="20" t="s">
        <v>218</v>
      </c>
      <c r="K658" s="8" t="s">
        <v>8181</v>
      </c>
      <c r="L658" s="20" t="s">
        <v>259</v>
      </c>
      <c r="M658" s="16" t="n">
        <f aca="false">H658*Scoring!$C$5</f>
        <v>2.6</v>
      </c>
      <c r="N658" s="16" t="n">
        <f aca="false">IF(I658&gt;=5,1,IF(I658=4,0.75,IF(I658=3,0.5,IF(I658=2,0.25,0))))*Scoring!$C$8</f>
        <v>0.75</v>
      </c>
      <c r="O658" s="16" t="n">
        <f aca="false">IF(J658="Yes",0,Scoring!$C$6)</f>
        <v>0</v>
      </c>
      <c r="P658" s="16" t="n">
        <f aca="false">IF(L658="Yes",0,Scoring!$C$7)</f>
        <v>0.5</v>
      </c>
      <c r="Q658" s="8" t="n">
        <f aca="false">ROUND(SUM(M658:P658),2)</f>
        <v>3.85</v>
      </c>
      <c r="R658" s="8" t="str">
        <f aca="false">IF(Q658&gt;=Scoring!$C$10-0.000001,"Keep","Remove")</f>
        <v>Remove</v>
      </c>
      <c r="S658" s="8" t="s">
        <v>7883</v>
      </c>
    </row>
    <row r="659" customFormat="false" ht="15" hidden="false" customHeight="false" outlineLevel="0" collapsed="false">
      <c r="A659" s="8" t="s">
        <v>7338</v>
      </c>
      <c r="B659" s="8" t="s">
        <v>7339</v>
      </c>
      <c r="C659" s="8" t="s">
        <v>178</v>
      </c>
      <c r="D659" s="8" t="s">
        <v>4448</v>
      </c>
      <c r="E659" s="8"/>
      <c r="F659" s="8" t="s">
        <v>79</v>
      </c>
      <c r="G659" s="8" t="n">
        <v>3</v>
      </c>
      <c r="H659" s="13" t="n">
        <v>2</v>
      </c>
      <c r="I659" s="8" t="n">
        <v>5</v>
      </c>
      <c r="J659" s="20" t="s">
        <v>259</v>
      </c>
      <c r="K659" s="8"/>
      <c r="L659" s="20" t="s">
        <v>259</v>
      </c>
      <c r="M659" s="16" t="n">
        <f aca="false">H659*Scoring!$C$5</f>
        <v>2.6</v>
      </c>
      <c r="N659" s="16" t="n">
        <f aca="false">IF(I659&gt;=5,1,IF(I659=4,0.75,IF(I659=3,0.5,IF(I659=2,0.25,0))))*Scoring!$C$8</f>
        <v>1</v>
      </c>
      <c r="O659" s="16" t="n">
        <f aca="false">IF(J659="Yes",0,Scoring!$C$6)</f>
        <v>2</v>
      </c>
      <c r="P659" s="16" t="n">
        <f aca="false">IF(L659="Yes",0,Scoring!$C$7)</f>
        <v>0.5</v>
      </c>
      <c r="Q659" s="8" t="n">
        <f aca="false">ROUND(SUM(M659:P659),2)</f>
        <v>6.1</v>
      </c>
      <c r="R659" s="8" t="str">
        <f aca="false">IF(Q659&gt;=Scoring!$C$10-0.000001,"Keep","Remove")</f>
        <v>Remove</v>
      </c>
      <c r="S659" s="8" t="s">
        <v>7243</v>
      </c>
    </row>
    <row r="660" customFormat="false" ht="15" hidden="false" customHeight="false" outlineLevel="0" collapsed="false">
      <c r="A660" s="8" t="s">
        <v>4572</v>
      </c>
      <c r="B660" s="8" t="s">
        <v>4573</v>
      </c>
      <c r="C660" s="8" t="s">
        <v>178</v>
      </c>
      <c r="D660" s="8" t="s">
        <v>4574</v>
      </c>
      <c r="E660" s="8"/>
      <c r="F660" s="8" t="s">
        <v>78</v>
      </c>
      <c r="G660" s="8" t="n">
        <v>2</v>
      </c>
      <c r="H660" s="13" t="n">
        <v>3</v>
      </c>
      <c r="I660" s="8" t="n">
        <v>4</v>
      </c>
      <c r="J660" s="20" t="s">
        <v>259</v>
      </c>
      <c r="K660" s="8"/>
      <c r="L660" s="20" t="s">
        <v>259</v>
      </c>
      <c r="M660" s="16" t="n">
        <f aca="false">H660*Scoring!$C$5</f>
        <v>3.9</v>
      </c>
      <c r="N660" s="16" t="n">
        <f aca="false">IF(I660&gt;=5,1,IF(I660=4,0.75,IF(I660=3,0.5,IF(I660=2,0.25,0))))*Scoring!$C$8</f>
        <v>0.75</v>
      </c>
      <c r="O660" s="16" t="n">
        <f aca="false">IF(J660="Yes",0,Scoring!$C$6)</f>
        <v>2</v>
      </c>
      <c r="P660" s="16" t="n">
        <f aca="false">IF(L660="Yes",0,Scoring!$C$7)</f>
        <v>0.5</v>
      </c>
      <c r="Q660" s="8" t="n">
        <f aca="false">ROUND(SUM(M660:P660),2)</f>
        <v>7.15</v>
      </c>
      <c r="R660" s="8" t="str">
        <f aca="false">IF(Q660&gt;=Scoring!$C$10-0.000001,"Keep","Remove")</f>
        <v>Keep</v>
      </c>
      <c r="S660" s="8" t="s">
        <v>166</v>
      </c>
    </row>
    <row r="661" customFormat="false" ht="15" hidden="false" customHeight="false" outlineLevel="0" collapsed="false">
      <c r="A661" s="8" t="s">
        <v>7340</v>
      </c>
      <c r="B661" s="8" t="s">
        <v>7341</v>
      </c>
      <c r="C661" s="8" t="s">
        <v>178</v>
      </c>
      <c r="D661" s="8" t="s">
        <v>4574</v>
      </c>
      <c r="E661" s="8"/>
      <c r="F661" s="8" t="s">
        <v>86</v>
      </c>
      <c r="G661" s="8" t="n">
        <v>3</v>
      </c>
      <c r="H661" s="13" t="n">
        <v>2</v>
      </c>
      <c r="I661" s="8" t="n">
        <v>5</v>
      </c>
      <c r="J661" s="20" t="s">
        <v>259</v>
      </c>
      <c r="K661" s="8"/>
      <c r="L661" s="20" t="s">
        <v>259</v>
      </c>
      <c r="M661" s="16" t="n">
        <f aca="false">H661*Scoring!$C$5</f>
        <v>2.6</v>
      </c>
      <c r="N661" s="16" t="n">
        <f aca="false">IF(I661&gt;=5,1,IF(I661=4,0.75,IF(I661=3,0.5,IF(I661=2,0.25,0))))*Scoring!$C$8</f>
        <v>1</v>
      </c>
      <c r="O661" s="16" t="n">
        <f aca="false">IF(J661="Yes",0,Scoring!$C$6)</f>
        <v>2</v>
      </c>
      <c r="P661" s="16" t="n">
        <f aca="false">IF(L661="Yes",0,Scoring!$C$7)</f>
        <v>0.5</v>
      </c>
      <c r="Q661" s="8" t="n">
        <f aca="false">ROUND(SUM(M661:P661),2)</f>
        <v>6.1</v>
      </c>
      <c r="R661" s="8" t="str">
        <f aca="false">IF(Q661&gt;=Scoring!$C$10-0.000001,"Keep","Remove")</f>
        <v>Remove</v>
      </c>
      <c r="S661" s="8" t="s">
        <v>7243</v>
      </c>
    </row>
    <row r="662" customFormat="false" ht="15" hidden="false" customHeight="false" outlineLevel="0" collapsed="false">
      <c r="A662" s="8" t="s">
        <v>7799</v>
      </c>
      <c r="B662" s="8" t="s">
        <v>7800</v>
      </c>
      <c r="C662" s="8" t="s">
        <v>178</v>
      </c>
      <c r="D662" s="8" t="s">
        <v>4574</v>
      </c>
      <c r="E662" s="8"/>
      <c r="F662" s="8" t="s">
        <v>87</v>
      </c>
      <c r="G662" s="8" t="n">
        <v>3</v>
      </c>
      <c r="H662" s="13" t="n">
        <v>2</v>
      </c>
      <c r="I662" s="8" t="n">
        <v>2</v>
      </c>
      <c r="J662" s="20" t="s">
        <v>259</v>
      </c>
      <c r="K662" s="8"/>
      <c r="L662" s="20" t="s">
        <v>259</v>
      </c>
      <c r="M662" s="16" t="n">
        <f aca="false">H662*Scoring!$C$5</f>
        <v>2.6</v>
      </c>
      <c r="N662" s="16" t="n">
        <f aca="false">IF(I662&gt;=5,1,IF(I662=4,0.75,IF(I662=3,0.5,IF(I662=2,0.25,0))))*Scoring!$C$8</f>
        <v>0.25</v>
      </c>
      <c r="O662" s="16" t="n">
        <f aca="false">IF(J662="Yes",0,Scoring!$C$6)</f>
        <v>2</v>
      </c>
      <c r="P662" s="16" t="n">
        <f aca="false">IF(L662="Yes",0,Scoring!$C$7)</f>
        <v>0.5</v>
      </c>
      <c r="Q662" s="8" t="n">
        <f aca="false">ROUND(SUM(M662:P662),2)</f>
        <v>5.35</v>
      </c>
      <c r="R662" s="8" t="str">
        <f aca="false">IF(Q662&gt;=Scoring!$C$10-0.000001,"Keep","Remove")</f>
        <v>Remove</v>
      </c>
      <c r="S662" s="8" t="s">
        <v>7243</v>
      </c>
    </row>
    <row r="663" customFormat="false" ht="15" hidden="false" customHeight="false" outlineLevel="0" collapsed="false">
      <c r="A663" s="8" t="s">
        <v>4581</v>
      </c>
      <c r="B663" s="8" t="s">
        <v>4582</v>
      </c>
      <c r="C663" s="8" t="s">
        <v>178</v>
      </c>
      <c r="D663" s="8" t="s">
        <v>4583</v>
      </c>
      <c r="E663" s="8"/>
      <c r="F663" s="8" t="s">
        <v>78</v>
      </c>
      <c r="G663" s="8" t="n">
        <v>1</v>
      </c>
      <c r="H663" s="13" t="n">
        <v>4</v>
      </c>
      <c r="I663" s="8" t="n">
        <v>5</v>
      </c>
      <c r="J663" s="20" t="s">
        <v>259</v>
      </c>
      <c r="K663" s="8"/>
      <c r="L663" s="20" t="s">
        <v>259</v>
      </c>
      <c r="M663" s="16" t="n">
        <f aca="false">H663*Scoring!$C$5</f>
        <v>5.2</v>
      </c>
      <c r="N663" s="16" t="n">
        <f aca="false">IF(I663&gt;=5,1,IF(I663=4,0.75,IF(I663=3,0.5,IF(I663=2,0.25,0))))*Scoring!$C$8</f>
        <v>1</v>
      </c>
      <c r="O663" s="16" t="n">
        <f aca="false">IF(J663="Yes",0,Scoring!$C$6)</f>
        <v>2</v>
      </c>
      <c r="P663" s="16" t="n">
        <f aca="false">IF(L663="Yes",0,Scoring!$C$7)</f>
        <v>0.5</v>
      </c>
      <c r="Q663" s="8" t="n">
        <f aca="false">ROUND(SUM(M663:P663),2)</f>
        <v>8.7</v>
      </c>
      <c r="R663" s="8" t="str">
        <f aca="false">IF(Q663&gt;=Scoring!$C$10-0.000001,"Keep","Remove")</f>
        <v>Keep</v>
      </c>
      <c r="S663" s="8" t="s">
        <v>166</v>
      </c>
    </row>
    <row r="664" customFormat="false" ht="15" hidden="false" customHeight="false" outlineLevel="0" collapsed="false">
      <c r="A664" s="8" t="s">
        <v>4591</v>
      </c>
      <c r="B664" s="8" t="s">
        <v>4592</v>
      </c>
      <c r="C664" s="8" t="s">
        <v>178</v>
      </c>
      <c r="D664" s="8" t="s">
        <v>4583</v>
      </c>
      <c r="E664" s="8"/>
      <c r="F664" s="8" t="s">
        <v>80</v>
      </c>
      <c r="G664" s="8" t="n">
        <v>2</v>
      </c>
      <c r="H664" s="13" t="n">
        <v>3</v>
      </c>
      <c r="I664" s="8" t="n">
        <v>6</v>
      </c>
      <c r="J664" s="20" t="s">
        <v>259</v>
      </c>
      <c r="K664" s="8"/>
      <c r="L664" s="20" t="s">
        <v>259</v>
      </c>
      <c r="M664" s="16" t="n">
        <f aca="false">H664*Scoring!$C$5</f>
        <v>3.9</v>
      </c>
      <c r="N664" s="16" t="n">
        <f aca="false">IF(I664&gt;=5,1,IF(I664=4,0.75,IF(I664=3,0.5,IF(I664=2,0.25,0))))*Scoring!$C$8</f>
        <v>1</v>
      </c>
      <c r="O664" s="16" t="n">
        <f aca="false">IF(J664="Yes",0,Scoring!$C$6)</f>
        <v>2</v>
      </c>
      <c r="P664" s="16" t="n">
        <f aca="false">IF(L664="Yes",0,Scoring!$C$7)</f>
        <v>0.5</v>
      </c>
      <c r="Q664" s="8" t="n">
        <f aca="false">ROUND(SUM(M664:P664),2)</f>
        <v>7.4</v>
      </c>
      <c r="R664" s="8" t="str">
        <f aca="false">IF(Q664&gt;=Scoring!$C$10-0.000001,"Keep","Remove")</f>
        <v>Keep</v>
      </c>
      <c r="S664" s="8" t="s">
        <v>166</v>
      </c>
    </row>
    <row r="665" customFormat="false" ht="15" hidden="false" customHeight="false" outlineLevel="0" collapsed="false">
      <c r="A665" s="8" t="s">
        <v>4601</v>
      </c>
      <c r="B665" s="8" t="s">
        <v>4602</v>
      </c>
      <c r="C665" s="8" t="s">
        <v>178</v>
      </c>
      <c r="D665" s="8" t="s">
        <v>4583</v>
      </c>
      <c r="E665" s="8"/>
      <c r="F665" s="8" t="s">
        <v>80</v>
      </c>
      <c r="G665" s="8" t="n">
        <v>2</v>
      </c>
      <c r="H665" s="13" t="n">
        <v>3</v>
      </c>
      <c r="I665" s="8" t="n">
        <v>4</v>
      </c>
      <c r="J665" s="20" t="s">
        <v>259</v>
      </c>
      <c r="K665" s="8"/>
      <c r="L665" s="20" t="s">
        <v>259</v>
      </c>
      <c r="M665" s="16" t="n">
        <f aca="false">H665*Scoring!$C$5</f>
        <v>3.9</v>
      </c>
      <c r="N665" s="16" t="n">
        <f aca="false">IF(I665&gt;=5,1,IF(I665=4,0.75,IF(I665=3,0.5,IF(I665=2,0.25,0))))*Scoring!$C$8</f>
        <v>0.75</v>
      </c>
      <c r="O665" s="16" t="n">
        <f aca="false">IF(J665="Yes",0,Scoring!$C$6)</f>
        <v>2</v>
      </c>
      <c r="P665" s="16" t="n">
        <f aca="false">IF(L665="Yes",0,Scoring!$C$7)</f>
        <v>0.5</v>
      </c>
      <c r="Q665" s="8" t="n">
        <f aca="false">ROUND(SUM(M665:P665),2)</f>
        <v>7.15</v>
      </c>
      <c r="R665" s="8" t="str">
        <f aca="false">IF(Q665&gt;=Scoring!$C$10-0.000001,"Keep","Remove")</f>
        <v>Keep</v>
      </c>
      <c r="S665" s="8" t="s">
        <v>166</v>
      </c>
    </row>
    <row r="666" customFormat="false" ht="15" hidden="false" customHeight="false" outlineLevel="0" collapsed="false">
      <c r="A666" s="8" t="s">
        <v>7537</v>
      </c>
      <c r="B666" s="8" t="s">
        <v>7538</v>
      </c>
      <c r="C666" s="8" t="s">
        <v>178</v>
      </c>
      <c r="D666" s="8" t="s">
        <v>4583</v>
      </c>
      <c r="E666" s="8"/>
      <c r="F666" s="8" t="s">
        <v>80</v>
      </c>
      <c r="G666" s="8" t="n">
        <v>3</v>
      </c>
      <c r="H666" s="13" t="n">
        <v>2</v>
      </c>
      <c r="I666" s="8" t="n">
        <v>4</v>
      </c>
      <c r="J666" s="20" t="s">
        <v>259</v>
      </c>
      <c r="K666" s="8"/>
      <c r="L666" s="20" t="s">
        <v>259</v>
      </c>
      <c r="M666" s="16" t="n">
        <f aca="false">H666*Scoring!$C$5</f>
        <v>2.6</v>
      </c>
      <c r="N666" s="16" t="n">
        <f aca="false">IF(I666&gt;=5,1,IF(I666=4,0.75,IF(I666=3,0.5,IF(I666=2,0.25,0))))*Scoring!$C$8</f>
        <v>0.75</v>
      </c>
      <c r="O666" s="16" t="n">
        <f aca="false">IF(J666="Yes",0,Scoring!$C$6)</f>
        <v>2</v>
      </c>
      <c r="P666" s="16" t="n">
        <f aca="false">IF(L666="Yes",0,Scoring!$C$7)</f>
        <v>0.5</v>
      </c>
      <c r="Q666" s="8" t="n">
        <f aca="false">ROUND(SUM(M666:P666),2)</f>
        <v>5.85</v>
      </c>
      <c r="R666" s="8" t="str">
        <f aca="false">IF(Q666&gt;=Scoring!$C$10-0.000001,"Keep","Remove")</f>
        <v>Remove</v>
      </c>
      <c r="S666" s="8" t="s">
        <v>7243</v>
      </c>
    </row>
    <row r="667" customFormat="false" ht="15" hidden="false" customHeight="false" outlineLevel="0" collapsed="false">
      <c r="A667" s="8" t="s">
        <v>7342</v>
      </c>
      <c r="B667" s="8" t="s">
        <v>7343</v>
      </c>
      <c r="C667" s="8" t="s">
        <v>178</v>
      </c>
      <c r="D667" s="8" t="s">
        <v>4583</v>
      </c>
      <c r="E667" s="8"/>
      <c r="F667" s="8" t="s">
        <v>78</v>
      </c>
      <c r="G667" s="8" t="n">
        <v>3</v>
      </c>
      <c r="H667" s="13" t="n">
        <v>2</v>
      </c>
      <c r="I667" s="8" t="n">
        <v>5</v>
      </c>
      <c r="J667" s="20" t="s">
        <v>259</v>
      </c>
      <c r="K667" s="8"/>
      <c r="L667" s="20" t="s">
        <v>259</v>
      </c>
      <c r="M667" s="16" t="n">
        <f aca="false">H667*Scoring!$C$5</f>
        <v>2.6</v>
      </c>
      <c r="N667" s="16" t="n">
        <f aca="false">IF(I667&gt;=5,1,IF(I667=4,0.75,IF(I667=3,0.5,IF(I667=2,0.25,0))))*Scoring!$C$8</f>
        <v>1</v>
      </c>
      <c r="O667" s="16" t="n">
        <f aca="false">IF(J667="Yes",0,Scoring!$C$6)</f>
        <v>2</v>
      </c>
      <c r="P667" s="16" t="n">
        <f aca="false">IF(L667="Yes",0,Scoring!$C$7)</f>
        <v>0.5</v>
      </c>
      <c r="Q667" s="8" t="n">
        <f aca="false">ROUND(SUM(M667:P667),2)</f>
        <v>6.1</v>
      </c>
      <c r="R667" s="8" t="str">
        <f aca="false">IF(Q667&gt;=Scoring!$C$10-0.000001,"Keep","Remove")</f>
        <v>Remove</v>
      </c>
      <c r="S667" s="8" t="s">
        <v>7243</v>
      </c>
    </row>
    <row r="668" customFormat="false" ht="15" hidden="false" customHeight="false" outlineLevel="0" collapsed="false">
      <c r="A668" s="8" t="s">
        <v>4611</v>
      </c>
      <c r="B668" s="8" t="s">
        <v>4612</v>
      </c>
      <c r="C668" s="8" t="s">
        <v>178</v>
      </c>
      <c r="D668" s="8" t="s">
        <v>4613</v>
      </c>
      <c r="E668" s="8"/>
      <c r="F668" s="8" t="s">
        <v>81</v>
      </c>
      <c r="G668" s="8" t="n">
        <v>1</v>
      </c>
      <c r="H668" s="13" t="n">
        <v>4</v>
      </c>
      <c r="I668" s="8" t="n">
        <v>5</v>
      </c>
      <c r="J668" s="20" t="s">
        <v>259</v>
      </c>
      <c r="K668" s="8"/>
      <c r="L668" s="20" t="s">
        <v>259</v>
      </c>
      <c r="M668" s="16" t="n">
        <f aca="false">H668*Scoring!$C$5</f>
        <v>5.2</v>
      </c>
      <c r="N668" s="16" t="n">
        <f aca="false">IF(I668&gt;=5,1,IF(I668=4,0.75,IF(I668=3,0.5,IF(I668=2,0.25,0))))*Scoring!$C$8</f>
        <v>1</v>
      </c>
      <c r="O668" s="16" t="n">
        <f aca="false">IF(J668="Yes",0,Scoring!$C$6)</f>
        <v>2</v>
      </c>
      <c r="P668" s="16" t="n">
        <f aca="false">IF(L668="Yes",0,Scoring!$C$7)</f>
        <v>0.5</v>
      </c>
      <c r="Q668" s="8" t="n">
        <f aca="false">ROUND(SUM(M668:P668),2)</f>
        <v>8.7</v>
      </c>
      <c r="R668" s="8" t="str">
        <f aca="false">IF(Q668&gt;=Scoring!$C$10-0.000001,"Keep","Remove")</f>
        <v>Keep</v>
      </c>
      <c r="S668" s="8" t="s">
        <v>166</v>
      </c>
    </row>
    <row r="669" customFormat="false" ht="15" hidden="false" customHeight="false" outlineLevel="0" collapsed="false">
      <c r="A669" s="8" t="s">
        <v>4621</v>
      </c>
      <c r="B669" s="8" t="s">
        <v>4622</v>
      </c>
      <c r="C669" s="8" t="s">
        <v>178</v>
      </c>
      <c r="D669" s="8" t="s">
        <v>4613</v>
      </c>
      <c r="E669" s="8"/>
      <c r="F669" s="8" t="s">
        <v>81</v>
      </c>
      <c r="G669" s="8" t="n">
        <v>1</v>
      </c>
      <c r="H669" s="13" t="n">
        <v>4</v>
      </c>
      <c r="I669" s="8" t="n">
        <v>6</v>
      </c>
      <c r="J669" s="20" t="s">
        <v>259</v>
      </c>
      <c r="K669" s="8"/>
      <c r="L669" s="20" t="s">
        <v>259</v>
      </c>
      <c r="M669" s="16" t="n">
        <f aca="false">H669*Scoring!$C$5</f>
        <v>5.2</v>
      </c>
      <c r="N669" s="16" t="n">
        <f aca="false">IF(I669&gt;=5,1,IF(I669=4,0.75,IF(I669=3,0.5,IF(I669=2,0.25,0))))*Scoring!$C$8</f>
        <v>1</v>
      </c>
      <c r="O669" s="16" t="n">
        <f aca="false">IF(J669="Yes",0,Scoring!$C$6)</f>
        <v>2</v>
      </c>
      <c r="P669" s="16" t="n">
        <f aca="false">IF(L669="Yes",0,Scoring!$C$7)</f>
        <v>0.5</v>
      </c>
      <c r="Q669" s="8" t="n">
        <f aca="false">ROUND(SUM(M669:P669),2)</f>
        <v>8.7</v>
      </c>
      <c r="R669" s="8" t="str">
        <f aca="false">IF(Q669&gt;=Scoring!$C$10-0.000001,"Keep","Remove")</f>
        <v>Keep</v>
      </c>
      <c r="S669" s="8" t="s">
        <v>166</v>
      </c>
    </row>
    <row r="670" customFormat="false" ht="15" hidden="false" customHeight="false" outlineLevel="0" collapsed="false">
      <c r="A670" s="8" t="s">
        <v>4632</v>
      </c>
      <c r="B670" s="8" t="s">
        <v>4633</v>
      </c>
      <c r="C670" s="8" t="s">
        <v>178</v>
      </c>
      <c r="D670" s="8" t="s">
        <v>4613</v>
      </c>
      <c r="E670" s="8"/>
      <c r="F670" s="8" t="s">
        <v>78</v>
      </c>
      <c r="G670" s="8" t="n">
        <v>2</v>
      </c>
      <c r="H670" s="13" t="n">
        <v>3</v>
      </c>
      <c r="I670" s="8" t="n">
        <v>5</v>
      </c>
      <c r="J670" s="20" t="s">
        <v>259</v>
      </c>
      <c r="K670" s="8"/>
      <c r="L670" s="20" t="s">
        <v>259</v>
      </c>
      <c r="M670" s="16" t="n">
        <f aca="false">H670*Scoring!$C$5</f>
        <v>3.9</v>
      </c>
      <c r="N670" s="16" t="n">
        <f aca="false">IF(I670&gt;=5,1,IF(I670=4,0.75,IF(I670=3,0.5,IF(I670=2,0.25,0))))*Scoring!$C$8</f>
        <v>1</v>
      </c>
      <c r="O670" s="16" t="n">
        <f aca="false">IF(J670="Yes",0,Scoring!$C$6)</f>
        <v>2</v>
      </c>
      <c r="P670" s="16" t="n">
        <f aca="false">IF(L670="Yes",0,Scoring!$C$7)</f>
        <v>0.5</v>
      </c>
      <c r="Q670" s="8" t="n">
        <f aca="false">ROUND(SUM(M670:P670),2)</f>
        <v>7.4</v>
      </c>
      <c r="R670" s="8" t="str">
        <f aca="false">IF(Q670&gt;=Scoring!$C$10-0.000001,"Keep","Remove")</f>
        <v>Keep</v>
      </c>
      <c r="S670" s="8" t="s">
        <v>166</v>
      </c>
    </row>
    <row r="671" customFormat="false" ht="15" hidden="false" customHeight="false" outlineLevel="0" collapsed="false">
      <c r="A671" s="8" t="s">
        <v>4643</v>
      </c>
      <c r="B671" s="8" t="s">
        <v>4644</v>
      </c>
      <c r="C671" s="8" t="s">
        <v>178</v>
      </c>
      <c r="D671" s="8" t="s">
        <v>4613</v>
      </c>
      <c r="E671" s="8"/>
      <c r="F671" s="8" t="s">
        <v>78</v>
      </c>
      <c r="G671" s="8" t="n">
        <v>2</v>
      </c>
      <c r="H671" s="13" t="n">
        <v>3</v>
      </c>
      <c r="I671" s="8" t="n">
        <v>5</v>
      </c>
      <c r="J671" s="20" t="s">
        <v>259</v>
      </c>
      <c r="K671" s="8"/>
      <c r="L671" s="20" t="s">
        <v>259</v>
      </c>
      <c r="M671" s="16" t="n">
        <f aca="false">H671*Scoring!$C$5</f>
        <v>3.9</v>
      </c>
      <c r="N671" s="16" t="n">
        <f aca="false">IF(I671&gt;=5,1,IF(I671=4,0.75,IF(I671=3,0.5,IF(I671=2,0.25,0))))*Scoring!$C$8</f>
        <v>1</v>
      </c>
      <c r="O671" s="16" t="n">
        <f aca="false">IF(J671="Yes",0,Scoring!$C$6)</f>
        <v>2</v>
      </c>
      <c r="P671" s="16" t="n">
        <f aca="false">IF(L671="Yes",0,Scoring!$C$7)</f>
        <v>0.5</v>
      </c>
      <c r="Q671" s="8" t="n">
        <f aca="false">ROUND(SUM(M671:P671),2)</f>
        <v>7.4</v>
      </c>
      <c r="R671" s="8" t="str">
        <f aca="false">IF(Q671&gt;=Scoring!$C$10-0.000001,"Keep","Remove")</f>
        <v>Keep</v>
      </c>
      <c r="S671" s="8" t="s">
        <v>166</v>
      </c>
    </row>
    <row r="672" customFormat="false" ht="15" hidden="false" customHeight="false" outlineLevel="0" collapsed="false">
      <c r="A672" s="8" t="s">
        <v>4652</v>
      </c>
      <c r="B672" s="8" t="s">
        <v>4653</v>
      </c>
      <c r="C672" s="8" t="s">
        <v>178</v>
      </c>
      <c r="D672" s="8" t="s">
        <v>4613</v>
      </c>
      <c r="E672" s="8"/>
      <c r="F672" s="8" t="s">
        <v>87</v>
      </c>
      <c r="G672" s="8" t="n">
        <v>1</v>
      </c>
      <c r="H672" s="13" t="n">
        <v>5</v>
      </c>
      <c r="I672" s="8" t="n">
        <v>3</v>
      </c>
      <c r="J672" s="20" t="s">
        <v>259</v>
      </c>
      <c r="K672" s="8"/>
      <c r="L672" s="20" t="s">
        <v>259</v>
      </c>
      <c r="M672" s="16" t="n">
        <f aca="false">H672*Scoring!$C$5</f>
        <v>6.5</v>
      </c>
      <c r="N672" s="16" t="n">
        <f aca="false">IF(I672&gt;=5,1,IF(I672=4,0.75,IF(I672=3,0.5,IF(I672=2,0.25,0))))*Scoring!$C$8</f>
        <v>0.5</v>
      </c>
      <c r="O672" s="16" t="n">
        <f aca="false">IF(J672="Yes",0,Scoring!$C$6)</f>
        <v>2</v>
      </c>
      <c r="P672" s="16" t="n">
        <f aca="false">IF(L672="Yes",0,Scoring!$C$7)</f>
        <v>0.5</v>
      </c>
      <c r="Q672" s="8" t="n">
        <f aca="false">ROUND(SUM(M672:P672),2)</f>
        <v>9.5</v>
      </c>
      <c r="R672" s="8" t="str">
        <f aca="false">IF(Q672&gt;=Scoring!$C$10-0.000001,"Keep","Remove")</f>
        <v>Keep</v>
      </c>
      <c r="S672" s="8" t="s">
        <v>166</v>
      </c>
    </row>
    <row r="673" customFormat="false" ht="15" hidden="false" customHeight="false" outlineLevel="0" collapsed="false">
      <c r="A673" s="8" t="s">
        <v>4663</v>
      </c>
      <c r="B673" s="8" t="s">
        <v>4664</v>
      </c>
      <c r="C673" s="8" t="s">
        <v>178</v>
      </c>
      <c r="D673" s="8" t="s">
        <v>4613</v>
      </c>
      <c r="E673" s="8"/>
      <c r="F673" s="8" t="s">
        <v>86</v>
      </c>
      <c r="G673" s="8" t="n">
        <v>2</v>
      </c>
      <c r="H673" s="13" t="n">
        <v>3</v>
      </c>
      <c r="I673" s="8" t="n">
        <v>4</v>
      </c>
      <c r="J673" s="20" t="s">
        <v>259</v>
      </c>
      <c r="K673" s="8"/>
      <c r="L673" s="20" t="s">
        <v>259</v>
      </c>
      <c r="M673" s="16" t="n">
        <f aca="false">H673*Scoring!$C$5</f>
        <v>3.9</v>
      </c>
      <c r="N673" s="16" t="n">
        <f aca="false">IF(I673&gt;=5,1,IF(I673=4,0.75,IF(I673=3,0.5,IF(I673=2,0.25,0))))*Scoring!$C$8</f>
        <v>0.75</v>
      </c>
      <c r="O673" s="16" t="n">
        <f aca="false">IF(J673="Yes",0,Scoring!$C$6)</f>
        <v>2</v>
      </c>
      <c r="P673" s="16" t="n">
        <f aca="false">IF(L673="Yes",0,Scoring!$C$7)</f>
        <v>0.5</v>
      </c>
      <c r="Q673" s="8" t="n">
        <f aca="false">ROUND(SUM(M673:P673),2)</f>
        <v>7.15</v>
      </c>
      <c r="R673" s="8" t="str">
        <f aca="false">IF(Q673&gt;=Scoring!$C$10-0.000001,"Keep","Remove")</f>
        <v>Keep</v>
      </c>
      <c r="S673" s="8" t="s">
        <v>166</v>
      </c>
    </row>
    <row r="674" customFormat="false" ht="15" hidden="false" customHeight="false" outlineLevel="0" collapsed="false">
      <c r="A674" s="8" t="s">
        <v>7539</v>
      </c>
      <c r="B674" s="8" t="s">
        <v>7540</v>
      </c>
      <c r="C674" s="8" t="s">
        <v>178</v>
      </c>
      <c r="D674" s="8" t="s">
        <v>4613</v>
      </c>
      <c r="E674" s="8"/>
      <c r="F674" s="8" t="s">
        <v>78</v>
      </c>
      <c r="G674" s="8" t="n">
        <v>3</v>
      </c>
      <c r="H674" s="13" t="n">
        <v>2</v>
      </c>
      <c r="I674" s="8" t="n">
        <v>4</v>
      </c>
      <c r="J674" s="20" t="s">
        <v>259</v>
      </c>
      <c r="K674" s="8"/>
      <c r="L674" s="20" t="s">
        <v>259</v>
      </c>
      <c r="M674" s="16" t="n">
        <f aca="false">H674*Scoring!$C$5</f>
        <v>2.6</v>
      </c>
      <c r="N674" s="16" t="n">
        <f aca="false">IF(I674&gt;=5,1,IF(I674=4,0.75,IF(I674=3,0.5,IF(I674=2,0.25,0))))*Scoring!$C$8</f>
        <v>0.75</v>
      </c>
      <c r="O674" s="16" t="n">
        <f aca="false">IF(J674="Yes",0,Scoring!$C$6)</f>
        <v>2</v>
      </c>
      <c r="P674" s="16" t="n">
        <f aca="false">IF(L674="Yes",0,Scoring!$C$7)</f>
        <v>0.5</v>
      </c>
      <c r="Q674" s="8" t="n">
        <f aca="false">ROUND(SUM(M674:P674),2)</f>
        <v>5.85</v>
      </c>
      <c r="R674" s="8" t="str">
        <f aca="false">IF(Q674&gt;=Scoring!$C$10-0.000001,"Keep","Remove")</f>
        <v>Remove</v>
      </c>
      <c r="S674" s="8" t="s">
        <v>7243</v>
      </c>
    </row>
    <row r="675" customFormat="false" ht="15" hidden="false" customHeight="false" outlineLevel="0" collapsed="false">
      <c r="A675" s="8" t="s">
        <v>4672</v>
      </c>
      <c r="B675" s="8" t="s">
        <v>4673</v>
      </c>
      <c r="C675" s="8" t="s">
        <v>178</v>
      </c>
      <c r="D675" s="8" t="s">
        <v>4613</v>
      </c>
      <c r="E675" s="8"/>
      <c r="F675" s="8" t="s">
        <v>80</v>
      </c>
      <c r="G675" s="8" t="n">
        <v>1</v>
      </c>
      <c r="H675" s="13" t="n">
        <v>5</v>
      </c>
      <c r="I675" s="8" t="n">
        <v>4</v>
      </c>
      <c r="J675" s="20" t="s">
        <v>259</v>
      </c>
      <c r="K675" s="8"/>
      <c r="L675" s="20" t="s">
        <v>259</v>
      </c>
      <c r="M675" s="16" t="n">
        <f aca="false">H675*Scoring!$C$5</f>
        <v>6.5</v>
      </c>
      <c r="N675" s="16" t="n">
        <f aca="false">IF(I675&gt;=5,1,IF(I675=4,0.75,IF(I675=3,0.5,IF(I675=2,0.25,0))))*Scoring!$C$8</f>
        <v>0.75</v>
      </c>
      <c r="O675" s="16" t="n">
        <f aca="false">IF(J675="Yes",0,Scoring!$C$6)</f>
        <v>2</v>
      </c>
      <c r="P675" s="16" t="n">
        <f aca="false">IF(L675="Yes",0,Scoring!$C$7)</f>
        <v>0.5</v>
      </c>
      <c r="Q675" s="8" t="n">
        <f aca="false">ROUND(SUM(M675:P675),2)</f>
        <v>9.75</v>
      </c>
      <c r="R675" s="8" t="str">
        <f aca="false">IF(Q675&gt;=Scoring!$C$10-0.000001,"Keep","Remove")</f>
        <v>Keep</v>
      </c>
      <c r="S675" s="8" t="s">
        <v>166</v>
      </c>
    </row>
    <row r="676" customFormat="false" ht="15" hidden="false" customHeight="false" outlineLevel="0" collapsed="false">
      <c r="A676" s="8" t="s">
        <v>4683</v>
      </c>
      <c r="B676" s="8" t="s">
        <v>4684</v>
      </c>
      <c r="C676" s="8" t="s">
        <v>178</v>
      </c>
      <c r="D676" s="8" t="s">
        <v>4613</v>
      </c>
      <c r="E676" s="8"/>
      <c r="F676" s="8" t="s">
        <v>86</v>
      </c>
      <c r="G676" s="8" t="n">
        <v>2</v>
      </c>
      <c r="H676" s="13" t="n">
        <v>3</v>
      </c>
      <c r="I676" s="8" t="n">
        <v>4</v>
      </c>
      <c r="J676" s="20" t="s">
        <v>259</v>
      </c>
      <c r="K676" s="8"/>
      <c r="L676" s="20" t="s">
        <v>259</v>
      </c>
      <c r="M676" s="16" t="n">
        <f aca="false">H676*Scoring!$C$5</f>
        <v>3.9</v>
      </c>
      <c r="N676" s="16" t="n">
        <f aca="false">IF(I676&gt;=5,1,IF(I676=4,0.75,IF(I676=3,0.5,IF(I676=2,0.25,0))))*Scoring!$C$8</f>
        <v>0.75</v>
      </c>
      <c r="O676" s="16" t="n">
        <f aca="false">IF(J676="Yes",0,Scoring!$C$6)</f>
        <v>2</v>
      </c>
      <c r="P676" s="16" t="n">
        <f aca="false">IF(L676="Yes",0,Scoring!$C$7)</f>
        <v>0.5</v>
      </c>
      <c r="Q676" s="8" t="n">
        <f aca="false">ROUND(SUM(M676:P676),2)</f>
        <v>7.15</v>
      </c>
      <c r="R676" s="8" t="str">
        <f aca="false">IF(Q676&gt;=Scoring!$C$10-0.000001,"Keep","Remove")</f>
        <v>Keep</v>
      </c>
      <c r="S676" s="8" t="s">
        <v>166</v>
      </c>
    </row>
    <row r="677" customFormat="false" ht="15" hidden="false" customHeight="false" outlineLevel="0" collapsed="false">
      <c r="A677" s="8" t="s">
        <v>7541</v>
      </c>
      <c r="B677" s="8" t="s">
        <v>7542</v>
      </c>
      <c r="C677" s="8" t="s">
        <v>178</v>
      </c>
      <c r="D677" s="8" t="s">
        <v>4613</v>
      </c>
      <c r="E677" s="8"/>
      <c r="F677" s="8" t="s">
        <v>86</v>
      </c>
      <c r="G677" s="8" t="n">
        <v>3</v>
      </c>
      <c r="H677" s="13" t="n">
        <v>2</v>
      </c>
      <c r="I677" s="8" t="n">
        <v>4</v>
      </c>
      <c r="J677" s="20" t="s">
        <v>259</v>
      </c>
      <c r="K677" s="8"/>
      <c r="L677" s="20" t="s">
        <v>259</v>
      </c>
      <c r="M677" s="16" t="n">
        <f aca="false">H677*Scoring!$C$5</f>
        <v>2.6</v>
      </c>
      <c r="N677" s="16" t="n">
        <f aca="false">IF(I677&gt;=5,1,IF(I677=4,0.75,IF(I677=3,0.5,IF(I677=2,0.25,0))))*Scoring!$C$8</f>
        <v>0.75</v>
      </c>
      <c r="O677" s="16" t="n">
        <f aca="false">IF(J677="Yes",0,Scoring!$C$6)</f>
        <v>2</v>
      </c>
      <c r="P677" s="16" t="n">
        <f aca="false">IF(L677="Yes",0,Scoring!$C$7)</f>
        <v>0.5</v>
      </c>
      <c r="Q677" s="8" t="n">
        <f aca="false">ROUND(SUM(M677:P677),2)</f>
        <v>5.85</v>
      </c>
      <c r="R677" s="8" t="str">
        <f aca="false">IF(Q677&gt;=Scoring!$C$10-0.000001,"Keep","Remove")</f>
        <v>Remove</v>
      </c>
      <c r="S677" s="8" t="s">
        <v>7243</v>
      </c>
    </row>
    <row r="678" customFormat="false" ht="15" hidden="false" customHeight="false" outlineLevel="0" collapsed="false">
      <c r="A678" s="8" t="s">
        <v>7543</v>
      </c>
      <c r="B678" s="8" t="s">
        <v>7544</v>
      </c>
      <c r="C678" s="8" t="s">
        <v>178</v>
      </c>
      <c r="D678" s="8" t="s">
        <v>4613</v>
      </c>
      <c r="E678" s="8"/>
      <c r="F678" s="8" t="s">
        <v>78</v>
      </c>
      <c r="G678" s="8" t="n">
        <v>3</v>
      </c>
      <c r="H678" s="13" t="n">
        <v>2</v>
      </c>
      <c r="I678" s="8" t="n">
        <v>4</v>
      </c>
      <c r="J678" s="20" t="s">
        <v>259</v>
      </c>
      <c r="K678" s="8"/>
      <c r="L678" s="20" t="s">
        <v>259</v>
      </c>
      <c r="M678" s="16" t="n">
        <f aca="false">H678*Scoring!$C$5</f>
        <v>2.6</v>
      </c>
      <c r="N678" s="16" t="n">
        <f aca="false">IF(I678&gt;=5,1,IF(I678=4,0.75,IF(I678=3,0.5,IF(I678=2,0.25,0))))*Scoring!$C$8</f>
        <v>0.75</v>
      </c>
      <c r="O678" s="16" t="n">
        <f aca="false">IF(J678="Yes",0,Scoring!$C$6)</f>
        <v>2</v>
      </c>
      <c r="P678" s="16" t="n">
        <f aca="false">IF(L678="Yes",0,Scoring!$C$7)</f>
        <v>0.5</v>
      </c>
      <c r="Q678" s="8" t="n">
        <f aca="false">ROUND(SUM(M678:P678),2)</f>
        <v>5.85</v>
      </c>
      <c r="R678" s="8" t="str">
        <f aca="false">IF(Q678&gt;=Scoring!$C$10-0.000001,"Keep","Remove")</f>
        <v>Remove</v>
      </c>
      <c r="S678" s="8" t="s">
        <v>7243</v>
      </c>
    </row>
    <row r="679" customFormat="false" ht="15" hidden="false" customHeight="false" outlineLevel="0" collapsed="false">
      <c r="A679" s="8" t="s">
        <v>7344</v>
      </c>
      <c r="B679" s="8" t="s">
        <v>7345</v>
      </c>
      <c r="C679" s="8" t="s">
        <v>178</v>
      </c>
      <c r="D679" s="8" t="s">
        <v>4613</v>
      </c>
      <c r="E679" s="8"/>
      <c r="F679" s="8" t="s">
        <v>80</v>
      </c>
      <c r="G679" s="8" t="n">
        <v>3</v>
      </c>
      <c r="H679" s="13" t="n">
        <v>2</v>
      </c>
      <c r="I679" s="8" t="n">
        <v>5</v>
      </c>
      <c r="J679" s="20" t="s">
        <v>259</v>
      </c>
      <c r="K679" s="8"/>
      <c r="L679" s="20" t="s">
        <v>259</v>
      </c>
      <c r="M679" s="16" t="n">
        <f aca="false">H679*Scoring!$C$5</f>
        <v>2.6</v>
      </c>
      <c r="N679" s="16" t="n">
        <f aca="false">IF(I679&gt;=5,1,IF(I679=4,0.75,IF(I679=3,0.5,IF(I679=2,0.25,0))))*Scoring!$C$8</f>
        <v>1</v>
      </c>
      <c r="O679" s="16" t="n">
        <f aca="false">IF(J679="Yes",0,Scoring!$C$6)</f>
        <v>2</v>
      </c>
      <c r="P679" s="16" t="n">
        <f aca="false">IF(L679="Yes",0,Scoring!$C$7)</f>
        <v>0.5</v>
      </c>
      <c r="Q679" s="8" t="n">
        <f aca="false">ROUND(SUM(M679:P679),2)</f>
        <v>6.1</v>
      </c>
      <c r="R679" s="8" t="str">
        <f aca="false">IF(Q679&gt;=Scoring!$C$10-0.000001,"Keep","Remove")</f>
        <v>Remove</v>
      </c>
      <c r="S679" s="8" t="s">
        <v>7243</v>
      </c>
    </row>
    <row r="680" customFormat="false" ht="15" hidden="false" customHeight="false" outlineLevel="0" collapsed="false">
      <c r="A680" s="8" t="s">
        <v>7771</v>
      </c>
      <c r="B680" s="8" t="s">
        <v>7772</v>
      </c>
      <c r="C680" s="8" t="s">
        <v>178</v>
      </c>
      <c r="D680" s="8" t="s">
        <v>4693</v>
      </c>
      <c r="E680" s="8"/>
      <c r="F680" s="8" t="s">
        <v>78</v>
      </c>
      <c r="G680" s="8" t="n">
        <v>2</v>
      </c>
      <c r="H680" s="13" t="n">
        <v>3</v>
      </c>
      <c r="I680" s="8" t="n">
        <v>5</v>
      </c>
      <c r="J680" s="20" t="s">
        <v>218</v>
      </c>
      <c r="K680" s="8" t="s">
        <v>8182</v>
      </c>
      <c r="L680" s="20" t="s">
        <v>259</v>
      </c>
      <c r="M680" s="16" t="n">
        <f aca="false">H680*Scoring!$C$5</f>
        <v>3.9</v>
      </c>
      <c r="N680" s="16" t="n">
        <f aca="false">IF(I680&gt;=5,1,IF(I680=4,0.75,IF(I680=3,0.5,IF(I680=2,0.25,0))))*Scoring!$C$8</f>
        <v>1</v>
      </c>
      <c r="O680" s="16" t="n">
        <f aca="false">IF(J680="Yes",0,Scoring!$C$6)</f>
        <v>0</v>
      </c>
      <c r="P680" s="16" t="n">
        <f aca="false">IF(L680="Yes",0,Scoring!$C$7)</f>
        <v>0.5</v>
      </c>
      <c r="Q680" s="8" t="n">
        <f aca="false">ROUND(SUM(M680:P680),2)</f>
        <v>5.4</v>
      </c>
      <c r="R680" s="8" t="str">
        <f aca="false">IF(Q680&gt;=Scoring!$C$10-0.000001,"Keep","Remove")</f>
        <v>Remove</v>
      </c>
      <c r="S680" s="8" t="s">
        <v>7773</v>
      </c>
    </row>
    <row r="681" customFormat="false" ht="15" hidden="false" customHeight="false" outlineLevel="0" collapsed="false">
      <c r="A681" s="8" t="s">
        <v>4691</v>
      </c>
      <c r="B681" s="8" t="s">
        <v>4692</v>
      </c>
      <c r="C681" s="8" t="s">
        <v>178</v>
      </c>
      <c r="D681" s="8" t="s">
        <v>4693</v>
      </c>
      <c r="E681" s="8"/>
      <c r="F681" s="8" t="s">
        <v>80</v>
      </c>
      <c r="G681" s="8" t="n">
        <v>1</v>
      </c>
      <c r="H681" s="13" t="n">
        <v>5</v>
      </c>
      <c r="I681" s="8" t="n">
        <v>4</v>
      </c>
      <c r="J681" s="20" t="s">
        <v>259</v>
      </c>
      <c r="K681" s="8"/>
      <c r="L681" s="20" t="s">
        <v>259</v>
      </c>
      <c r="M681" s="16" t="n">
        <f aca="false">H681*Scoring!$C$5</f>
        <v>6.5</v>
      </c>
      <c r="N681" s="16" t="n">
        <f aca="false">IF(I681&gt;=5,1,IF(I681=4,0.75,IF(I681=3,0.5,IF(I681=2,0.25,0))))*Scoring!$C$8</f>
        <v>0.75</v>
      </c>
      <c r="O681" s="16" t="n">
        <f aca="false">IF(J681="Yes",0,Scoring!$C$6)</f>
        <v>2</v>
      </c>
      <c r="P681" s="16" t="n">
        <f aca="false">IF(L681="Yes",0,Scoring!$C$7)</f>
        <v>0.5</v>
      </c>
      <c r="Q681" s="8" t="n">
        <f aca="false">ROUND(SUM(M681:P681),2)</f>
        <v>9.75</v>
      </c>
      <c r="R681" s="8" t="str">
        <f aca="false">IF(Q681&gt;=Scoring!$C$10-0.000001,"Keep","Remove")</f>
        <v>Keep</v>
      </c>
      <c r="S681" s="8" t="s">
        <v>166</v>
      </c>
    </row>
    <row r="682" customFormat="false" ht="15" hidden="false" customHeight="false" outlineLevel="0" collapsed="false">
      <c r="A682" s="8" t="s">
        <v>7545</v>
      </c>
      <c r="B682" s="8" t="s">
        <v>7546</v>
      </c>
      <c r="C682" s="8" t="s">
        <v>178</v>
      </c>
      <c r="D682" s="8" t="s">
        <v>4693</v>
      </c>
      <c r="E682" s="8"/>
      <c r="F682" s="8" t="s">
        <v>78</v>
      </c>
      <c r="G682" s="8" t="n">
        <v>3</v>
      </c>
      <c r="H682" s="13" t="n">
        <v>2</v>
      </c>
      <c r="I682" s="8" t="n">
        <v>4</v>
      </c>
      <c r="J682" s="20" t="s">
        <v>259</v>
      </c>
      <c r="K682" s="8"/>
      <c r="L682" s="20" t="s">
        <v>259</v>
      </c>
      <c r="M682" s="16" t="n">
        <f aca="false">H682*Scoring!$C$5</f>
        <v>2.6</v>
      </c>
      <c r="N682" s="16" t="n">
        <f aca="false">IF(I682&gt;=5,1,IF(I682=4,0.75,IF(I682=3,0.5,IF(I682=2,0.25,0))))*Scoring!$C$8</f>
        <v>0.75</v>
      </c>
      <c r="O682" s="16" t="n">
        <f aca="false">IF(J682="Yes",0,Scoring!$C$6)</f>
        <v>2</v>
      </c>
      <c r="P682" s="16" t="n">
        <f aca="false">IF(L682="Yes",0,Scoring!$C$7)</f>
        <v>0.5</v>
      </c>
      <c r="Q682" s="8" t="n">
        <f aca="false">ROUND(SUM(M682:P682),2)</f>
        <v>5.85</v>
      </c>
      <c r="R682" s="8" t="str">
        <f aca="false">IF(Q682&gt;=Scoring!$C$10-0.000001,"Keep","Remove")</f>
        <v>Remove</v>
      </c>
      <c r="S682" s="8" t="s">
        <v>7243</v>
      </c>
    </row>
    <row r="683" customFormat="false" ht="15" hidden="false" customHeight="false" outlineLevel="0" collapsed="false">
      <c r="A683" s="8" t="s">
        <v>4699</v>
      </c>
      <c r="B683" s="8" t="s">
        <v>4700</v>
      </c>
      <c r="C683" s="8" t="s">
        <v>178</v>
      </c>
      <c r="D683" s="8" t="s">
        <v>4701</v>
      </c>
      <c r="E683" s="8"/>
      <c r="F683" s="8" t="s">
        <v>80</v>
      </c>
      <c r="G683" s="8" t="n">
        <v>2</v>
      </c>
      <c r="H683" s="13" t="n">
        <v>3</v>
      </c>
      <c r="I683" s="8" t="n">
        <v>4</v>
      </c>
      <c r="J683" s="20" t="s">
        <v>259</v>
      </c>
      <c r="K683" s="8"/>
      <c r="L683" s="20" t="s">
        <v>259</v>
      </c>
      <c r="M683" s="16" t="n">
        <f aca="false">H683*Scoring!$C$5</f>
        <v>3.9</v>
      </c>
      <c r="N683" s="16" t="n">
        <f aca="false">IF(I683&gt;=5,1,IF(I683=4,0.75,IF(I683=3,0.5,IF(I683=2,0.25,0))))*Scoring!$C$8</f>
        <v>0.75</v>
      </c>
      <c r="O683" s="16" t="n">
        <f aca="false">IF(J683="Yes",0,Scoring!$C$6)</f>
        <v>2</v>
      </c>
      <c r="P683" s="16" t="n">
        <f aca="false">IF(L683="Yes",0,Scoring!$C$7)</f>
        <v>0.5</v>
      </c>
      <c r="Q683" s="8" t="n">
        <f aca="false">ROUND(SUM(M683:P683),2)</f>
        <v>7.15</v>
      </c>
      <c r="R683" s="8" t="str">
        <f aca="false">IF(Q683&gt;=Scoring!$C$10-0.000001,"Keep","Remove")</f>
        <v>Keep</v>
      </c>
      <c r="S683" s="8" t="s">
        <v>166</v>
      </c>
    </row>
    <row r="684" customFormat="false" ht="15" hidden="false" customHeight="false" outlineLevel="0" collapsed="false">
      <c r="A684" s="8" t="s">
        <v>7346</v>
      </c>
      <c r="B684" s="8" t="s">
        <v>7347</v>
      </c>
      <c r="C684" s="8" t="s">
        <v>178</v>
      </c>
      <c r="D684" s="8" t="s">
        <v>4701</v>
      </c>
      <c r="E684" s="8"/>
      <c r="F684" s="8" t="s">
        <v>79</v>
      </c>
      <c r="G684" s="8" t="n">
        <v>3</v>
      </c>
      <c r="H684" s="13" t="n">
        <v>2</v>
      </c>
      <c r="I684" s="8" t="n">
        <v>5</v>
      </c>
      <c r="J684" s="20" t="s">
        <v>259</v>
      </c>
      <c r="K684" s="8"/>
      <c r="L684" s="20" t="s">
        <v>259</v>
      </c>
      <c r="M684" s="16" t="n">
        <f aca="false">H684*Scoring!$C$5</f>
        <v>2.6</v>
      </c>
      <c r="N684" s="16" t="n">
        <f aca="false">IF(I684&gt;=5,1,IF(I684=4,0.75,IF(I684=3,0.5,IF(I684=2,0.25,0))))*Scoring!$C$8</f>
        <v>1</v>
      </c>
      <c r="O684" s="16" t="n">
        <f aca="false">IF(J684="Yes",0,Scoring!$C$6)</f>
        <v>2</v>
      </c>
      <c r="P684" s="16" t="n">
        <f aca="false">IF(L684="Yes",0,Scoring!$C$7)</f>
        <v>0.5</v>
      </c>
      <c r="Q684" s="8" t="n">
        <f aca="false">ROUND(SUM(M684:P684),2)</f>
        <v>6.1</v>
      </c>
      <c r="R684" s="8" t="str">
        <f aca="false">IF(Q684&gt;=Scoring!$C$10-0.000001,"Keep","Remove")</f>
        <v>Remove</v>
      </c>
      <c r="S684" s="8" t="s">
        <v>7243</v>
      </c>
    </row>
    <row r="685" customFormat="false" ht="15" hidden="false" customHeight="false" outlineLevel="0" collapsed="false">
      <c r="A685" s="8" t="s">
        <v>7547</v>
      </c>
      <c r="B685" s="8" t="s">
        <v>7548</v>
      </c>
      <c r="C685" s="8" t="s">
        <v>178</v>
      </c>
      <c r="D685" s="8" t="s">
        <v>4701</v>
      </c>
      <c r="E685" s="8"/>
      <c r="F685" s="8" t="s">
        <v>79</v>
      </c>
      <c r="G685" s="8" t="n">
        <v>3</v>
      </c>
      <c r="H685" s="13" t="n">
        <v>2</v>
      </c>
      <c r="I685" s="8" t="n">
        <v>4</v>
      </c>
      <c r="J685" s="20" t="s">
        <v>259</v>
      </c>
      <c r="K685" s="8"/>
      <c r="L685" s="20" t="s">
        <v>259</v>
      </c>
      <c r="M685" s="16" t="n">
        <f aca="false">H685*Scoring!$C$5</f>
        <v>2.6</v>
      </c>
      <c r="N685" s="16" t="n">
        <f aca="false">IF(I685&gt;=5,1,IF(I685=4,0.75,IF(I685=3,0.5,IF(I685=2,0.25,0))))*Scoring!$C$8</f>
        <v>0.75</v>
      </c>
      <c r="O685" s="16" t="n">
        <f aca="false">IF(J685="Yes",0,Scoring!$C$6)</f>
        <v>2</v>
      </c>
      <c r="P685" s="16" t="n">
        <f aca="false">IF(L685="Yes",0,Scoring!$C$7)</f>
        <v>0.5</v>
      </c>
      <c r="Q685" s="8" t="n">
        <f aca="false">ROUND(SUM(M685:P685),2)</f>
        <v>5.85</v>
      </c>
      <c r="R685" s="8" t="str">
        <f aca="false">IF(Q685&gt;=Scoring!$C$10-0.000001,"Keep","Remove")</f>
        <v>Remove</v>
      </c>
      <c r="S685" s="8" t="s">
        <v>7243</v>
      </c>
    </row>
    <row r="686" customFormat="false" ht="15" hidden="false" customHeight="false" outlineLevel="0" collapsed="false">
      <c r="A686" s="8" t="s">
        <v>7717</v>
      </c>
      <c r="B686" s="8" t="s">
        <v>7718</v>
      </c>
      <c r="C686" s="8" t="s">
        <v>178</v>
      </c>
      <c r="D686" s="8" t="s">
        <v>4701</v>
      </c>
      <c r="E686" s="8"/>
      <c r="F686" s="8" t="s">
        <v>80</v>
      </c>
      <c r="G686" s="8" t="n">
        <v>3</v>
      </c>
      <c r="H686" s="13" t="n">
        <v>2</v>
      </c>
      <c r="I686" s="8" t="n">
        <v>3</v>
      </c>
      <c r="J686" s="20" t="s">
        <v>259</v>
      </c>
      <c r="K686" s="8"/>
      <c r="L686" s="20" t="s">
        <v>259</v>
      </c>
      <c r="M686" s="16" t="n">
        <f aca="false">H686*Scoring!$C$5</f>
        <v>2.6</v>
      </c>
      <c r="N686" s="16" t="n">
        <f aca="false">IF(I686&gt;=5,1,IF(I686=4,0.75,IF(I686=3,0.5,IF(I686=2,0.25,0))))*Scoring!$C$8</f>
        <v>0.5</v>
      </c>
      <c r="O686" s="16" t="n">
        <f aca="false">IF(J686="Yes",0,Scoring!$C$6)</f>
        <v>2</v>
      </c>
      <c r="P686" s="16" t="n">
        <f aca="false">IF(L686="Yes",0,Scoring!$C$7)</f>
        <v>0.5</v>
      </c>
      <c r="Q686" s="8" t="n">
        <f aca="false">ROUND(SUM(M686:P686),2)</f>
        <v>5.6</v>
      </c>
      <c r="R686" s="8" t="str">
        <f aca="false">IF(Q686&gt;=Scoring!$C$10-0.000001,"Keep","Remove")</f>
        <v>Remove</v>
      </c>
      <c r="S686" s="8" t="s">
        <v>7243</v>
      </c>
    </row>
    <row r="687" customFormat="false" ht="15" hidden="false" customHeight="false" outlineLevel="0" collapsed="false">
      <c r="A687" s="8" t="s">
        <v>4710</v>
      </c>
      <c r="B687" s="8" t="s">
        <v>4711</v>
      </c>
      <c r="C687" s="8" t="s">
        <v>178</v>
      </c>
      <c r="D687" s="8" t="s">
        <v>4713</v>
      </c>
      <c r="E687" s="8"/>
      <c r="F687" s="8" t="s">
        <v>78</v>
      </c>
      <c r="G687" s="8" t="n">
        <v>1</v>
      </c>
      <c r="H687" s="13" t="n">
        <v>4</v>
      </c>
      <c r="I687" s="8" t="n">
        <v>5</v>
      </c>
      <c r="J687" s="20" t="s">
        <v>259</v>
      </c>
      <c r="K687" s="8"/>
      <c r="L687" s="20" t="s">
        <v>259</v>
      </c>
      <c r="M687" s="16" t="n">
        <f aca="false">H687*Scoring!$C$5</f>
        <v>5.2</v>
      </c>
      <c r="N687" s="16" t="n">
        <f aca="false">IF(I687&gt;=5,1,IF(I687=4,0.75,IF(I687=3,0.5,IF(I687=2,0.25,0))))*Scoring!$C$8</f>
        <v>1</v>
      </c>
      <c r="O687" s="16" t="n">
        <f aca="false">IF(J687="Yes",0,Scoring!$C$6)</f>
        <v>2</v>
      </c>
      <c r="P687" s="16" t="n">
        <f aca="false">IF(L687="Yes",0,Scoring!$C$7)</f>
        <v>0.5</v>
      </c>
      <c r="Q687" s="8" t="n">
        <f aca="false">ROUND(SUM(M687:P687),2)</f>
        <v>8.7</v>
      </c>
      <c r="R687" s="8" t="str">
        <f aca="false">IF(Q687&gt;=Scoring!$C$10-0.000001,"Keep","Remove")</f>
        <v>Keep</v>
      </c>
      <c r="S687" s="8" t="s">
        <v>166</v>
      </c>
    </row>
    <row r="688" customFormat="false" ht="15" hidden="false" customHeight="false" outlineLevel="0" collapsed="false">
      <c r="A688" s="8" t="s">
        <v>4721</v>
      </c>
      <c r="B688" s="8" t="s">
        <v>4722</v>
      </c>
      <c r="C688" s="8" t="s">
        <v>178</v>
      </c>
      <c r="D688" s="8" t="s">
        <v>4713</v>
      </c>
      <c r="E688" s="8"/>
      <c r="F688" s="8" t="s">
        <v>79</v>
      </c>
      <c r="G688" s="8" t="n">
        <v>2</v>
      </c>
      <c r="H688" s="13" t="n">
        <v>3</v>
      </c>
      <c r="I688" s="8" t="n">
        <v>3</v>
      </c>
      <c r="J688" s="20" t="s">
        <v>259</v>
      </c>
      <c r="K688" s="8"/>
      <c r="L688" s="20" t="s">
        <v>259</v>
      </c>
      <c r="M688" s="16" t="n">
        <f aca="false">H688*Scoring!$C$5</f>
        <v>3.9</v>
      </c>
      <c r="N688" s="16" t="n">
        <f aca="false">IF(I688&gt;=5,1,IF(I688=4,0.75,IF(I688=3,0.5,IF(I688=2,0.25,0))))*Scoring!$C$8</f>
        <v>0.5</v>
      </c>
      <c r="O688" s="16" t="n">
        <f aca="false">IF(J688="Yes",0,Scoring!$C$6)</f>
        <v>2</v>
      </c>
      <c r="P688" s="16" t="n">
        <f aca="false">IF(L688="Yes",0,Scoring!$C$7)</f>
        <v>0.5</v>
      </c>
      <c r="Q688" s="8" t="n">
        <f aca="false">ROUND(SUM(M688:P688),2)</f>
        <v>6.9</v>
      </c>
      <c r="R688" s="8" t="str">
        <f aca="false">IF(Q688&gt;=Scoring!$C$10-0.000001,"Keep","Remove")</f>
        <v>Keep</v>
      </c>
      <c r="S688" s="8" t="s">
        <v>166</v>
      </c>
    </row>
    <row r="689" customFormat="false" ht="15" hidden="false" customHeight="false" outlineLevel="0" collapsed="false">
      <c r="A689" s="8" t="s">
        <v>4733</v>
      </c>
      <c r="B689" s="8" t="s">
        <v>4734</v>
      </c>
      <c r="C689" s="8" t="s">
        <v>178</v>
      </c>
      <c r="D689" s="8" t="s">
        <v>4735</v>
      </c>
      <c r="E689" s="8"/>
      <c r="F689" s="8" t="s">
        <v>79</v>
      </c>
      <c r="G689" s="8" t="n">
        <v>2</v>
      </c>
      <c r="H689" s="13" t="n">
        <v>3</v>
      </c>
      <c r="I689" s="8" t="n">
        <v>5</v>
      </c>
      <c r="J689" s="20" t="s">
        <v>259</v>
      </c>
      <c r="K689" s="8"/>
      <c r="L689" s="20" t="s">
        <v>259</v>
      </c>
      <c r="M689" s="16" t="n">
        <f aca="false">H689*Scoring!$C$5</f>
        <v>3.9</v>
      </c>
      <c r="N689" s="16" t="n">
        <f aca="false">IF(I689&gt;=5,1,IF(I689=4,0.75,IF(I689=3,0.5,IF(I689=2,0.25,0))))*Scoring!$C$8</f>
        <v>1</v>
      </c>
      <c r="O689" s="16" t="n">
        <f aca="false">IF(J689="Yes",0,Scoring!$C$6)</f>
        <v>2</v>
      </c>
      <c r="P689" s="16" t="n">
        <f aca="false">IF(L689="Yes",0,Scoring!$C$7)</f>
        <v>0.5</v>
      </c>
      <c r="Q689" s="8" t="n">
        <f aca="false">ROUND(SUM(M689:P689),2)</f>
        <v>7.4</v>
      </c>
      <c r="R689" s="8" t="str">
        <f aca="false">IF(Q689&gt;=Scoring!$C$10-0.000001,"Keep","Remove")</f>
        <v>Keep</v>
      </c>
      <c r="S689" s="8" t="s">
        <v>166</v>
      </c>
    </row>
    <row r="690" customFormat="false" ht="15" hidden="false" customHeight="false" outlineLevel="0" collapsed="false">
      <c r="A690" s="8" t="s">
        <v>4746</v>
      </c>
      <c r="B690" s="8" t="s">
        <v>4747</v>
      </c>
      <c r="C690" s="8" t="s">
        <v>178</v>
      </c>
      <c r="D690" s="8" t="s">
        <v>4713</v>
      </c>
      <c r="E690" s="8"/>
      <c r="F690" s="8" t="s">
        <v>80</v>
      </c>
      <c r="G690" s="8" t="n">
        <v>1</v>
      </c>
      <c r="H690" s="13" t="n">
        <v>4</v>
      </c>
      <c r="I690" s="8" t="n">
        <v>5</v>
      </c>
      <c r="J690" s="20" t="s">
        <v>259</v>
      </c>
      <c r="K690" s="8"/>
      <c r="L690" s="20" t="s">
        <v>259</v>
      </c>
      <c r="M690" s="16" t="n">
        <f aca="false">H690*Scoring!$C$5</f>
        <v>5.2</v>
      </c>
      <c r="N690" s="16" t="n">
        <f aca="false">IF(I690&gt;=5,1,IF(I690=4,0.75,IF(I690=3,0.5,IF(I690=2,0.25,0))))*Scoring!$C$8</f>
        <v>1</v>
      </c>
      <c r="O690" s="16" t="n">
        <f aca="false">IF(J690="Yes",0,Scoring!$C$6)</f>
        <v>2</v>
      </c>
      <c r="P690" s="16" t="n">
        <f aca="false">IF(L690="Yes",0,Scoring!$C$7)</f>
        <v>0.5</v>
      </c>
      <c r="Q690" s="8" t="n">
        <f aca="false">ROUND(SUM(M690:P690),2)</f>
        <v>8.7</v>
      </c>
      <c r="R690" s="8" t="str">
        <f aca="false">IF(Q690&gt;=Scoring!$C$10-0.000001,"Keep","Remove")</f>
        <v>Keep</v>
      </c>
      <c r="S690" s="8" t="s">
        <v>166</v>
      </c>
    </row>
    <row r="691" customFormat="false" ht="15" hidden="false" customHeight="false" outlineLevel="0" collapsed="false">
      <c r="A691" s="8" t="s">
        <v>4758</v>
      </c>
      <c r="B691" s="8" t="s">
        <v>4759</v>
      </c>
      <c r="C691" s="8" t="s">
        <v>178</v>
      </c>
      <c r="D691" s="8" t="s">
        <v>4735</v>
      </c>
      <c r="E691" s="8"/>
      <c r="F691" s="8" t="s">
        <v>80</v>
      </c>
      <c r="G691" s="8" t="n">
        <v>2</v>
      </c>
      <c r="H691" s="13" t="n">
        <v>3</v>
      </c>
      <c r="I691" s="8" t="n">
        <v>4</v>
      </c>
      <c r="J691" s="20" t="s">
        <v>259</v>
      </c>
      <c r="K691" s="8"/>
      <c r="L691" s="20" t="s">
        <v>259</v>
      </c>
      <c r="M691" s="16" t="n">
        <f aca="false">H691*Scoring!$C$5</f>
        <v>3.9</v>
      </c>
      <c r="N691" s="16" t="n">
        <f aca="false">IF(I691&gt;=5,1,IF(I691=4,0.75,IF(I691=3,0.5,IF(I691=2,0.25,0))))*Scoring!$C$8</f>
        <v>0.75</v>
      </c>
      <c r="O691" s="16" t="n">
        <f aca="false">IF(J691="Yes",0,Scoring!$C$6)</f>
        <v>2</v>
      </c>
      <c r="P691" s="16" t="n">
        <f aca="false">IF(L691="Yes",0,Scoring!$C$7)</f>
        <v>0.5</v>
      </c>
      <c r="Q691" s="8" t="n">
        <f aca="false">ROUND(SUM(M691:P691),2)</f>
        <v>7.15</v>
      </c>
      <c r="R691" s="8" t="str">
        <f aca="false">IF(Q691&gt;=Scoring!$C$10-0.000001,"Keep","Remove")</f>
        <v>Keep</v>
      </c>
      <c r="S691" s="8" t="s">
        <v>166</v>
      </c>
    </row>
    <row r="692" customFormat="false" ht="15" hidden="false" customHeight="false" outlineLevel="0" collapsed="false">
      <c r="A692" s="8" t="s">
        <v>7719</v>
      </c>
      <c r="B692" s="8" t="s">
        <v>7720</v>
      </c>
      <c r="C692" s="8" t="s">
        <v>178</v>
      </c>
      <c r="D692" s="8" t="s">
        <v>7721</v>
      </c>
      <c r="E692" s="8"/>
      <c r="F692" s="8" t="s">
        <v>78</v>
      </c>
      <c r="G692" s="8" t="n">
        <v>3</v>
      </c>
      <c r="H692" s="13" t="n">
        <v>2</v>
      </c>
      <c r="I692" s="8" t="n">
        <v>3</v>
      </c>
      <c r="J692" s="20" t="s">
        <v>259</v>
      </c>
      <c r="K692" s="8"/>
      <c r="L692" s="20" t="s">
        <v>259</v>
      </c>
      <c r="M692" s="16" t="n">
        <f aca="false">H692*Scoring!$C$5</f>
        <v>2.6</v>
      </c>
      <c r="N692" s="16" t="n">
        <f aca="false">IF(I692&gt;=5,1,IF(I692=4,0.75,IF(I692=3,0.5,IF(I692=2,0.25,0))))*Scoring!$C$8</f>
        <v>0.5</v>
      </c>
      <c r="O692" s="16" t="n">
        <f aca="false">IF(J692="Yes",0,Scoring!$C$6)</f>
        <v>2</v>
      </c>
      <c r="P692" s="16" t="n">
        <f aca="false">IF(L692="Yes",0,Scoring!$C$7)</f>
        <v>0.5</v>
      </c>
      <c r="Q692" s="8" t="n">
        <f aca="false">ROUND(SUM(M692:P692),2)</f>
        <v>5.6</v>
      </c>
      <c r="R692" s="8" t="str">
        <f aca="false">IF(Q692&gt;=Scoring!$C$10-0.000001,"Keep","Remove")</f>
        <v>Remove</v>
      </c>
      <c r="S692" s="8" t="s">
        <v>7243</v>
      </c>
    </row>
    <row r="693" customFormat="false" ht="15" hidden="false" customHeight="false" outlineLevel="0" collapsed="false">
      <c r="A693" s="8" t="s">
        <v>7549</v>
      </c>
      <c r="B693" s="8" t="s">
        <v>7550</v>
      </c>
      <c r="C693" s="8" t="s">
        <v>178</v>
      </c>
      <c r="D693" s="8" t="s">
        <v>7551</v>
      </c>
      <c r="E693" s="8"/>
      <c r="F693" s="8" t="s">
        <v>79</v>
      </c>
      <c r="G693" s="8" t="n">
        <v>3</v>
      </c>
      <c r="H693" s="13" t="n">
        <v>2</v>
      </c>
      <c r="I693" s="8" t="n">
        <v>4</v>
      </c>
      <c r="J693" s="20" t="s">
        <v>259</v>
      </c>
      <c r="K693" s="8"/>
      <c r="L693" s="20" t="s">
        <v>259</v>
      </c>
      <c r="M693" s="16" t="n">
        <f aca="false">H693*Scoring!$C$5</f>
        <v>2.6</v>
      </c>
      <c r="N693" s="16" t="n">
        <f aca="false">IF(I693&gt;=5,1,IF(I693=4,0.75,IF(I693=3,0.5,IF(I693=2,0.25,0))))*Scoring!$C$8</f>
        <v>0.75</v>
      </c>
      <c r="O693" s="16" t="n">
        <f aca="false">IF(J693="Yes",0,Scoring!$C$6)</f>
        <v>2</v>
      </c>
      <c r="P693" s="16" t="n">
        <f aca="false">IF(L693="Yes",0,Scoring!$C$7)</f>
        <v>0.5</v>
      </c>
      <c r="Q693" s="8" t="n">
        <f aca="false">ROUND(SUM(M693:P693),2)</f>
        <v>5.85</v>
      </c>
      <c r="R693" s="8" t="str">
        <f aca="false">IF(Q693&gt;=Scoring!$C$10-0.000001,"Keep","Remove")</f>
        <v>Remove</v>
      </c>
      <c r="S693" s="8" t="s">
        <v>7243</v>
      </c>
    </row>
    <row r="694" customFormat="false" ht="15" hidden="false" customHeight="false" outlineLevel="0" collapsed="false">
      <c r="A694" s="8" t="s">
        <v>7552</v>
      </c>
      <c r="B694" s="8" t="s">
        <v>7553</v>
      </c>
      <c r="C694" s="8" t="s">
        <v>178</v>
      </c>
      <c r="D694" s="8" t="s">
        <v>4713</v>
      </c>
      <c r="E694" s="8"/>
      <c r="F694" s="8" t="s">
        <v>78</v>
      </c>
      <c r="G694" s="8" t="n">
        <v>3</v>
      </c>
      <c r="H694" s="13" t="n">
        <v>2</v>
      </c>
      <c r="I694" s="8" t="n">
        <v>4</v>
      </c>
      <c r="J694" s="20" t="s">
        <v>259</v>
      </c>
      <c r="K694" s="8"/>
      <c r="L694" s="20" t="s">
        <v>259</v>
      </c>
      <c r="M694" s="16" t="n">
        <f aca="false">H694*Scoring!$C$5</f>
        <v>2.6</v>
      </c>
      <c r="N694" s="16" t="n">
        <f aca="false">IF(I694&gt;=5,1,IF(I694=4,0.75,IF(I694=3,0.5,IF(I694=2,0.25,0))))*Scoring!$C$8</f>
        <v>0.75</v>
      </c>
      <c r="O694" s="16" t="n">
        <f aca="false">IF(J694="Yes",0,Scoring!$C$6)</f>
        <v>2</v>
      </c>
      <c r="P694" s="16" t="n">
        <f aca="false">IF(L694="Yes",0,Scoring!$C$7)</f>
        <v>0.5</v>
      </c>
      <c r="Q694" s="8" t="n">
        <f aca="false">ROUND(SUM(M694:P694),2)</f>
        <v>5.85</v>
      </c>
      <c r="R694" s="8" t="str">
        <f aca="false">IF(Q694&gt;=Scoring!$C$10-0.000001,"Keep","Remove")</f>
        <v>Remove</v>
      </c>
      <c r="S694" s="8" t="s">
        <v>7243</v>
      </c>
    </row>
    <row r="695" customFormat="false" ht="15" hidden="false" customHeight="false" outlineLevel="0" collapsed="false">
      <c r="A695" s="8" t="s">
        <v>7554</v>
      </c>
      <c r="B695" s="8" t="s">
        <v>7555</v>
      </c>
      <c r="C695" s="8" t="s">
        <v>178</v>
      </c>
      <c r="D695" s="8" t="s">
        <v>4713</v>
      </c>
      <c r="E695" s="8"/>
      <c r="F695" s="8" t="s">
        <v>80</v>
      </c>
      <c r="G695" s="8" t="n">
        <v>3</v>
      </c>
      <c r="H695" s="13" t="n">
        <v>2</v>
      </c>
      <c r="I695" s="8" t="n">
        <v>4</v>
      </c>
      <c r="J695" s="20" t="s">
        <v>259</v>
      </c>
      <c r="K695" s="8"/>
      <c r="L695" s="20" t="s">
        <v>259</v>
      </c>
      <c r="M695" s="16" t="n">
        <f aca="false">H695*Scoring!$C$5</f>
        <v>2.6</v>
      </c>
      <c r="N695" s="16" t="n">
        <f aca="false">IF(I695&gt;=5,1,IF(I695=4,0.75,IF(I695=3,0.5,IF(I695=2,0.25,0))))*Scoring!$C$8</f>
        <v>0.75</v>
      </c>
      <c r="O695" s="16" t="n">
        <f aca="false">IF(J695="Yes",0,Scoring!$C$6)</f>
        <v>2</v>
      </c>
      <c r="P695" s="16" t="n">
        <f aca="false">IF(L695="Yes",0,Scoring!$C$7)</f>
        <v>0.5</v>
      </c>
      <c r="Q695" s="8" t="n">
        <f aca="false">ROUND(SUM(M695:P695),2)</f>
        <v>5.85</v>
      </c>
      <c r="R695" s="8" t="str">
        <f aca="false">IF(Q695&gt;=Scoring!$C$10-0.000001,"Keep","Remove")</f>
        <v>Remove</v>
      </c>
      <c r="S695" s="8" t="s">
        <v>7243</v>
      </c>
    </row>
    <row r="696" customFormat="false" ht="15" hidden="false" customHeight="false" outlineLevel="0" collapsed="false">
      <c r="A696" s="8" t="s">
        <v>4765</v>
      </c>
      <c r="B696" s="8" t="s">
        <v>4766</v>
      </c>
      <c r="C696" s="8" t="s">
        <v>178</v>
      </c>
      <c r="D696" s="8" t="s">
        <v>4768</v>
      </c>
      <c r="E696" s="8"/>
      <c r="F696" s="8" t="s">
        <v>83</v>
      </c>
      <c r="G696" s="8" t="n">
        <v>1</v>
      </c>
      <c r="H696" s="13" t="n">
        <v>4</v>
      </c>
      <c r="I696" s="8" t="n">
        <v>5</v>
      </c>
      <c r="J696" s="20" t="s">
        <v>259</v>
      </c>
      <c r="K696" s="8"/>
      <c r="L696" s="20" t="s">
        <v>259</v>
      </c>
      <c r="M696" s="16" t="n">
        <f aca="false">H696*Scoring!$C$5</f>
        <v>5.2</v>
      </c>
      <c r="N696" s="16" t="n">
        <f aca="false">IF(I696&gt;=5,1,IF(I696=4,0.75,IF(I696=3,0.5,IF(I696=2,0.25,0))))*Scoring!$C$8</f>
        <v>1</v>
      </c>
      <c r="O696" s="16" t="n">
        <f aca="false">IF(J696="Yes",0,Scoring!$C$6)</f>
        <v>2</v>
      </c>
      <c r="P696" s="16" t="n">
        <f aca="false">IF(L696="Yes",0,Scoring!$C$7)</f>
        <v>0.5</v>
      </c>
      <c r="Q696" s="8" t="n">
        <f aca="false">ROUND(SUM(M696:P696),2)</f>
        <v>8.7</v>
      </c>
      <c r="R696" s="8" t="str">
        <f aca="false">IF(Q696&gt;=Scoring!$C$10-0.000001,"Keep","Remove")</f>
        <v>Keep</v>
      </c>
      <c r="S696" s="8" t="s">
        <v>166</v>
      </c>
    </row>
    <row r="697" customFormat="false" ht="15" hidden="false" customHeight="false" outlineLevel="0" collapsed="false">
      <c r="A697" s="8" t="s">
        <v>4774</v>
      </c>
      <c r="B697" s="8" t="s">
        <v>4775</v>
      </c>
      <c r="C697" s="8" t="s">
        <v>178</v>
      </c>
      <c r="D697" s="8" t="s">
        <v>4768</v>
      </c>
      <c r="E697" s="8"/>
      <c r="F697" s="8" t="s">
        <v>78</v>
      </c>
      <c r="G697" s="8" t="n">
        <v>2</v>
      </c>
      <c r="H697" s="13" t="n">
        <v>3</v>
      </c>
      <c r="I697" s="8" t="n">
        <v>5</v>
      </c>
      <c r="J697" s="20" t="s">
        <v>259</v>
      </c>
      <c r="K697" s="8"/>
      <c r="L697" s="20" t="s">
        <v>259</v>
      </c>
      <c r="M697" s="16" t="n">
        <f aca="false">H697*Scoring!$C$5</f>
        <v>3.9</v>
      </c>
      <c r="N697" s="16" t="n">
        <f aca="false">IF(I697&gt;=5,1,IF(I697=4,0.75,IF(I697=3,0.5,IF(I697=2,0.25,0))))*Scoring!$C$8</f>
        <v>1</v>
      </c>
      <c r="O697" s="16" t="n">
        <f aca="false">IF(J697="Yes",0,Scoring!$C$6)</f>
        <v>2</v>
      </c>
      <c r="P697" s="16" t="n">
        <f aca="false">IF(L697="Yes",0,Scoring!$C$7)</f>
        <v>0.5</v>
      </c>
      <c r="Q697" s="8" t="n">
        <f aca="false">ROUND(SUM(M697:P697),2)</f>
        <v>7.4</v>
      </c>
      <c r="R697" s="8" t="str">
        <f aca="false">IF(Q697&gt;=Scoring!$C$10-0.000001,"Keep","Remove")</f>
        <v>Keep</v>
      </c>
      <c r="S697" s="8" t="s">
        <v>166</v>
      </c>
    </row>
    <row r="698" customFormat="false" ht="15" hidden="false" customHeight="false" outlineLevel="0" collapsed="false">
      <c r="A698" s="8" t="s">
        <v>4783</v>
      </c>
      <c r="B698" s="8" t="s">
        <v>4784</v>
      </c>
      <c r="C698" s="8" t="s">
        <v>178</v>
      </c>
      <c r="D698" s="8" t="s">
        <v>4768</v>
      </c>
      <c r="E698" s="8"/>
      <c r="F698" s="8" t="s">
        <v>81</v>
      </c>
      <c r="G698" s="8" t="n">
        <v>2</v>
      </c>
      <c r="H698" s="13" t="n">
        <v>3</v>
      </c>
      <c r="I698" s="8" t="n">
        <v>4</v>
      </c>
      <c r="J698" s="20" t="s">
        <v>259</v>
      </c>
      <c r="K698" s="8"/>
      <c r="L698" s="20" t="s">
        <v>259</v>
      </c>
      <c r="M698" s="16" t="n">
        <f aca="false">H698*Scoring!$C$5</f>
        <v>3.9</v>
      </c>
      <c r="N698" s="16" t="n">
        <f aca="false">IF(I698&gt;=5,1,IF(I698=4,0.75,IF(I698=3,0.5,IF(I698=2,0.25,0))))*Scoring!$C$8</f>
        <v>0.75</v>
      </c>
      <c r="O698" s="16" t="n">
        <f aca="false">IF(J698="Yes",0,Scoring!$C$6)</f>
        <v>2</v>
      </c>
      <c r="P698" s="16" t="n">
        <f aca="false">IF(L698="Yes",0,Scoring!$C$7)</f>
        <v>0.5</v>
      </c>
      <c r="Q698" s="8" t="n">
        <f aca="false">ROUND(SUM(M698:P698),2)</f>
        <v>7.15</v>
      </c>
      <c r="R698" s="8" t="str">
        <f aca="false">IF(Q698&gt;=Scoring!$C$10-0.000001,"Keep","Remove")</f>
        <v>Keep</v>
      </c>
      <c r="S698" s="8" t="s">
        <v>166</v>
      </c>
    </row>
    <row r="699" customFormat="false" ht="15" hidden="false" customHeight="false" outlineLevel="0" collapsed="false">
      <c r="A699" s="8" t="s">
        <v>7556</v>
      </c>
      <c r="B699" s="8" t="s">
        <v>7557</v>
      </c>
      <c r="C699" s="8" t="s">
        <v>178</v>
      </c>
      <c r="D699" s="8" t="s">
        <v>4768</v>
      </c>
      <c r="E699" s="8"/>
      <c r="F699" s="8" t="s">
        <v>80</v>
      </c>
      <c r="G699" s="8" t="n">
        <v>3</v>
      </c>
      <c r="H699" s="13" t="n">
        <v>2</v>
      </c>
      <c r="I699" s="8" t="n">
        <v>4</v>
      </c>
      <c r="J699" s="20" t="s">
        <v>259</v>
      </c>
      <c r="K699" s="8"/>
      <c r="L699" s="20" t="s">
        <v>259</v>
      </c>
      <c r="M699" s="16" t="n">
        <f aca="false">H699*Scoring!$C$5</f>
        <v>2.6</v>
      </c>
      <c r="N699" s="16" t="n">
        <f aca="false">IF(I699&gt;=5,1,IF(I699=4,0.75,IF(I699=3,0.5,IF(I699=2,0.25,0))))*Scoring!$C$8</f>
        <v>0.75</v>
      </c>
      <c r="O699" s="16" t="n">
        <f aca="false">IF(J699="Yes",0,Scoring!$C$6)</f>
        <v>2</v>
      </c>
      <c r="P699" s="16" t="n">
        <f aca="false">IF(L699="Yes",0,Scoring!$C$7)</f>
        <v>0.5</v>
      </c>
      <c r="Q699" s="8" t="n">
        <f aca="false">ROUND(SUM(M699:P699),2)</f>
        <v>5.85</v>
      </c>
      <c r="R699" s="8" t="str">
        <f aca="false">IF(Q699&gt;=Scoring!$C$10-0.000001,"Keep","Remove")</f>
        <v>Remove</v>
      </c>
      <c r="S699" s="8" t="s">
        <v>7243</v>
      </c>
    </row>
    <row r="700" customFormat="false" ht="15" hidden="false" customHeight="false" outlineLevel="0" collapsed="false">
      <c r="A700" s="8" t="s">
        <v>7348</v>
      </c>
      <c r="B700" s="8" t="s">
        <v>7349</v>
      </c>
      <c r="C700" s="8" t="s">
        <v>178</v>
      </c>
      <c r="D700" s="8" t="s">
        <v>4768</v>
      </c>
      <c r="E700" s="8"/>
      <c r="F700" s="8" t="s">
        <v>81</v>
      </c>
      <c r="G700" s="8" t="n">
        <v>3</v>
      </c>
      <c r="H700" s="13" t="n">
        <v>2</v>
      </c>
      <c r="I700" s="8" t="n">
        <v>5</v>
      </c>
      <c r="J700" s="20" t="s">
        <v>259</v>
      </c>
      <c r="K700" s="8"/>
      <c r="L700" s="20" t="s">
        <v>259</v>
      </c>
      <c r="M700" s="16" t="n">
        <f aca="false">H700*Scoring!$C$5</f>
        <v>2.6</v>
      </c>
      <c r="N700" s="16" t="n">
        <f aca="false">IF(I700&gt;=5,1,IF(I700=4,0.75,IF(I700=3,0.5,IF(I700=2,0.25,0))))*Scoring!$C$8</f>
        <v>1</v>
      </c>
      <c r="O700" s="16" t="n">
        <f aca="false">IF(J700="Yes",0,Scoring!$C$6)</f>
        <v>2</v>
      </c>
      <c r="P700" s="16" t="n">
        <f aca="false">IF(L700="Yes",0,Scoring!$C$7)</f>
        <v>0.5</v>
      </c>
      <c r="Q700" s="8" t="n">
        <f aca="false">ROUND(SUM(M700:P700),2)</f>
        <v>6.1</v>
      </c>
      <c r="R700" s="8" t="str">
        <f aca="false">IF(Q700&gt;=Scoring!$C$10-0.000001,"Keep","Remove")</f>
        <v>Remove</v>
      </c>
      <c r="S700" s="8" t="s">
        <v>7243</v>
      </c>
    </row>
    <row r="701" customFormat="false" ht="15" hidden="false" customHeight="false" outlineLevel="0" collapsed="false">
      <c r="A701" s="8" t="s">
        <v>4793</v>
      </c>
      <c r="B701" s="8" t="s">
        <v>4794</v>
      </c>
      <c r="C701" s="8" t="s">
        <v>178</v>
      </c>
      <c r="D701" s="8" t="s">
        <v>4795</v>
      </c>
      <c r="E701" s="8"/>
      <c r="F701" s="8" t="s">
        <v>78</v>
      </c>
      <c r="G701" s="8" t="n">
        <v>1</v>
      </c>
      <c r="H701" s="13" t="n">
        <v>3</v>
      </c>
      <c r="I701" s="8" t="n">
        <v>5</v>
      </c>
      <c r="J701" s="20" t="s">
        <v>259</v>
      </c>
      <c r="K701" s="8"/>
      <c r="L701" s="20" t="s">
        <v>259</v>
      </c>
      <c r="M701" s="16" t="n">
        <f aca="false">H701*Scoring!$C$5</f>
        <v>3.9</v>
      </c>
      <c r="N701" s="16" t="n">
        <f aca="false">IF(I701&gt;=5,1,IF(I701=4,0.75,IF(I701=3,0.5,IF(I701=2,0.25,0))))*Scoring!$C$8</f>
        <v>1</v>
      </c>
      <c r="O701" s="16" t="n">
        <f aca="false">IF(J701="Yes",0,Scoring!$C$6)</f>
        <v>2</v>
      </c>
      <c r="P701" s="16" t="n">
        <f aca="false">IF(L701="Yes",0,Scoring!$C$7)</f>
        <v>0.5</v>
      </c>
      <c r="Q701" s="8" t="n">
        <f aca="false">ROUND(SUM(M701:P701),2)</f>
        <v>7.4</v>
      </c>
      <c r="R701" s="8" t="str">
        <f aca="false">IF(Q701&gt;=Scoring!$C$10-0.000001,"Keep","Remove")</f>
        <v>Keep</v>
      </c>
      <c r="S701" s="8" t="s">
        <v>166</v>
      </c>
    </row>
    <row r="702" customFormat="false" ht="15" hidden="false" customHeight="false" outlineLevel="0" collapsed="false">
      <c r="A702" s="8" t="s">
        <v>4802</v>
      </c>
      <c r="B702" s="8" t="s">
        <v>4803</v>
      </c>
      <c r="C702" s="8" t="s">
        <v>178</v>
      </c>
      <c r="D702" s="8" t="s">
        <v>4795</v>
      </c>
      <c r="E702" s="8"/>
      <c r="F702" s="8" t="s">
        <v>78</v>
      </c>
      <c r="G702" s="8" t="n">
        <v>2</v>
      </c>
      <c r="H702" s="13" t="n">
        <v>3</v>
      </c>
      <c r="I702" s="8" t="n">
        <v>5</v>
      </c>
      <c r="J702" s="20" t="s">
        <v>259</v>
      </c>
      <c r="K702" s="8"/>
      <c r="L702" s="20" t="s">
        <v>259</v>
      </c>
      <c r="M702" s="16" t="n">
        <f aca="false">H702*Scoring!$C$5</f>
        <v>3.9</v>
      </c>
      <c r="N702" s="16" t="n">
        <f aca="false">IF(I702&gt;=5,1,IF(I702=4,0.75,IF(I702=3,0.5,IF(I702=2,0.25,0))))*Scoring!$C$8</f>
        <v>1</v>
      </c>
      <c r="O702" s="16" t="n">
        <f aca="false">IF(J702="Yes",0,Scoring!$C$6)</f>
        <v>2</v>
      </c>
      <c r="P702" s="16" t="n">
        <f aca="false">IF(L702="Yes",0,Scoring!$C$7)</f>
        <v>0.5</v>
      </c>
      <c r="Q702" s="8" t="n">
        <f aca="false">ROUND(SUM(M702:P702),2)</f>
        <v>7.4</v>
      </c>
      <c r="R702" s="8" t="str">
        <f aca="false">IF(Q702&gt;=Scoring!$C$10-0.000001,"Keep","Remove")</f>
        <v>Keep</v>
      </c>
      <c r="S702" s="8" t="s">
        <v>166</v>
      </c>
    </row>
    <row r="703" customFormat="false" ht="15" hidden="false" customHeight="false" outlineLevel="0" collapsed="false">
      <c r="A703" s="8" t="s">
        <v>7558</v>
      </c>
      <c r="B703" s="8" t="s">
        <v>7559</v>
      </c>
      <c r="C703" s="8" t="s">
        <v>178</v>
      </c>
      <c r="D703" s="8" t="s">
        <v>4795</v>
      </c>
      <c r="E703" s="8"/>
      <c r="F703" s="8" t="s">
        <v>83</v>
      </c>
      <c r="G703" s="8" t="n">
        <v>3</v>
      </c>
      <c r="H703" s="13" t="n">
        <v>2</v>
      </c>
      <c r="I703" s="8" t="n">
        <v>4</v>
      </c>
      <c r="J703" s="20" t="s">
        <v>259</v>
      </c>
      <c r="K703" s="8"/>
      <c r="L703" s="20" t="s">
        <v>259</v>
      </c>
      <c r="M703" s="16" t="n">
        <f aca="false">H703*Scoring!$C$5</f>
        <v>2.6</v>
      </c>
      <c r="N703" s="16" t="n">
        <f aca="false">IF(I703&gt;=5,1,IF(I703=4,0.75,IF(I703=3,0.5,IF(I703=2,0.25,0))))*Scoring!$C$8</f>
        <v>0.75</v>
      </c>
      <c r="O703" s="16" t="n">
        <f aca="false">IF(J703="Yes",0,Scoring!$C$6)</f>
        <v>2</v>
      </c>
      <c r="P703" s="16" t="n">
        <f aca="false">IF(L703="Yes",0,Scoring!$C$7)</f>
        <v>0.5</v>
      </c>
      <c r="Q703" s="8" t="n">
        <f aca="false">ROUND(SUM(M703:P703),2)</f>
        <v>5.85</v>
      </c>
      <c r="R703" s="8" t="str">
        <f aca="false">IF(Q703&gt;=Scoring!$C$10-0.000001,"Keep","Remove")</f>
        <v>Remove</v>
      </c>
      <c r="S703" s="8" t="s">
        <v>7243</v>
      </c>
    </row>
    <row r="704" customFormat="false" ht="15" hidden="false" customHeight="false" outlineLevel="0" collapsed="false">
      <c r="A704" s="8" t="s">
        <v>7560</v>
      </c>
      <c r="B704" s="8" t="s">
        <v>7561</v>
      </c>
      <c r="C704" s="8" t="s">
        <v>178</v>
      </c>
      <c r="D704" s="8" t="s">
        <v>4795</v>
      </c>
      <c r="E704" s="8"/>
      <c r="F704" s="8" t="s">
        <v>78</v>
      </c>
      <c r="G704" s="8" t="n">
        <v>3</v>
      </c>
      <c r="H704" s="13" t="n">
        <v>2</v>
      </c>
      <c r="I704" s="8" t="n">
        <v>4</v>
      </c>
      <c r="J704" s="20" t="s">
        <v>259</v>
      </c>
      <c r="K704" s="8"/>
      <c r="L704" s="20" t="s">
        <v>259</v>
      </c>
      <c r="M704" s="16" t="n">
        <f aca="false">H704*Scoring!$C$5</f>
        <v>2.6</v>
      </c>
      <c r="N704" s="16" t="n">
        <f aca="false">IF(I704&gt;=5,1,IF(I704=4,0.75,IF(I704=3,0.5,IF(I704=2,0.25,0))))*Scoring!$C$8</f>
        <v>0.75</v>
      </c>
      <c r="O704" s="16" t="n">
        <f aca="false">IF(J704="Yes",0,Scoring!$C$6)</f>
        <v>2</v>
      </c>
      <c r="P704" s="16" t="n">
        <f aca="false">IF(L704="Yes",0,Scoring!$C$7)</f>
        <v>0.5</v>
      </c>
      <c r="Q704" s="8" t="n">
        <f aca="false">ROUND(SUM(M704:P704),2)</f>
        <v>5.85</v>
      </c>
      <c r="R704" s="8" t="str">
        <f aca="false">IF(Q704&gt;=Scoring!$C$10-0.000001,"Keep","Remove")</f>
        <v>Remove</v>
      </c>
      <c r="S704" s="8" t="s">
        <v>7243</v>
      </c>
    </row>
    <row r="705" customFormat="false" ht="15" hidden="false" customHeight="false" outlineLevel="0" collapsed="false">
      <c r="A705" s="8" t="s">
        <v>4810</v>
      </c>
      <c r="B705" s="8" t="s">
        <v>4811</v>
      </c>
      <c r="C705" s="8" t="s">
        <v>178</v>
      </c>
      <c r="D705" s="8" t="s">
        <v>4812</v>
      </c>
      <c r="E705" s="8"/>
      <c r="F705" s="8" t="s">
        <v>83</v>
      </c>
      <c r="G705" s="8" t="n">
        <v>1</v>
      </c>
      <c r="H705" s="13" t="n">
        <v>3</v>
      </c>
      <c r="I705" s="8" t="n">
        <v>5</v>
      </c>
      <c r="J705" s="20" t="s">
        <v>259</v>
      </c>
      <c r="K705" s="8"/>
      <c r="L705" s="20" t="s">
        <v>259</v>
      </c>
      <c r="M705" s="16" t="n">
        <f aca="false">H705*Scoring!$C$5</f>
        <v>3.9</v>
      </c>
      <c r="N705" s="16" t="n">
        <f aca="false">IF(I705&gt;=5,1,IF(I705=4,0.75,IF(I705=3,0.5,IF(I705=2,0.25,0))))*Scoring!$C$8</f>
        <v>1</v>
      </c>
      <c r="O705" s="16" t="n">
        <f aca="false">IF(J705="Yes",0,Scoring!$C$6)</f>
        <v>2</v>
      </c>
      <c r="P705" s="16" t="n">
        <f aca="false">IF(L705="Yes",0,Scoring!$C$7)</f>
        <v>0.5</v>
      </c>
      <c r="Q705" s="8" t="n">
        <f aca="false">ROUND(SUM(M705:P705),2)</f>
        <v>7.4</v>
      </c>
      <c r="R705" s="8" t="str">
        <f aca="false">IF(Q705&gt;=Scoring!$C$10-0.000001,"Keep","Remove")</f>
        <v>Keep</v>
      </c>
      <c r="S705" s="8" t="s">
        <v>166</v>
      </c>
    </row>
    <row r="706" customFormat="false" ht="15" hidden="false" customHeight="false" outlineLevel="0" collapsed="false">
      <c r="A706" s="8" t="s">
        <v>4822</v>
      </c>
      <c r="B706" s="8" t="s">
        <v>4823</v>
      </c>
      <c r="C706" s="8" t="s">
        <v>178</v>
      </c>
      <c r="D706" s="8" t="s">
        <v>4812</v>
      </c>
      <c r="E706" s="8"/>
      <c r="F706" s="8" t="s">
        <v>78</v>
      </c>
      <c r="G706" s="8" t="n">
        <v>2</v>
      </c>
      <c r="H706" s="13" t="n">
        <v>3</v>
      </c>
      <c r="I706" s="8" t="n">
        <v>5</v>
      </c>
      <c r="J706" s="20" t="s">
        <v>259</v>
      </c>
      <c r="K706" s="8"/>
      <c r="L706" s="20" t="s">
        <v>259</v>
      </c>
      <c r="M706" s="16" t="n">
        <f aca="false">H706*Scoring!$C$5</f>
        <v>3.9</v>
      </c>
      <c r="N706" s="16" t="n">
        <f aca="false">IF(I706&gt;=5,1,IF(I706=4,0.75,IF(I706=3,0.5,IF(I706=2,0.25,0))))*Scoring!$C$8</f>
        <v>1</v>
      </c>
      <c r="O706" s="16" t="n">
        <f aca="false">IF(J706="Yes",0,Scoring!$C$6)</f>
        <v>2</v>
      </c>
      <c r="P706" s="16" t="n">
        <f aca="false">IF(L706="Yes",0,Scoring!$C$7)</f>
        <v>0.5</v>
      </c>
      <c r="Q706" s="8" t="n">
        <f aca="false">ROUND(SUM(M706:P706),2)</f>
        <v>7.4</v>
      </c>
      <c r="R706" s="8" t="str">
        <f aca="false">IF(Q706&gt;=Scoring!$C$10-0.000001,"Keep","Remove")</f>
        <v>Keep</v>
      </c>
      <c r="S706" s="8" t="s">
        <v>166</v>
      </c>
    </row>
    <row r="707" customFormat="false" ht="15" hidden="false" customHeight="false" outlineLevel="0" collapsed="false">
      <c r="A707" s="8" t="s">
        <v>7819</v>
      </c>
      <c r="B707" s="8" t="s">
        <v>7820</v>
      </c>
      <c r="C707" s="8" t="s">
        <v>178</v>
      </c>
      <c r="D707" s="8" t="s">
        <v>4812</v>
      </c>
      <c r="E707" s="8"/>
      <c r="F707" s="8" t="s">
        <v>78</v>
      </c>
      <c r="G707" s="8" t="n">
        <v>2</v>
      </c>
      <c r="H707" s="13" t="n">
        <v>3</v>
      </c>
      <c r="I707" s="8" t="n">
        <v>4</v>
      </c>
      <c r="J707" s="20" t="s">
        <v>218</v>
      </c>
      <c r="K707" s="8" t="s">
        <v>8183</v>
      </c>
      <c r="L707" s="20" t="s">
        <v>259</v>
      </c>
      <c r="M707" s="16" t="n">
        <f aca="false">H707*Scoring!$C$5</f>
        <v>3.9</v>
      </c>
      <c r="N707" s="16" t="n">
        <f aca="false">IF(I707&gt;=5,1,IF(I707=4,0.75,IF(I707=3,0.5,IF(I707=2,0.25,0))))*Scoring!$C$8</f>
        <v>0.75</v>
      </c>
      <c r="O707" s="16" t="n">
        <f aca="false">IF(J707="Yes",0,Scoring!$C$6)</f>
        <v>0</v>
      </c>
      <c r="P707" s="16" t="n">
        <f aca="false">IF(L707="Yes",0,Scoring!$C$7)</f>
        <v>0.5</v>
      </c>
      <c r="Q707" s="8" t="n">
        <f aca="false">ROUND(SUM(M707:P707),2)</f>
        <v>5.15</v>
      </c>
      <c r="R707" s="8" t="str">
        <f aca="false">IF(Q707&gt;=Scoring!$C$10-0.000001,"Keep","Remove")</f>
        <v>Remove</v>
      </c>
      <c r="S707" s="8" t="s">
        <v>7821</v>
      </c>
    </row>
    <row r="708" customFormat="false" ht="15" hidden="false" customHeight="false" outlineLevel="0" collapsed="false">
      <c r="A708" s="8" t="s">
        <v>7860</v>
      </c>
      <c r="B708" s="8" t="s">
        <v>7861</v>
      </c>
      <c r="C708" s="8" t="s">
        <v>178</v>
      </c>
      <c r="D708" s="8" t="s">
        <v>4812</v>
      </c>
      <c r="E708" s="8"/>
      <c r="F708" s="8" t="s">
        <v>78</v>
      </c>
      <c r="G708" s="8" t="n">
        <v>3</v>
      </c>
      <c r="H708" s="13" t="n">
        <v>2</v>
      </c>
      <c r="I708" s="8" t="n">
        <v>5</v>
      </c>
      <c r="J708" s="20" t="s">
        <v>218</v>
      </c>
      <c r="K708" s="8" t="s">
        <v>8184</v>
      </c>
      <c r="L708" s="20" t="s">
        <v>259</v>
      </c>
      <c r="M708" s="16" t="n">
        <f aca="false">H708*Scoring!$C$5</f>
        <v>2.6</v>
      </c>
      <c r="N708" s="16" t="n">
        <f aca="false">IF(I708&gt;=5,1,IF(I708=4,0.75,IF(I708=3,0.5,IF(I708=2,0.25,0))))*Scoring!$C$8</f>
        <v>1</v>
      </c>
      <c r="O708" s="16" t="n">
        <f aca="false">IF(J708="Yes",0,Scoring!$C$6)</f>
        <v>0</v>
      </c>
      <c r="P708" s="16" t="n">
        <f aca="false">IF(L708="Yes",0,Scoring!$C$7)</f>
        <v>0.5</v>
      </c>
      <c r="Q708" s="8" t="n">
        <f aca="false">ROUND(SUM(M708:P708),2)</f>
        <v>4.1</v>
      </c>
      <c r="R708" s="8" t="str">
        <f aca="false">IF(Q708&gt;=Scoring!$C$10-0.000001,"Keep","Remove")</f>
        <v>Remove</v>
      </c>
      <c r="S708" s="8" t="s">
        <v>7862</v>
      </c>
    </row>
    <row r="709" customFormat="false" ht="15" hidden="false" customHeight="false" outlineLevel="0" collapsed="false">
      <c r="A709" s="8" t="s">
        <v>4831</v>
      </c>
      <c r="B709" s="8" t="s">
        <v>4832</v>
      </c>
      <c r="C709" s="8" t="s">
        <v>178</v>
      </c>
      <c r="D709" s="8" t="s">
        <v>4833</v>
      </c>
      <c r="E709" s="8"/>
      <c r="F709" s="8" t="s">
        <v>78</v>
      </c>
      <c r="G709" s="8" t="n">
        <v>1</v>
      </c>
      <c r="H709" s="13" t="n">
        <v>4</v>
      </c>
      <c r="I709" s="8" t="n">
        <v>4</v>
      </c>
      <c r="J709" s="20" t="s">
        <v>259</v>
      </c>
      <c r="K709" s="8"/>
      <c r="L709" s="20" t="s">
        <v>259</v>
      </c>
      <c r="M709" s="16" t="n">
        <f aca="false">H709*Scoring!$C$5</f>
        <v>5.2</v>
      </c>
      <c r="N709" s="16" t="n">
        <f aca="false">IF(I709&gt;=5,1,IF(I709=4,0.75,IF(I709=3,0.5,IF(I709=2,0.25,0))))*Scoring!$C$8</f>
        <v>0.75</v>
      </c>
      <c r="O709" s="16" t="n">
        <f aca="false">IF(J709="Yes",0,Scoring!$C$6)</f>
        <v>2</v>
      </c>
      <c r="P709" s="16" t="n">
        <f aca="false">IF(L709="Yes",0,Scoring!$C$7)</f>
        <v>0.5</v>
      </c>
      <c r="Q709" s="8" t="n">
        <f aca="false">ROUND(SUM(M709:P709),2)</f>
        <v>8.45</v>
      </c>
      <c r="R709" s="8" t="str">
        <f aca="false">IF(Q709&gt;=Scoring!$C$10-0.000001,"Keep","Remove")</f>
        <v>Keep</v>
      </c>
      <c r="S709" s="8" t="s">
        <v>166</v>
      </c>
    </row>
    <row r="710" customFormat="false" ht="15" hidden="false" customHeight="false" outlineLevel="0" collapsed="false">
      <c r="A710" s="8" t="s">
        <v>4843</v>
      </c>
      <c r="B710" s="8" t="s">
        <v>4844</v>
      </c>
      <c r="C710" s="8" t="s">
        <v>178</v>
      </c>
      <c r="D710" s="8" t="s">
        <v>4833</v>
      </c>
      <c r="E710" s="8"/>
      <c r="F710" s="8" t="s">
        <v>78</v>
      </c>
      <c r="G710" s="8" t="n">
        <v>1</v>
      </c>
      <c r="H710" s="13" t="n">
        <v>4</v>
      </c>
      <c r="I710" s="8" t="n">
        <v>4</v>
      </c>
      <c r="J710" s="20" t="s">
        <v>259</v>
      </c>
      <c r="K710" s="8"/>
      <c r="L710" s="20" t="s">
        <v>259</v>
      </c>
      <c r="M710" s="16" t="n">
        <f aca="false">H710*Scoring!$C$5</f>
        <v>5.2</v>
      </c>
      <c r="N710" s="16" t="n">
        <f aca="false">IF(I710&gt;=5,1,IF(I710=4,0.75,IF(I710=3,0.5,IF(I710=2,0.25,0))))*Scoring!$C$8</f>
        <v>0.75</v>
      </c>
      <c r="O710" s="16" t="n">
        <f aca="false">IF(J710="Yes",0,Scoring!$C$6)</f>
        <v>2</v>
      </c>
      <c r="P710" s="16" t="n">
        <f aca="false">IF(L710="Yes",0,Scoring!$C$7)</f>
        <v>0.5</v>
      </c>
      <c r="Q710" s="8" t="n">
        <f aca="false">ROUND(SUM(M710:P710),2)</f>
        <v>8.45</v>
      </c>
      <c r="R710" s="8" t="str">
        <f aca="false">IF(Q710&gt;=Scoring!$C$10-0.000001,"Keep","Remove")</f>
        <v>Keep</v>
      </c>
      <c r="S710" s="8" t="s">
        <v>166</v>
      </c>
    </row>
    <row r="711" customFormat="false" ht="15" hidden="false" customHeight="false" outlineLevel="0" collapsed="false">
      <c r="A711" s="8" t="s">
        <v>4851</v>
      </c>
      <c r="B711" s="8" t="s">
        <v>4852</v>
      </c>
      <c r="C711" s="8" t="s">
        <v>178</v>
      </c>
      <c r="D711" s="8" t="s">
        <v>4833</v>
      </c>
      <c r="E711" s="8"/>
      <c r="F711" s="8" t="s">
        <v>79</v>
      </c>
      <c r="G711" s="8" t="n">
        <v>2</v>
      </c>
      <c r="H711" s="13" t="n">
        <v>3</v>
      </c>
      <c r="I711" s="8" t="n">
        <v>5</v>
      </c>
      <c r="J711" s="20" t="s">
        <v>259</v>
      </c>
      <c r="K711" s="8"/>
      <c r="L711" s="20" t="s">
        <v>259</v>
      </c>
      <c r="M711" s="16" t="n">
        <f aca="false">H711*Scoring!$C$5</f>
        <v>3.9</v>
      </c>
      <c r="N711" s="16" t="n">
        <f aca="false">IF(I711&gt;=5,1,IF(I711=4,0.75,IF(I711=3,0.5,IF(I711=2,0.25,0))))*Scoring!$C$8</f>
        <v>1</v>
      </c>
      <c r="O711" s="16" t="n">
        <f aca="false">IF(J711="Yes",0,Scoring!$C$6)</f>
        <v>2</v>
      </c>
      <c r="P711" s="16" t="n">
        <f aca="false">IF(L711="Yes",0,Scoring!$C$7)</f>
        <v>0.5</v>
      </c>
      <c r="Q711" s="8" t="n">
        <f aca="false">ROUND(SUM(M711:P711),2)</f>
        <v>7.4</v>
      </c>
      <c r="R711" s="8" t="str">
        <f aca="false">IF(Q711&gt;=Scoring!$C$10-0.000001,"Keep","Remove")</f>
        <v>Keep</v>
      </c>
      <c r="S711" s="8" t="s">
        <v>166</v>
      </c>
    </row>
    <row r="712" customFormat="false" ht="15" hidden="false" customHeight="false" outlineLevel="0" collapsed="false">
      <c r="A712" s="8" t="s">
        <v>4860</v>
      </c>
      <c r="B712" s="8" t="s">
        <v>4861</v>
      </c>
      <c r="C712" s="8" t="s">
        <v>178</v>
      </c>
      <c r="D712" s="8" t="s">
        <v>4833</v>
      </c>
      <c r="E712" s="8"/>
      <c r="F712" s="8" t="s">
        <v>89</v>
      </c>
      <c r="G712" s="8" t="n">
        <v>2</v>
      </c>
      <c r="H712" s="13" t="n">
        <v>3</v>
      </c>
      <c r="I712" s="8" t="n">
        <v>6</v>
      </c>
      <c r="J712" s="20" t="s">
        <v>259</v>
      </c>
      <c r="K712" s="8"/>
      <c r="L712" s="20" t="s">
        <v>259</v>
      </c>
      <c r="M712" s="16" t="n">
        <f aca="false">H712*Scoring!$C$5</f>
        <v>3.9</v>
      </c>
      <c r="N712" s="16" t="n">
        <f aca="false">IF(I712&gt;=5,1,IF(I712=4,0.75,IF(I712=3,0.5,IF(I712=2,0.25,0))))*Scoring!$C$8</f>
        <v>1</v>
      </c>
      <c r="O712" s="16" t="n">
        <f aca="false">IF(J712="Yes",0,Scoring!$C$6)</f>
        <v>2</v>
      </c>
      <c r="P712" s="16" t="n">
        <f aca="false">IF(L712="Yes",0,Scoring!$C$7)</f>
        <v>0.5</v>
      </c>
      <c r="Q712" s="8" t="n">
        <f aca="false">ROUND(SUM(M712:P712),2)</f>
        <v>7.4</v>
      </c>
      <c r="R712" s="8" t="str">
        <f aca="false">IF(Q712&gt;=Scoring!$C$10-0.000001,"Keep","Remove")</f>
        <v>Keep</v>
      </c>
      <c r="S712" s="8" t="s">
        <v>166</v>
      </c>
    </row>
    <row r="713" customFormat="false" ht="15" hidden="false" customHeight="false" outlineLevel="0" collapsed="false">
      <c r="A713" s="8" t="s">
        <v>7350</v>
      </c>
      <c r="B713" s="8" t="s">
        <v>7351</v>
      </c>
      <c r="C713" s="8" t="s">
        <v>178</v>
      </c>
      <c r="D713" s="8" t="s">
        <v>4833</v>
      </c>
      <c r="E713" s="8"/>
      <c r="F713" s="8" t="s">
        <v>83</v>
      </c>
      <c r="G713" s="8" t="n">
        <v>3</v>
      </c>
      <c r="H713" s="13" t="n">
        <v>2</v>
      </c>
      <c r="I713" s="8" t="n">
        <v>5</v>
      </c>
      <c r="J713" s="20" t="s">
        <v>259</v>
      </c>
      <c r="K713" s="8"/>
      <c r="L713" s="20" t="s">
        <v>259</v>
      </c>
      <c r="M713" s="16" t="n">
        <f aca="false">H713*Scoring!$C$5</f>
        <v>2.6</v>
      </c>
      <c r="N713" s="16" t="n">
        <f aca="false">IF(I713&gt;=5,1,IF(I713=4,0.75,IF(I713=3,0.5,IF(I713=2,0.25,0))))*Scoring!$C$8</f>
        <v>1</v>
      </c>
      <c r="O713" s="16" t="n">
        <f aca="false">IF(J713="Yes",0,Scoring!$C$6)</f>
        <v>2</v>
      </c>
      <c r="P713" s="16" t="n">
        <f aca="false">IF(L713="Yes",0,Scoring!$C$7)</f>
        <v>0.5</v>
      </c>
      <c r="Q713" s="8" t="n">
        <f aca="false">ROUND(SUM(M713:P713),2)</f>
        <v>6.1</v>
      </c>
      <c r="R713" s="8" t="str">
        <f aca="false">IF(Q713&gt;=Scoring!$C$10-0.000001,"Keep","Remove")</f>
        <v>Remove</v>
      </c>
      <c r="S713" s="8" t="s">
        <v>7243</v>
      </c>
    </row>
    <row r="714" customFormat="false" ht="15" hidden="false" customHeight="false" outlineLevel="0" collapsed="false">
      <c r="A714" s="8" t="s">
        <v>7722</v>
      </c>
      <c r="B714" s="8" t="s">
        <v>7723</v>
      </c>
      <c r="C714" s="8" t="s">
        <v>178</v>
      </c>
      <c r="D714" s="8" t="s">
        <v>4833</v>
      </c>
      <c r="E714" s="8"/>
      <c r="F714" s="8" t="s">
        <v>82</v>
      </c>
      <c r="G714" s="8" t="n">
        <v>3</v>
      </c>
      <c r="H714" s="13" t="n">
        <v>2</v>
      </c>
      <c r="I714" s="8" t="n">
        <v>3</v>
      </c>
      <c r="J714" s="20" t="s">
        <v>259</v>
      </c>
      <c r="K714" s="8"/>
      <c r="L714" s="20" t="s">
        <v>259</v>
      </c>
      <c r="M714" s="16" t="n">
        <f aca="false">H714*Scoring!$C$5</f>
        <v>2.6</v>
      </c>
      <c r="N714" s="16" t="n">
        <f aca="false">IF(I714&gt;=5,1,IF(I714=4,0.75,IF(I714=3,0.5,IF(I714=2,0.25,0))))*Scoring!$C$8</f>
        <v>0.5</v>
      </c>
      <c r="O714" s="16" t="n">
        <f aca="false">IF(J714="Yes",0,Scoring!$C$6)</f>
        <v>2</v>
      </c>
      <c r="P714" s="16" t="n">
        <f aca="false">IF(L714="Yes",0,Scoring!$C$7)</f>
        <v>0.5</v>
      </c>
      <c r="Q714" s="8" t="n">
        <f aca="false">ROUND(SUM(M714:P714),2)</f>
        <v>5.6</v>
      </c>
      <c r="R714" s="8" t="str">
        <f aca="false">IF(Q714&gt;=Scoring!$C$10-0.000001,"Keep","Remove")</f>
        <v>Remove</v>
      </c>
      <c r="S714" s="8" t="s">
        <v>7243</v>
      </c>
    </row>
    <row r="715" customFormat="false" ht="15" hidden="false" customHeight="false" outlineLevel="0" collapsed="false">
      <c r="A715" s="8" t="s">
        <v>7352</v>
      </c>
      <c r="B715" s="8" t="s">
        <v>7353</v>
      </c>
      <c r="C715" s="8" t="s">
        <v>178</v>
      </c>
      <c r="D715" s="8" t="s">
        <v>7354</v>
      </c>
      <c r="E715" s="8"/>
      <c r="F715" s="8" t="s">
        <v>78</v>
      </c>
      <c r="G715" s="8" t="n">
        <v>3</v>
      </c>
      <c r="H715" s="13" t="n">
        <v>2</v>
      </c>
      <c r="I715" s="8" t="n">
        <v>6</v>
      </c>
      <c r="J715" s="20" t="s">
        <v>259</v>
      </c>
      <c r="K715" s="8"/>
      <c r="L715" s="20" t="s">
        <v>259</v>
      </c>
      <c r="M715" s="16" t="n">
        <f aca="false">H715*Scoring!$C$5</f>
        <v>2.6</v>
      </c>
      <c r="N715" s="16" t="n">
        <f aca="false">IF(I715&gt;=5,1,IF(I715=4,0.75,IF(I715=3,0.5,IF(I715=2,0.25,0))))*Scoring!$C$8</f>
        <v>1</v>
      </c>
      <c r="O715" s="16" t="n">
        <f aca="false">IF(J715="Yes",0,Scoring!$C$6)</f>
        <v>2</v>
      </c>
      <c r="P715" s="16" t="n">
        <f aca="false">IF(L715="Yes",0,Scoring!$C$7)</f>
        <v>0.5</v>
      </c>
      <c r="Q715" s="8" t="n">
        <f aca="false">ROUND(SUM(M715:P715),2)</f>
        <v>6.1</v>
      </c>
      <c r="R715" s="8" t="str">
        <f aca="false">IF(Q715&gt;=Scoring!$C$10-0.000001,"Keep","Remove")</f>
        <v>Remove</v>
      </c>
      <c r="S715" s="8" t="s">
        <v>7243</v>
      </c>
    </row>
    <row r="716" customFormat="false" ht="15" hidden="false" customHeight="false" outlineLevel="0" collapsed="false">
      <c r="A716" s="8" t="s">
        <v>7355</v>
      </c>
      <c r="B716" s="8" t="s">
        <v>7356</v>
      </c>
      <c r="C716" s="8" t="s">
        <v>178</v>
      </c>
      <c r="D716" s="8" t="s">
        <v>7354</v>
      </c>
      <c r="E716" s="8"/>
      <c r="F716" s="8" t="s">
        <v>81</v>
      </c>
      <c r="G716" s="8" t="n">
        <v>3</v>
      </c>
      <c r="H716" s="13" t="n">
        <v>2</v>
      </c>
      <c r="I716" s="8" t="n">
        <v>5</v>
      </c>
      <c r="J716" s="20" t="s">
        <v>259</v>
      </c>
      <c r="K716" s="8"/>
      <c r="L716" s="20" t="s">
        <v>259</v>
      </c>
      <c r="M716" s="16" t="n">
        <f aca="false">H716*Scoring!$C$5</f>
        <v>2.6</v>
      </c>
      <c r="N716" s="16" t="n">
        <f aca="false">IF(I716&gt;=5,1,IF(I716=4,0.75,IF(I716=3,0.5,IF(I716=2,0.25,0))))*Scoring!$C$8</f>
        <v>1</v>
      </c>
      <c r="O716" s="16" t="n">
        <f aca="false">IF(J716="Yes",0,Scoring!$C$6)</f>
        <v>2</v>
      </c>
      <c r="P716" s="16" t="n">
        <f aca="false">IF(L716="Yes",0,Scoring!$C$7)</f>
        <v>0.5</v>
      </c>
      <c r="Q716" s="8" t="n">
        <f aca="false">ROUND(SUM(M716:P716),2)</f>
        <v>6.1</v>
      </c>
      <c r="R716" s="8" t="str">
        <f aca="false">IF(Q716&gt;=Scoring!$C$10-0.000001,"Keep","Remove")</f>
        <v>Remove</v>
      </c>
      <c r="S716" s="8" t="s">
        <v>7243</v>
      </c>
    </row>
    <row r="717" customFormat="false" ht="15" hidden="false" customHeight="false" outlineLevel="0" collapsed="false">
      <c r="A717" s="8" t="s">
        <v>7357</v>
      </c>
      <c r="B717" s="8" t="s">
        <v>7358</v>
      </c>
      <c r="C717" s="8" t="s">
        <v>178</v>
      </c>
      <c r="D717" s="8" t="s">
        <v>7359</v>
      </c>
      <c r="E717" s="8"/>
      <c r="F717" s="8" t="s">
        <v>78</v>
      </c>
      <c r="G717" s="8" t="n">
        <v>3</v>
      </c>
      <c r="H717" s="13" t="n">
        <v>2</v>
      </c>
      <c r="I717" s="8" t="n">
        <v>5</v>
      </c>
      <c r="J717" s="20" t="s">
        <v>259</v>
      </c>
      <c r="K717" s="8"/>
      <c r="L717" s="20" t="s">
        <v>259</v>
      </c>
      <c r="M717" s="16" t="n">
        <f aca="false">H717*Scoring!$C$5</f>
        <v>2.6</v>
      </c>
      <c r="N717" s="16" t="n">
        <f aca="false">IF(I717&gt;=5,1,IF(I717=4,0.75,IF(I717=3,0.5,IF(I717=2,0.25,0))))*Scoring!$C$8</f>
        <v>1</v>
      </c>
      <c r="O717" s="16" t="n">
        <f aca="false">IF(J717="Yes",0,Scoring!$C$6)</f>
        <v>2</v>
      </c>
      <c r="P717" s="16" t="n">
        <f aca="false">IF(L717="Yes",0,Scoring!$C$7)</f>
        <v>0.5</v>
      </c>
      <c r="Q717" s="8" t="n">
        <f aca="false">ROUND(SUM(M717:P717),2)</f>
        <v>6.1</v>
      </c>
      <c r="R717" s="8" t="str">
        <f aca="false">IF(Q717&gt;=Scoring!$C$10-0.000001,"Keep","Remove")</f>
        <v>Remove</v>
      </c>
      <c r="S717" s="8" t="s">
        <v>7243</v>
      </c>
    </row>
    <row r="718" customFormat="false" ht="15" hidden="false" customHeight="false" outlineLevel="0" collapsed="false">
      <c r="A718" s="8" t="s">
        <v>4866</v>
      </c>
      <c r="B718" s="8" t="s">
        <v>4867</v>
      </c>
      <c r="C718" s="8" t="s">
        <v>178</v>
      </c>
      <c r="D718" s="8" t="s">
        <v>4868</v>
      </c>
      <c r="E718" s="8"/>
      <c r="F718" s="8" t="s">
        <v>81</v>
      </c>
      <c r="G718" s="8" t="n">
        <v>2</v>
      </c>
      <c r="H718" s="13" t="n">
        <v>3</v>
      </c>
      <c r="I718" s="8" t="n">
        <v>3</v>
      </c>
      <c r="J718" s="20" t="s">
        <v>259</v>
      </c>
      <c r="K718" s="8"/>
      <c r="L718" s="20" t="s">
        <v>259</v>
      </c>
      <c r="M718" s="16" t="n">
        <f aca="false">H718*Scoring!$C$5</f>
        <v>3.9</v>
      </c>
      <c r="N718" s="16" t="n">
        <f aca="false">IF(I718&gt;=5,1,IF(I718=4,0.75,IF(I718=3,0.5,IF(I718=2,0.25,0))))*Scoring!$C$8</f>
        <v>0.5</v>
      </c>
      <c r="O718" s="16" t="n">
        <f aca="false">IF(J718="Yes",0,Scoring!$C$6)</f>
        <v>2</v>
      </c>
      <c r="P718" s="16" t="n">
        <f aca="false">IF(L718="Yes",0,Scoring!$C$7)</f>
        <v>0.5</v>
      </c>
      <c r="Q718" s="8" t="n">
        <f aca="false">ROUND(SUM(M718:P718),2)</f>
        <v>6.9</v>
      </c>
      <c r="R718" s="8" t="str">
        <f aca="false">IF(Q718&gt;=Scoring!$C$10-0.000001,"Keep","Remove")</f>
        <v>Keep</v>
      </c>
      <c r="S718" s="8" t="s">
        <v>166</v>
      </c>
    </row>
    <row r="719" customFormat="false" ht="15" hidden="false" customHeight="false" outlineLevel="0" collapsed="false">
      <c r="A719" s="8" t="s">
        <v>4879</v>
      </c>
      <c r="B719" s="8" t="s">
        <v>4880</v>
      </c>
      <c r="C719" s="8" t="s">
        <v>178</v>
      </c>
      <c r="D719" s="8" t="s">
        <v>4868</v>
      </c>
      <c r="E719" s="8"/>
      <c r="F719" s="8" t="s">
        <v>79</v>
      </c>
      <c r="G719" s="8" t="n">
        <v>2</v>
      </c>
      <c r="H719" s="13" t="n">
        <v>3</v>
      </c>
      <c r="I719" s="8" t="n">
        <v>4</v>
      </c>
      <c r="J719" s="20" t="s">
        <v>259</v>
      </c>
      <c r="K719" s="8"/>
      <c r="L719" s="20" t="s">
        <v>259</v>
      </c>
      <c r="M719" s="16" t="n">
        <f aca="false">H719*Scoring!$C$5</f>
        <v>3.9</v>
      </c>
      <c r="N719" s="16" t="n">
        <f aca="false">IF(I719&gt;=5,1,IF(I719=4,0.75,IF(I719=3,0.5,IF(I719=2,0.25,0))))*Scoring!$C$8</f>
        <v>0.75</v>
      </c>
      <c r="O719" s="16" t="n">
        <f aca="false">IF(J719="Yes",0,Scoring!$C$6)</f>
        <v>2</v>
      </c>
      <c r="P719" s="16" t="n">
        <f aca="false">IF(L719="Yes",0,Scoring!$C$7)</f>
        <v>0.5</v>
      </c>
      <c r="Q719" s="8" t="n">
        <f aca="false">ROUND(SUM(M719:P719),2)</f>
        <v>7.15</v>
      </c>
      <c r="R719" s="8" t="str">
        <f aca="false">IF(Q719&gt;=Scoring!$C$10-0.000001,"Keep","Remove")</f>
        <v>Keep</v>
      </c>
      <c r="S719" s="8" t="s">
        <v>166</v>
      </c>
    </row>
    <row r="720" customFormat="false" ht="15" hidden="false" customHeight="false" outlineLevel="0" collapsed="false">
      <c r="A720" s="8" t="s">
        <v>7724</v>
      </c>
      <c r="B720" s="8" t="s">
        <v>7725</v>
      </c>
      <c r="C720" s="8" t="s">
        <v>178</v>
      </c>
      <c r="D720" s="8" t="s">
        <v>7726</v>
      </c>
      <c r="E720" s="8"/>
      <c r="F720" s="8" t="s">
        <v>81</v>
      </c>
      <c r="G720" s="8" t="n">
        <v>3</v>
      </c>
      <c r="H720" s="13" t="n">
        <v>2</v>
      </c>
      <c r="I720" s="8" t="n">
        <v>3</v>
      </c>
      <c r="J720" s="20" t="s">
        <v>259</v>
      </c>
      <c r="K720" s="8"/>
      <c r="L720" s="20" t="s">
        <v>259</v>
      </c>
      <c r="M720" s="16" t="n">
        <f aca="false">H720*Scoring!$C$5</f>
        <v>2.6</v>
      </c>
      <c r="N720" s="16" t="n">
        <f aca="false">IF(I720&gt;=5,1,IF(I720=4,0.75,IF(I720=3,0.5,IF(I720=2,0.25,0))))*Scoring!$C$8</f>
        <v>0.5</v>
      </c>
      <c r="O720" s="16" t="n">
        <f aca="false">IF(J720="Yes",0,Scoring!$C$6)</f>
        <v>2</v>
      </c>
      <c r="P720" s="16" t="n">
        <f aca="false">IF(L720="Yes",0,Scoring!$C$7)</f>
        <v>0.5</v>
      </c>
      <c r="Q720" s="8" t="n">
        <f aca="false">ROUND(SUM(M720:P720),2)</f>
        <v>5.6</v>
      </c>
      <c r="R720" s="8" t="str">
        <f aca="false">IF(Q720&gt;=Scoring!$C$10-0.000001,"Keep","Remove")</f>
        <v>Remove</v>
      </c>
      <c r="S720" s="8" t="s">
        <v>7243</v>
      </c>
    </row>
    <row r="721" customFormat="false" ht="15" hidden="false" customHeight="false" outlineLevel="0" collapsed="false">
      <c r="A721" s="8" t="s">
        <v>7863</v>
      </c>
      <c r="B721" s="8" t="s">
        <v>7864</v>
      </c>
      <c r="C721" s="8" t="s">
        <v>178</v>
      </c>
      <c r="D721" s="8" t="s">
        <v>7726</v>
      </c>
      <c r="E721" s="8"/>
      <c r="F721" s="8" t="s">
        <v>78</v>
      </c>
      <c r="G721" s="8" t="n">
        <v>3</v>
      </c>
      <c r="H721" s="13" t="n">
        <v>2</v>
      </c>
      <c r="I721" s="8" t="n">
        <v>6</v>
      </c>
      <c r="J721" s="20" t="s">
        <v>218</v>
      </c>
      <c r="K721" s="8" t="s">
        <v>8185</v>
      </c>
      <c r="L721" s="20" t="s">
        <v>259</v>
      </c>
      <c r="M721" s="16" t="n">
        <f aca="false">H721*Scoring!$C$5</f>
        <v>2.6</v>
      </c>
      <c r="N721" s="16" t="n">
        <f aca="false">IF(I721&gt;=5,1,IF(I721=4,0.75,IF(I721=3,0.5,IF(I721=2,0.25,0))))*Scoring!$C$8</f>
        <v>1</v>
      </c>
      <c r="O721" s="16" t="n">
        <f aca="false">IF(J721="Yes",0,Scoring!$C$6)</f>
        <v>0</v>
      </c>
      <c r="P721" s="16" t="n">
        <f aca="false">IF(L721="Yes",0,Scoring!$C$7)</f>
        <v>0.5</v>
      </c>
      <c r="Q721" s="8" t="n">
        <f aca="false">ROUND(SUM(M721:P721),2)</f>
        <v>4.1</v>
      </c>
      <c r="R721" s="8" t="str">
        <f aca="false">IF(Q721&gt;=Scoring!$C$10-0.000001,"Keep","Remove")</f>
        <v>Remove</v>
      </c>
      <c r="S721" s="8" t="s">
        <v>7865</v>
      </c>
    </row>
    <row r="722" customFormat="false" ht="15" hidden="false" customHeight="false" outlineLevel="0" collapsed="false">
      <c r="A722" s="8" t="s">
        <v>4888</v>
      </c>
      <c r="B722" s="8" t="s">
        <v>4889</v>
      </c>
      <c r="C722" s="8" t="s">
        <v>178</v>
      </c>
      <c r="D722" s="8" t="s">
        <v>4890</v>
      </c>
      <c r="E722" s="8"/>
      <c r="F722" s="8" t="s">
        <v>82</v>
      </c>
      <c r="G722" s="8" t="n">
        <v>3</v>
      </c>
      <c r="H722" s="13" t="n">
        <v>4</v>
      </c>
      <c r="I722" s="8" t="n">
        <v>5</v>
      </c>
      <c r="J722" s="20" t="s">
        <v>259</v>
      </c>
      <c r="K722" s="8"/>
      <c r="L722" s="20" t="s">
        <v>259</v>
      </c>
      <c r="M722" s="16" t="n">
        <f aca="false">H722*Scoring!$C$5</f>
        <v>5.2</v>
      </c>
      <c r="N722" s="16" t="n">
        <f aca="false">IF(I722&gt;=5,1,IF(I722=4,0.75,IF(I722=3,0.5,IF(I722=2,0.25,0))))*Scoring!$C$8</f>
        <v>1</v>
      </c>
      <c r="O722" s="16" t="n">
        <f aca="false">IF(J722="Yes",0,Scoring!$C$6)</f>
        <v>2</v>
      </c>
      <c r="P722" s="16" t="n">
        <f aca="false">IF(L722="Yes",0,Scoring!$C$7)</f>
        <v>0.5</v>
      </c>
      <c r="Q722" s="8" t="n">
        <f aca="false">ROUND(SUM(M722:P722),2)</f>
        <v>8.7</v>
      </c>
      <c r="R722" s="8" t="str">
        <f aca="false">IF(Q722&gt;=Scoring!$C$10-0.000001,"Keep","Remove")</f>
        <v>Keep</v>
      </c>
      <c r="S722" s="8" t="s">
        <v>166</v>
      </c>
    </row>
    <row r="723" customFormat="false" ht="15" hidden="false" customHeight="false" outlineLevel="0" collapsed="false">
      <c r="A723" s="8" t="s">
        <v>7562</v>
      </c>
      <c r="B723" s="8" t="s">
        <v>7563</v>
      </c>
      <c r="C723" s="8" t="s">
        <v>178</v>
      </c>
      <c r="D723" s="8" t="s">
        <v>4890</v>
      </c>
      <c r="E723" s="8"/>
      <c r="F723" s="8" t="s">
        <v>89</v>
      </c>
      <c r="G723" s="8" t="n">
        <v>3</v>
      </c>
      <c r="H723" s="13" t="n">
        <v>2</v>
      </c>
      <c r="I723" s="8" t="n">
        <v>4</v>
      </c>
      <c r="J723" s="20" t="s">
        <v>259</v>
      </c>
      <c r="K723" s="8"/>
      <c r="L723" s="20" t="s">
        <v>259</v>
      </c>
      <c r="M723" s="16" t="n">
        <f aca="false">H723*Scoring!$C$5</f>
        <v>2.6</v>
      </c>
      <c r="N723" s="16" t="n">
        <f aca="false">IF(I723&gt;=5,1,IF(I723=4,0.75,IF(I723=3,0.5,IF(I723=2,0.25,0))))*Scoring!$C$8</f>
        <v>0.75</v>
      </c>
      <c r="O723" s="16" t="n">
        <f aca="false">IF(J723="Yes",0,Scoring!$C$6)</f>
        <v>2</v>
      </c>
      <c r="P723" s="16" t="n">
        <f aca="false">IF(L723="Yes",0,Scoring!$C$7)</f>
        <v>0.5</v>
      </c>
      <c r="Q723" s="8" t="n">
        <f aca="false">ROUND(SUM(M723:P723),2)</f>
        <v>5.85</v>
      </c>
      <c r="R723" s="8" t="str">
        <f aca="false">IF(Q723&gt;=Scoring!$C$10-0.000001,"Keep","Remove")</f>
        <v>Remove</v>
      </c>
      <c r="S723" s="8" t="s">
        <v>7243</v>
      </c>
    </row>
    <row r="724" customFormat="false" ht="15" hidden="false" customHeight="false" outlineLevel="0" collapsed="false">
      <c r="A724" s="8" t="s">
        <v>4899</v>
      </c>
      <c r="B724" s="8" t="s">
        <v>4900</v>
      </c>
      <c r="C724" s="8" t="s">
        <v>178</v>
      </c>
      <c r="D724" s="8" t="s">
        <v>4901</v>
      </c>
      <c r="E724" s="8"/>
      <c r="F724" s="8" t="s">
        <v>87</v>
      </c>
      <c r="G724" s="8" t="n">
        <v>1</v>
      </c>
      <c r="H724" s="13" t="n">
        <v>3</v>
      </c>
      <c r="I724" s="8" t="n">
        <v>5</v>
      </c>
      <c r="J724" s="20" t="s">
        <v>259</v>
      </c>
      <c r="K724" s="8"/>
      <c r="L724" s="20" t="s">
        <v>259</v>
      </c>
      <c r="M724" s="16" t="n">
        <f aca="false">H724*Scoring!$C$5</f>
        <v>3.9</v>
      </c>
      <c r="N724" s="16" t="n">
        <f aca="false">IF(I724&gt;=5,1,IF(I724=4,0.75,IF(I724=3,0.5,IF(I724=2,0.25,0))))*Scoring!$C$8</f>
        <v>1</v>
      </c>
      <c r="O724" s="16" t="n">
        <f aca="false">IF(J724="Yes",0,Scoring!$C$6)</f>
        <v>2</v>
      </c>
      <c r="P724" s="16" t="n">
        <f aca="false">IF(L724="Yes",0,Scoring!$C$7)</f>
        <v>0.5</v>
      </c>
      <c r="Q724" s="8" t="n">
        <f aca="false">ROUND(SUM(M724:P724),2)</f>
        <v>7.4</v>
      </c>
      <c r="R724" s="8" t="str">
        <f aca="false">IF(Q724&gt;=Scoring!$C$10-0.000001,"Keep","Remove")</f>
        <v>Keep</v>
      </c>
      <c r="S724" s="8" t="s">
        <v>166</v>
      </c>
    </row>
    <row r="725" customFormat="false" ht="15" hidden="false" customHeight="false" outlineLevel="0" collapsed="false">
      <c r="A725" s="8" t="s">
        <v>4912</v>
      </c>
      <c r="B725" s="8" t="s">
        <v>4913</v>
      </c>
      <c r="C725" s="8" t="s">
        <v>178</v>
      </c>
      <c r="D725" s="8" t="s">
        <v>4901</v>
      </c>
      <c r="E725" s="8"/>
      <c r="F725" s="8" t="s">
        <v>79</v>
      </c>
      <c r="G725" s="8" t="n">
        <v>2</v>
      </c>
      <c r="H725" s="13" t="n">
        <v>3</v>
      </c>
      <c r="I725" s="8" t="n">
        <v>3</v>
      </c>
      <c r="J725" s="20" t="s">
        <v>259</v>
      </c>
      <c r="K725" s="8"/>
      <c r="L725" s="20" t="s">
        <v>259</v>
      </c>
      <c r="M725" s="16" t="n">
        <f aca="false">H725*Scoring!$C$5</f>
        <v>3.9</v>
      </c>
      <c r="N725" s="16" t="n">
        <f aca="false">IF(I725&gt;=5,1,IF(I725=4,0.75,IF(I725=3,0.5,IF(I725=2,0.25,0))))*Scoring!$C$8</f>
        <v>0.5</v>
      </c>
      <c r="O725" s="16" t="n">
        <f aca="false">IF(J725="Yes",0,Scoring!$C$6)</f>
        <v>2</v>
      </c>
      <c r="P725" s="16" t="n">
        <f aca="false">IF(L725="Yes",0,Scoring!$C$7)</f>
        <v>0.5</v>
      </c>
      <c r="Q725" s="8" t="n">
        <f aca="false">ROUND(SUM(M725:P725),2)</f>
        <v>6.9</v>
      </c>
      <c r="R725" s="8" t="str">
        <f aca="false">IF(Q725&gt;=Scoring!$C$10-0.000001,"Keep","Remove")</f>
        <v>Keep</v>
      </c>
      <c r="S725" s="8" t="s">
        <v>166</v>
      </c>
    </row>
    <row r="726" customFormat="false" ht="15" hidden="false" customHeight="false" outlineLevel="0" collapsed="false">
      <c r="A726" s="8" t="s">
        <v>4921</v>
      </c>
      <c r="B726" s="8" t="s">
        <v>4922</v>
      </c>
      <c r="C726" s="8" t="s">
        <v>178</v>
      </c>
      <c r="D726" s="8" t="s">
        <v>4923</v>
      </c>
      <c r="E726" s="8"/>
      <c r="F726" s="8" t="s">
        <v>78</v>
      </c>
      <c r="G726" s="8" t="n">
        <v>1</v>
      </c>
      <c r="H726" s="13" t="n">
        <v>4</v>
      </c>
      <c r="I726" s="8" t="n">
        <v>6</v>
      </c>
      <c r="J726" s="20" t="s">
        <v>259</v>
      </c>
      <c r="K726" s="8"/>
      <c r="L726" s="20" t="s">
        <v>259</v>
      </c>
      <c r="M726" s="16" t="n">
        <f aca="false">H726*Scoring!$C$5</f>
        <v>5.2</v>
      </c>
      <c r="N726" s="16" t="n">
        <f aca="false">IF(I726&gt;=5,1,IF(I726=4,0.75,IF(I726=3,0.5,IF(I726=2,0.25,0))))*Scoring!$C$8</f>
        <v>1</v>
      </c>
      <c r="O726" s="16" t="n">
        <f aca="false">IF(J726="Yes",0,Scoring!$C$6)</f>
        <v>2</v>
      </c>
      <c r="P726" s="16" t="n">
        <f aca="false">IF(L726="Yes",0,Scoring!$C$7)</f>
        <v>0.5</v>
      </c>
      <c r="Q726" s="8" t="n">
        <f aca="false">ROUND(SUM(M726:P726),2)</f>
        <v>8.7</v>
      </c>
      <c r="R726" s="8" t="str">
        <f aca="false">IF(Q726&gt;=Scoring!$C$10-0.000001,"Keep","Remove")</f>
        <v>Keep</v>
      </c>
      <c r="S726" s="8" t="s">
        <v>166</v>
      </c>
    </row>
    <row r="727" customFormat="false" ht="15" hidden="false" customHeight="false" outlineLevel="0" collapsed="false">
      <c r="A727" s="8" t="s">
        <v>4930</v>
      </c>
      <c r="B727" s="8" t="s">
        <v>4931</v>
      </c>
      <c r="C727" s="8" t="s">
        <v>178</v>
      </c>
      <c r="D727" s="8" t="s">
        <v>4923</v>
      </c>
      <c r="E727" s="8"/>
      <c r="F727" s="8" t="s">
        <v>89</v>
      </c>
      <c r="G727" s="8" t="n">
        <v>1</v>
      </c>
      <c r="H727" s="13" t="n">
        <v>4</v>
      </c>
      <c r="I727" s="8" t="n">
        <v>5</v>
      </c>
      <c r="J727" s="20" t="s">
        <v>259</v>
      </c>
      <c r="K727" s="8"/>
      <c r="L727" s="20" t="s">
        <v>259</v>
      </c>
      <c r="M727" s="16" t="n">
        <f aca="false">H727*Scoring!$C$5</f>
        <v>5.2</v>
      </c>
      <c r="N727" s="16" t="n">
        <f aca="false">IF(I727&gt;=5,1,IF(I727=4,0.75,IF(I727=3,0.5,IF(I727=2,0.25,0))))*Scoring!$C$8</f>
        <v>1</v>
      </c>
      <c r="O727" s="16" t="n">
        <f aca="false">IF(J727="Yes",0,Scoring!$C$6)</f>
        <v>2</v>
      </c>
      <c r="P727" s="16" t="n">
        <f aca="false">IF(L727="Yes",0,Scoring!$C$7)</f>
        <v>0.5</v>
      </c>
      <c r="Q727" s="8" t="n">
        <f aca="false">ROUND(SUM(M727:P727),2)</f>
        <v>8.7</v>
      </c>
      <c r="R727" s="8" t="str">
        <f aca="false">IF(Q727&gt;=Scoring!$C$10-0.000001,"Keep","Remove")</f>
        <v>Keep</v>
      </c>
      <c r="S727" s="8" t="s">
        <v>166</v>
      </c>
    </row>
    <row r="728" customFormat="false" ht="15" hidden="false" customHeight="false" outlineLevel="0" collapsed="false">
      <c r="A728" s="8" t="s">
        <v>4941</v>
      </c>
      <c r="B728" s="8" t="s">
        <v>4942</v>
      </c>
      <c r="C728" s="8" t="s">
        <v>178</v>
      </c>
      <c r="D728" s="8" t="s">
        <v>4923</v>
      </c>
      <c r="E728" s="8"/>
      <c r="F728" s="8" t="s">
        <v>81</v>
      </c>
      <c r="G728" s="8" t="n">
        <v>1</v>
      </c>
      <c r="H728" s="13" t="n">
        <v>3</v>
      </c>
      <c r="I728" s="8" t="n">
        <v>5</v>
      </c>
      <c r="J728" s="20" t="s">
        <v>259</v>
      </c>
      <c r="K728" s="8"/>
      <c r="L728" s="20" t="s">
        <v>259</v>
      </c>
      <c r="M728" s="16" t="n">
        <f aca="false">H728*Scoring!$C$5</f>
        <v>3.9</v>
      </c>
      <c r="N728" s="16" t="n">
        <f aca="false">IF(I728&gt;=5,1,IF(I728=4,0.75,IF(I728=3,0.5,IF(I728=2,0.25,0))))*Scoring!$C$8</f>
        <v>1</v>
      </c>
      <c r="O728" s="16" t="n">
        <f aca="false">IF(J728="Yes",0,Scoring!$C$6)</f>
        <v>2</v>
      </c>
      <c r="P728" s="16" t="n">
        <f aca="false">IF(L728="Yes",0,Scoring!$C$7)</f>
        <v>0.5</v>
      </c>
      <c r="Q728" s="8" t="n">
        <f aca="false">ROUND(SUM(M728:P728),2)</f>
        <v>7.4</v>
      </c>
      <c r="R728" s="8" t="str">
        <f aca="false">IF(Q728&gt;=Scoring!$C$10-0.000001,"Keep","Remove")</f>
        <v>Keep</v>
      </c>
      <c r="S728" s="8" t="s">
        <v>166</v>
      </c>
    </row>
    <row r="729" customFormat="false" ht="15" hidden="false" customHeight="false" outlineLevel="0" collapsed="false">
      <c r="A729" s="8" t="s">
        <v>4952</v>
      </c>
      <c r="B729" s="8" t="s">
        <v>4953</v>
      </c>
      <c r="C729" s="8" t="s">
        <v>178</v>
      </c>
      <c r="D729" s="8" t="s">
        <v>4923</v>
      </c>
      <c r="E729" s="8"/>
      <c r="F729" s="8" t="s">
        <v>81</v>
      </c>
      <c r="G729" s="8" t="n">
        <v>1</v>
      </c>
      <c r="H729" s="13" t="n">
        <v>4</v>
      </c>
      <c r="I729" s="8" t="n">
        <v>5</v>
      </c>
      <c r="J729" s="20" t="s">
        <v>259</v>
      </c>
      <c r="K729" s="8"/>
      <c r="L729" s="20" t="s">
        <v>259</v>
      </c>
      <c r="M729" s="16" t="n">
        <f aca="false">H729*Scoring!$C$5</f>
        <v>5.2</v>
      </c>
      <c r="N729" s="16" t="n">
        <f aca="false">IF(I729&gt;=5,1,IF(I729=4,0.75,IF(I729=3,0.5,IF(I729=2,0.25,0))))*Scoring!$C$8</f>
        <v>1</v>
      </c>
      <c r="O729" s="16" t="n">
        <f aca="false">IF(J729="Yes",0,Scoring!$C$6)</f>
        <v>2</v>
      </c>
      <c r="P729" s="16" t="n">
        <f aca="false">IF(L729="Yes",0,Scoring!$C$7)</f>
        <v>0.5</v>
      </c>
      <c r="Q729" s="8" t="n">
        <f aca="false">ROUND(SUM(M729:P729),2)</f>
        <v>8.7</v>
      </c>
      <c r="R729" s="8" t="str">
        <f aca="false">IF(Q729&gt;=Scoring!$C$10-0.000001,"Keep","Remove")</f>
        <v>Keep</v>
      </c>
      <c r="S729" s="8" t="s">
        <v>166</v>
      </c>
    </row>
    <row r="730" customFormat="false" ht="15" hidden="false" customHeight="false" outlineLevel="0" collapsed="false">
      <c r="A730" s="8" t="s">
        <v>4961</v>
      </c>
      <c r="B730" s="8" t="s">
        <v>4962</v>
      </c>
      <c r="C730" s="8" t="s">
        <v>178</v>
      </c>
      <c r="D730" s="8" t="s">
        <v>4923</v>
      </c>
      <c r="E730" s="8"/>
      <c r="F730" s="8" t="s">
        <v>79</v>
      </c>
      <c r="G730" s="8" t="n">
        <v>2</v>
      </c>
      <c r="H730" s="13" t="n">
        <v>3</v>
      </c>
      <c r="I730" s="8" t="n">
        <v>6</v>
      </c>
      <c r="J730" s="20" t="s">
        <v>259</v>
      </c>
      <c r="K730" s="8"/>
      <c r="L730" s="20" t="s">
        <v>259</v>
      </c>
      <c r="M730" s="16" t="n">
        <f aca="false">H730*Scoring!$C$5</f>
        <v>3.9</v>
      </c>
      <c r="N730" s="16" t="n">
        <f aca="false">IF(I730&gt;=5,1,IF(I730=4,0.75,IF(I730=3,0.5,IF(I730=2,0.25,0))))*Scoring!$C$8</f>
        <v>1</v>
      </c>
      <c r="O730" s="16" t="n">
        <f aca="false">IF(J730="Yes",0,Scoring!$C$6)</f>
        <v>2</v>
      </c>
      <c r="P730" s="16" t="n">
        <f aca="false">IF(L730="Yes",0,Scoring!$C$7)</f>
        <v>0.5</v>
      </c>
      <c r="Q730" s="8" t="n">
        <f aca="false">ROUND(SUM(M730:P730),2)</f>
        <v>7.4</v>
      </c>
      <c r="R730" s="8" t="str">
        <f aca="false">IF(Q730&gt;=Scoring!$C$10-0.000001,"Keep","Remove")</f>
        <v>Keep</v>
      </c>
      <c r="S730" s="8" t="s">
        <v>166</v>
      </c>
    </row>
    <row r="731" customFormat="false" ht="15" hidden="false" customHeight="false" outlineLevel="0" collapsed="false">
      <c r="A731" s="8" t="s">
        <v>4967</v>
      </c>
      <c r="B731" s="8" t="s">
        <v>4968</v>
      </c>
      <c r="C731" s="8" t="s">
        <v>178</v>
      </c>
      <c r="D731" s="8" t="s">
        <v>4923</v>
      </c>
      <c r="E731" s="8"/>
      <c r="F731" s="8" t="s">
        <v>88</v>
      </c>
      <c r="G731" s="8" t="n">
        <v>1</v>
      </c>
      <c r="H731" s="13" t="n">
        <v>4</v>
      </c>
      <c r="I731" s="8" t="n">
        <v>3</v>
      </c>
      <c r="J731" s="20" t="s">
        <v>259</v>
      </c>
      <c r="K731" s="8"/>
      <c r="L731" s="20" t="s">
        <v>259</v>
      </c>
      <c r="M731" s="16" t="n">
        <f aca="false">H731*Scoring!$C$5</f>
        <v>5.2</v>
      </c>
      <c r="N731" s="16" t="n">
        <f aca="false">IF(I731&gt;=5,1,IF(I731=4,0.75,IF(I731=3,0.5,IF(I731=2,0.25,0))))*Scoring!$C$8</f>
        <v>0.5</v>
      </c>
      <c r="O731" s="16" t="n">
        <f aca="false">IF(J731="Yes",0,Scoring!$C$6)</f>
        <v>2</v>
      </c>
      <c r="P731" s="16" t="n">
        <f aca="false">IF(L731="Yes",0,Scoring!$C$7)</f>
        <v>0.5</v>
      </c>
      <c r="Q731" s="8" t="n">
        <f aca="false">ROUND(SUM(M731:P731),2)</f>
        <v>8.2</v>
      </c>
      <c r="R731" s="8" t="str">
        <f aca="false">IF(Q731&gt;=Scoring!$C$10-0.000001,"Keep","Remove")</f>
        <v>Keep</v>
      </c>
      <c r="S731" s="8" t="s">
        <v>166</v>
      </c>
    </row>
    <row r="732" customFormat="false" ht="15" hidden="false" customHeight="false" outlineLevel="0" collapsed="false">
      <c r="A732" s="8" t="s">
        <v>4975</v>
      </c>
      <c r="B732" s="8" t="s">
        <v>4976</v>
      </c>
      <c r="C732" s="8" t="s">
        <v>178</v>
      </c>
      <c r="D732" s="8" t="s">
        <v>4923</v>
      </c>
      <c r="E732" s="8"/>
      <c r="F732" s="8" t="s">
        <v>79</v>
      </c>
      <c r="G732" s="8" t="n">
        <v>2</v>
      </c>
      <c r="H732" s="13" t="n">
        <v>3</v>
      </c>
      <c r="I732" s="8" t="n">
        <v>5</v>
      </c>
      <c r="J732" s="20" t="s">
        <v>259</v>
      </c>
      <c r="K732" s="8"/>
      <c r="L732" s="20" t="s">
        <v>259</v>
      </c>
      <c r="M732" s="16" t="n">
        <f aca="false">H732*Scoring!$C$5</f>
        <v>3.9</v>
      </c>
      <c r="N732" s="16" t="n">
        <f aca="false">IF(I732&gt;=5,1,IF(I732=4,0.75,IF(I732=3,0.5,IF(I732=2,0.25,0))))*Scoring!$C$8</f>
        <v>1</v>
      </c>
      <c r="O732" s="16" t="n">
        <f aca="false">IF(J732="Yes",0,Scoring!$C$6)</f>
        <v>2</v>
      </c>
      <c r="P732" s="16" t="n">
        <f aca="false">IF(L732="Yes",0,Scoring!$C$7)</f>
        <v>0.5</v>
      </c>
      <c r="Q732" s="8" t="n">
        <f aca="false">ROUND(SUM(M732:P732),2)</f>
        <v>7.4</v>
      </c>
      <c r="R732" s="8" t="str">
        <f aca="false">IF(Q732&gt;=Scoring!$C$10-0.000001,"Keep","Remove")</f>
        <v>Keep</v>
      </c>
      <c r="S732" s="8" t="s">
        <v>166</v>
      </c>
    </row>
    <row r="733" customFormat="false" ht="15" hidden="false" customHeight="false" outlineLevel="0" collapsed="false">
      <c r="A733" s="8" t="s">
        <v>7360</v>
      </c>
      <c r="B733" s="8" t="s">
        <v>7361</v>
      </c>
      <c r="C733" s="8" t="s">
        <v>178</v>
      </c>
      <c r="D733" s="8" t="s">
        <v>4923</v>
      </c>
      <c r="E733" s="8"/>
      <c r="F733" s="8" t="s">
        <v>78</v>
      </c>
      <c r="G733" s="8" t="n">
        <v>3</v>
      </c>
      <c r="H733" s="13" t="n">
        <v>2</v>
      </c>
      <c r="I733" s="8" t="n">
        <v>5</v>
      </c>
      <c r="J733" s="20" t="s">
        <v>259</v>
      </c>
      <c r="K733" s="8"/>
      <c r="L733" s="20" t="s">
        <v>259</v>
      </c>
      <c r="M733" s="16" t="n">
        <f aca="false">H733*Scoring!$C$5</f>
        <v>2.6</v>
      </c>
      <c r="N733" s="16" t="n">
        <f aca="false">IF(I733&gt;=5,1,IF(I733=4,0.75,IF(I733=3,0.5,IF(I733=2,0.25,0))))*Scoring!$C$8</f>
        <v>1</v>
      </c>
      <c r="O733" s="16" t="n">
        <f aca="false">IF(J733="Yes",0,Scoring!$C$6)</f>
        <v>2</v>
      </c>
      <c r="P733" s="16" t="n">
        <f aca="false">IF(L733="Yes",0,Scoring!$C$7)</f>
        <v>0.5</v>
      </c>
      <c r="Q733" s="8" t="n">
        <f aca="false">ROUND(SUM(M733:P733),2)</f>
        <v>6.1</v>
      </c>
      <c r="R733" s="8" t="str">
        <f aca="false">IF(Q733&gt;=Scoring!$C$10-0.000001,"Keep","Remove")</f>
        <v>Remove</v>
      </c>
      <c r="S733" s="8" t="s">
        <v>7243</v>
      </c>
    </row>
    <row r="734" customFormat="false" ht="15" hidden="false" customHeight="false" outlineLevel="0" collapsed="false">
      <c r="A734" s="8" t="s">
        <v>7564</v>
      </c>
      <c r="B734" s="8" t="s">
        <v>7565</v>
      </c>
      <c r="C734" s="8" t="s">
        <v>178</v>
      </c>
      <c r="D734" s="8" t="s">
        <v>4923</v>
      </c>
      <c r="E734" s="8"/>
      <c r="F734" s="8" t="s">
        <v>83</v>
      </c>
      <c r="G734" s="8" t="n">
        <v>3</v>
      </c>
      <c r="H734" s="13" t="n">
        <v>2</v>
      </c>
      <c r="I734" s="8" t="n">
        <v>4</v>
      </c>
      <c r="J734" s="20" t="s">
        <v>259</v>
      </c>
      <c r="K734" s="8"/>
      <c r="L734" s="20" t="s">
        <v>259</v>
      </c>
      <c r="M734" s="16" t="n">
        <f aca="false">H734*Scoring!$C$5</f>
        <v>2.6</v>
      </c>
      <c r="N734" s="16" t="n">
        <f aca="false">IF(I734&gt;=5,1,IF(I734=4,0.75,IF(I734=3,0.5,IF(I734=2,0.25,0))))*Scoring!$C$8</f>
        <v>0.75</v>
      </c>
      <c r="O734" s="16" t="n">
        <f aca="false">IF(J734="Yes",0,Scoring!$C$6)</f>
        <v>2</v>
      </c>
      <c r="P734" s="16" t="n">
        <f aca="false">IF(L734="Yes",0,Scoring!$C$7)</f>
        <v>0.5</v>
      </c>
      <c r="Q734" s="8" t="n">
        <f aca="false">ROUND(SUM(M734:P734),2)</f>
        <v>5.85</v>
      </c>
      <c r="R734" s="8" t="str">
        <f aca="false">IF(Q734&gt;=Scoring!$C$10-0.000001,"Keep","Remove")</f>
        <v>Remove</v>
      </c>
      <c r="S734" s="8" t="s">
        <v>7243</v>
      </c>
    </row>
    <row r="735" customFormat="false" ht="15" hidden="false" customHeight="false" outlineLevel="0" collapsed="false">
      <c r="A735" s="8" t="s">
        <v>7566</v>
      </c>
      <c r="B735" s="8" t="s">
        <v>7567</v>
      </c>
      <c r="C735" s="8" t="s">
        <v>178</v>
      </c>
      <c r="D735" s="8" t="s">
        <v>4923</v>
      </c>
      <c r="E735" s="8"/>
      <c r="F735" s="8" t="s">
        <v>80</v>
      </c>
      <c r="G735" s="8" t="n">
        <v>3</v>
      </c>
      <c r="H735" s="13" t="n">
        <v>2</v>
      </c>
      <c r="I735" s="8" t="n">
        <v>4</v>
      </c>
      <c r="J735" s="20" t="s">
        <v>259</v>
      </c>
      <c r="K735" s="8"/>
      <c r="L735" s="20" t="s">
        <v>259</v>
      </c>
      <c r="M735" s="16" t="n">
        <f aca="false">H735*Scoring!$C$5</f>
        <v>2.6</v>
      </c>
      <c r="N735" s="16" t="n">
        <f aca="false">IF(I735&gt;=5,1,IF(I735=4,0.75,IF(I735=3,0.5,IF(I735=2,0.25,0))))*Scoring!$C$8</f>
        <v>0.75</v>
      </c>
      <c r="O735" s="16" t="n">
        <f aca="false">IF(J735="Yes",0,Scoring!$C$6)</f>
        <v>2</v>
      </c>
      <c r="P735" s="16" t="n">
        <f aca="false">IF(L735="Yes",0,Scoring!$C$7)</f>
        <v>0.5</v>
      </c>
      <c r="Q735" s="8" t="n">
        <f aca="false">ROUND(SUM(M735:P735),2)</f>
        <v>5.85</v>
      </c>
      <c r="R735" s="8" t="str">
        <f aca="false">IF(Q735&gt;=Scoring!$C$10-0.000001,"Keep","Remove")</f>
        <v>Remove</v>
      </c>
      <c r="S735" s="8" t="s">
        <v>7243</v>
      </c>
    </row>
    <row r="736" customFormat="false" ht="15" hidden="false" customHeight="false" outlineLevel="0" collapsed="false">
      <c r="A736" s="8" t="s">
        <v>7568</v>
      </c>
      <c r="B736" s="8" t="s">
        <v>7569</v>
      </c>
      <c r="C736" s="8" t="s">
        <v>178</v>
      </c>
      <c r="D736" s="8" t="s">
        <v>4923</v>
      </c>
      <c r="E736" s="8"/>
      <c r="F736" s="8" t="s">
        <v>78</v>
      </c>
      <c r="G736" s="8" t="n">
        <v>3</v>
      </c>
      <c r="H736" s="13" t="n">
        <v>2</v>
      </c>
      <c r="I736" s="8" t="n">
        <v>4</v>
      </c>
      <c r="J736" s="20" t="s">
        <v>259</v>
      </c>
      <c r="K736" s="8"/>
      <c r="L736" s="20" t="s">
        <v>259</v>
      </c>
      <c r="M736" s="16" t="n">
        <f aca="false">H736*Scoring!$C$5</f>
        <v>2.6</v>
      </c>
      <c r="N736" s="16" t="n">
        <f aca="false">IF(I736&gt;=5,1,IF(I736=4,0.75,IF(I736=3,0.5,IF(I736=2,0.25,0))))*Scoring!$C$8</f>
        <v>0.75</v>
      </c>
      <c r="O736" s="16" t="n">
        <f aca="false">IF(J736="Yes",0,Scoring!$C$6)</f>
        <v>2</v>
      </c>
      <c r="P736" s="16" t="n">
        <f aca="false">IF(L736="Yes",0,Scoring!$C$7)</f>
        <v>0.5</v>
      </c>
      <c r="Q736" s="8" t="n">
        <f aca="false">ROUND(SUM(M736:P736),2)</f>
        <v>5.85</v>
      </c>
      <c r="R736" s="8" t="str">
        <f aca="false">IF(Q736&gt;=Scoring!$C$10-0.000001,"Keep","Remove")</f>
        <v>Remove</v>
      </c>
      <c r="S736" s="8" t="s">
        <v>7243</v>
      </c>
    </row>
    <row r="737" customFormat="false" ht="15" hidden="false" customHeight="false" outlineLevel="0" collapsed="false">
      <c r="A737" s="8" t="s">
        <v>4985</v>
      </c>
      <c r="B737" s="8" t="s">
        <v>4986</v>
      </c>
      <c r="C737" s="8" t="s">
        <v>178</v>
      </c>
      <c r="D737" s="8" t="s">
        <v>4987</v>
      </c>
      <c r="E737" s="8"/>
      <c r="F737" s="8" t="s">
        <v>80</v>
      </c>
      <c r="G737" s="8" t="n">
        <v>1</v>
      </c>
      <c r="H737" s="13" t="n">
        <v>4</v>
      </c>
      <c r="I737" s="8" t="n">
        <v>5</v>
      </c>
      <c r="J737" s="20" t="s">
        <v>259</v>
      </c>
      <c r="K737" s="8"/>
      <c r="L737" s="20" t="s">
        <v>259</v>
      </c>
      <c r="M737" s="16" t="n">
        <f aca="false">H737*Scoring!$C$5</f>
        <v>5.2</v>
      </c>
      <c r="N737" s="16" t="n">
        <f aca="false">IF(I737&gt;=5,1,IF(I737=4,0.75,IF(I737=3,0.5,IF(I737=2,0.25,0))))*Scoring!$C$8</f>
        <v>1</v>
      </c>
      <c r="O737" s="16" t="n">
        <f aca="false">IF(J737="Yes",0,Scoring!$C$6)</f>
        <v>2</v>
      </c>
      <c r="P737" s="16" t="n">
        <f aca="false">IF(L737="Yes",0,Scoring!$C$7)</f>
        <v>0.5</v>
      </c>
      <c r="Q737" s="8" t="n">
        <f aca="false">ROUND(SUM(M737:P737),2)</f>
        <v>8.7</v>
      </c>
      <c r="R737" s="8" t="str">
        <f aca="false">IF(Q737&gt;=Scoring!$C$10-0.000001,"Keep","Remove")</f>
        <v>Keep</v>
      </c>
      <c r="S737" s="8" t="s">
        <v>166</v>
      </c>
    </row>
    <row r="738" customFormat="false" ht="15" hidden="false" customHeight="false" outlineLevel="0" collapsed="false">
      <c r="A738" s="8" t="s">
        <v>4996</v>
      </c>
      <c r="B738" s="8" t="s">
        <v>4997</v>
      </c>
      <c r="C738" s="8" t="s">
        <v>178</v>
      </c>
      <c r="D738" s="8" t="s">
        <v>4987</v>
      </c>
      <c r="E738" s="8"/>
      <c r="F738" s="8" t="s">
        <v>81</v>
      </c>
      <c r="G738" s="8" t="n">
        <v>1</v>
      </c>
      <c r="H738" s="13" t="n">
        <v>4</v>
      </c>
      <c r="I738" s="8" t="n">
        <v>4</v>
      </c>
      <c r="J738" s="20" t="s">
        <v>259</v>
      </c>
      <c r="K738" s="8"/>
      <c r="L738" s="20" t="s">
        <v>259</v>
      </c>
      <c r="M738" s="16" t="n">
        <f aca="false">H738*Scoring!$C$5</f>
        <v>5.2</v>
      </c>
      <c r="N738" s="16" t="n">
        <f aca="false">IF(I738&gt;=5,1,IF(I738=4,0.75,IF(I738=3,0.5,IF(I738=2,0.25,0))))*Scoring!$C$8</f>
        <v>0.75</v>
      </c>
      <c r="O738" s="16" t="n">
        <f aca="false">IF(J738="Yes",0,Scoring!$C$6)</f>
        <v>2</v>
      </c>
      <c r="P738" s="16" t="n">
        <f aca="false">IF(L738="Yes",0,Scoring!$C$7)</f>
        <v>0.5</v>
      </c>
      <c r="Q738" s="8" t="n">
        <f aca="false">ROUND(SUM(M738:P738),2)</f>
        <v>8.45</v>
      </c>
      <c r="R738" s="8" t="str">
        <f aca="false">IF(Q738&gt;=Scoring!$C$10-0.000001,"Keep","Remove")</f>
        <v>Keep</v>
      </c>
      <c r="S738" s="8" t="s">
        <v>166</v>
      </c>
    </row>
    <row r="739" customFormat="false" ht="15" hidden="false" customHeight="false" outlineLevel="0" collapsed="false">
      <c r="A739" s="8" t="s">
        <v>5003</v>
      </c>
      <c r="B739" s="8" t="s">
        <v>5004</v>
      </c>
      <c r="C739" s="8" t="s">
        <v>178</v>
      </c>
      <c r="D739" s="8" t="s">
        <v>4987</v>
      </c>
      <c r="E739" s="8"/>
      <c r="F739" s="8" t="s">
        <v>78</v>
      </c>
      <c r="G739" s="8" t="n">
        <v>2</v>
      </c>
      <c r="H739" s="13" t="n">
        <v>3</v>
      </c>
      <c r="I739" s="8" t="n">
        <v>5</v>
      </c>
      <c r="J739" s="20" t="s">
        <v>259</v>
      </c>
      <c r="K739" s="8"/>
      <c r="L739" s="20" t="s">
        <v>259</v>
      </c>
      <c r="M739" s="16" t="n">
        <f aca="false">H739*Scoring!$C$5</f>
        <v>3.9</v>
      </c>
      <c r="N739" s="16" t="n">
        <f aca="false">IF(I739&gt;=5,1,IF(I739=4,0.75,IF(I739=3,0.5,IF(I739=2,0.25,0))))*Scoring!$C$8</f>
        <v>1</v>
      </c>
      <c r="O739" s="16" t="n">
        <f aca="false">IF(J739="Yes",0,Scoring!$C$6)</f>
        <v>2</v>
      </c>
      <c r="P739" s="16" t="n">
        <f aca="false">IF(L739="Yes",0,Scoring!$C$7)</f>
        <v>0.5</v>
      </c>
      <c r="Q739" s="8" t="n">
        <f aca="false">ROUND(SUM(M739:P739),2)</f>
        <v>7.4</v>
      </c>
      <c r="R739" s="8" t="str">
        <f aca="false">IF(Q739&gt;=Scoring!$C$10-0.000001,"Keep","Remove")</f>
        <v>Keep</v>
      </c>
      <c r="S739" s="8" t="s">
        <v>166</v>
      </c>
    </row>
    <row r="740" customFormat="false" ht="15" hidden="false" customHeight="false" outlineLevel="0" collapsed="false">
      <c r="A740" s="8" t="s">
        <v>5016</v>
      </c>
      <c r="B740" s="8" t="s">
        <v>5017</v>
      </c>
      <c r="C740" s="8" t="s">
        <v>178</v>
      </c>
      <c r="D740" s="8" t="s">
        <v>4987</v>
      </c>
      <c r="E740" s="8"/>
      <c r="F740" s="8" t="s">
        <v>78</v>
      </c>
      <c r="G740" s="8" t="n">
        <v>2</v>
      </c>
      <c r="H740" s="13" t="n">
        <v>3</v>
      </c>
      <c r="I740" s="8" t="n">
        <v>5</v>
      </c>
      <c r="J740" s="20" t="s">
        <v>259</v>
      </c>
      <c r="K740" s="8"/>
      <c r="L740" s="20" t="s">
        <v>259</v>
      </c>
      <c r="M740" s="16" t="n">
        <f aca="false">H740*Scoring!$C$5</f>
        <v>3.9</v>
      </c>
      <c r="N740" s="16" t="n">
        <f aca="false">IF(I740&gt;=5,1,IF(I740=4,0.75,IF(I740=3,0.5,IF(I740=2,0.25,0))))*Scoring!$C$8</f>
        <v>1</v>
      </c>
      <c r="O740" s="16" t="n">
        <f aca="false">IF(J740="Yes",0,Scoring!$C$6)</f>
        <v>2</v>
      </c>
      <c r="P740" s="16" t="n">
        <f aca="false">IF(L740="Yes",0,Scoring!$C$7)</f>
        <v>0.5</v>
      </c>
      <c r="Q740" s="8" t="n">
        <f aca="false">ROUND(SUM(M740:P740),2)</f>
        <v>7.4</v>
      </c>
      <c r="R740" s="8" t="str">
        <f aca="false">IF(Q740&gt;=Scoring!$C$10-0.000001,"Keep","Remove")</f>
        <v>Keep</v>
      </c>
      <c r="S740" s="8" t="s">
        <v>166</v>
      </c>
    </row>
    <row r="741" customFormat="false" ht="15" hidden="false" customHeight="false" outlineLevel="0" collapsed="false">
      <c r="A741" s="8" t="s">
        <v>5025</v>
      </c>
      <c r="B741" s="8" t="s">
        <v>5026</v>
      </c>
      <c r="C741" s="8" t="s">
        <v>178</v>
      </c>
      <c r="D741" s="8" t="s">
        <v>4987</v>
      </c>
      <c r="E741" s="8"/>
      <c r="F741" s="8" t="s">
        <v>81</v>
      </c>
      <c r="G741" s="8" t="n">
        <v>2</v>
      </c>
      <c r="H741" s="13" t="n">
        <v>3</v>
      </c>
      <c r="I741" s="8" t="n">
        <v>5</v>
      </c>
      <c r="J741" s="20" t="s">
        <v>259</v>
      </c>
      <c r="K741" s="8"/>
      <c r="L741" s="20" t="s">
        <v>259</v>
      </c>
      <c r="M741" s="16" t="n">
        <f aca="false">H741*Scoring!$C$5</f>
        <v>3.9</v>
      </c>
      <c r="N741" s="16" t="n">
        <f aca="false">IF(I741&gt;=5,1,IF(I741=4,0.75,IF(I741=3,0.5,IF(I741=2,0.25,0))))*Scoring!$C$8</f>
        <v>1</v>
      </c>
      <c r="O741" s="16" t="n">
        <f aca="false">IF(J741="Yes",0,Scoring!$C$6)</f>
        <v>2</v>
      </c>
      <c r="P741" s="16" t="n">
        <f aca="false">IF(L741="Yes",0,Scoring!$C$7)</f>
        <v>0.5</v>
      </c>
      <c r="Q741" s="8" t="n">
        <f aca="false">ROUND(SUM(M741:P741),2)</f>
        <v>7.4</v>
      </c>
      <c r="R741" s="8" t="str">
        <f aca="false">IF(Q741&gt;=Scoring!$C$10-0.000001,"Keep","Remove")</f>
        <v>Keep</v>
      </c>
      <c r="S741" s="8" t="s">
        <v>166</v>
      </c>
    </row>
    <row r="742" customFormat="false" ht="15" hidden="false" customHeight="false" outlineLevel="0" collapsed="false">
      <c r="A742" s="8" t="s">
        <v>7727</v>
      </c>
      <c r="B742" s="8" t="s">
        <v>7728</v>
      </c>
      <c r="C742" s="8" t="s">
        <v>178</v>
      </c>
      <c r="D742" s="8" t="s">
        <v>4987</v>
      </c>
      <c r="E742" s="8"/>
      <c r="F742" s="8" t="s">
        <v>82</v>
      </c>
      <c r="G742" s="8" t="n">
        <v>2</v>
      </c>
      <c r="H742" s="13" t="n">
        <v>2</v>
      </c>
      <c r="I742" s="8" t="n">
        <v>3</v>
      </c>
      <c r="J742" s="20" t="s">
        <v>259</v>
      </c>
      <c r="K742" s="8"/>
      <c r="L742" s="20" t="s">
        <v>259</v>
      </c>
      <c r="M742" s="16" t="n">
        <f aca="false">H742*Scoring!$C$5</f>
        <v>2.6</v>
      </c>
      <c r="N742" s="16" t="n">
        <f aca="false">IF(I742&gt;=5,1,IF(I742=4,0.75,IF(I742=3,0.5,IF(I742=2,0.25,0))))*Scoring!$C$8</f>
        <v>0.5</v>
      </c>
      <c r="O742" s="16" t="n">
        <f aca="false">IF(J742="Yes",0,Scoring!$C$6)</f>
        <v>2</v>
      </c>
      <c r="P742" s="16" t="n">
        <f aca="false">IF(L742="Yes",0,Scoring!$C$7)</f>
        <v>0.5</v>
      </c>
      <c r="Q742" s="8" t="n">
        <f aca="false">ROUND(SUM(M742:P742),2)</f>
        <v>5.6</v>
      </c>
      <c r="R742" s="8" t="str">
        <f aca="false">IF(Q742&gt;=Scoring!$C$10-0.000001,"Keep","Remove")</f>
        <v>Remove</v>
      </c>
      <c r="S742" s="8" t="s">
        <v>7243</v>
      </c>
    </row>
    <row r="743" customFormat="false" ht="15" hidden="false" customHeight="false" outlineLevel="0" collapsed="false">
      <c r="A743" s="8" t="s">
        <v>7570</v>
      </c>
      <c r="B743" s="8" t="s">
        <v>7571</v>
      </c>
      <c r="C743" s="8" t="s">
        <v>178</v>
      </c>
      <c r="D743" s="8" t="s">
        <v>4987</v>
      </c>
      <c r="E743" s="8"/>
      <c r="F743" s="8" t="s">
        <v>78</v>
      </c>
      <c r="G743" s="8" t="n">
        <v>3</v>
      </c>
      <c r="H743" s="13" t="n">
        <v>2</v>
      </c>
      <c r="I743" s="8" t="n">
        <v>4</v>
      </c>
      <c r="J743" s="20" t="s">
        <v>259</v>
      </c>
      <c r="K743" s="8"/>
      <c r="L743" s="20" t="s">
        <v>259</v>
      </c>
      <c r="M743" s="16" t="n">
        <f aca="false">H743*Scoring!$C$5</f>
        <v>2.6</v>
      </c>
      <c r="N743" s="16" t="n">
        <f aca="false">IF(I743&gt;=5,1,IF(I743=4,0.75,IF(I743=3,0.5,IF(I743=2,0.25,0))))*Scoring!$C$8</f>
        <v>0.75</v>
      </c>
      <c r="O743" s="16" t="n">
        <f aca="false">IF(J743="Yes",0,Scoring!$C$6)</f>
        <v>2</v>
      </c>
      <c r="P743" s="16" t="n">
        <f aca="false">IF(L743="Yes",0,Scoring!$C$7)</f>
        <v>0.5</v>
      </c>
      <c r="Q743" s="8" t="n">
        <f aca="false">ROUND(SUM(M743:P743),2)</f>
        <v>5.85</v>
      </c>
      <c r="R743" s="8" t="str">
        <f aca="false">IF(Q743&gt;=Scoring!$C$10-0.000001,"Keep","Remove")</f>
        <v>Remove</v>
      </c>
      <c r="S743" s="8" t="s">
        <v>7243</v>
      </c>
    </row>
    <row r="744" customFormat="false" ht="15" hidden="false" customHeight="false" outlineLevel="0" collapsed="false">
      <c r="A744" s="8" t="s">
        <v>7362</v>
      </c>
      <c r="B744" s="8" t="s">
        <v>7363</v>
      </c>
      <c r="C744" s="8" t="s">
        <v>178</v>
      </c>
      <c r="D744" s="8" t="s">
        <v>4987</v>
      </c>
      <c r="E744" s="8"/>
      <c r="F744" s="8" t="s">
        <v>78</v>
      </c>
      <c r="G744" s="8" t="n">
        <v>3</v>
      </c>
      <c r="H744" s="13" t="n">
        <v>2</v>
      </c>
      <c r="I744" s="8" t="n">
        <v>5</v>
      </c>
      <c r="J744" s="20" t="s">
        <v>259</v>
      </c>
      <c r="K744" s="8"/>
      <c r="L744" s="20" t="s">
        <v>259</v>
      </c>
      <c r="M744" s="16" t="n">
        <f aca="false">H744*Scoring!$C$5</f>
        <v>2.6</v>
      </c>
      <c r="N744" s="16" t="n">
        <f aca="false">IF(I744&gt;=5,1,IF(I744=4,0.75,IF(I744=3,0.5,IF(I744=2,0.25,0))))*Scoring!$C$8</f>
        <v>1</v>
      </c>
      <c r="O744" s="16" t="n">
        <f aca="false">IF(J744="Yes",0,Scoring!$C$6)</f>
        <v>2</v>
      </c>
      <c r="P744" s="16" t="n">
        <f aca="false">IF(L744="Yes",0,Scoring!$C$7)</f>
        <v>0.5</v>
      </c>
      <c r="Q744" s="8" t="n">
        <f aca="false">ROUND(SUM(M744:P744),2)</f>
        <v>6.1</v>
      </c>
      <c r="R744" s="8" t="str">
        <f aca="false">IF(Q744&gt;=Scoring!$C$10-0.000001,"Keep","Remove")</f>
        <v>Remove</v>
      </c>
      <c r="S744" s="8" t="s">
        <v>7243</v>
      </c>
    </row>
    <row r="745" customFormat="false" ht="15" hidden="false" customHeight="false" outlineLevel="0" collapsed="false">
      <c r="A745" s="8" t="s">
        <v>7729</v>
      </c>
      <c r="B745" s="8" t="s">
        <v>7730</v>
      </c>
      <c r="C745" s="8" t="s">
        <v>178</v>
      </c>
      <c r="D745" s="8" t="s">
        <v>4987</v>
      </c>
      <c r="E745" s="8"/>
      <c r="F745" s="8" t="s">
        <v>87</v>
      </c>
      <c r="G745" s="8" t="n">
        <v>2</v>
      </c>
      <c r="H745" s="13" t="n">
        <v>2</v>
      </c>
      <c r="I745" s="8" t="n">
        <v>3</v>
      </c>
      <c r="J745" s="20" t="s">
        <v>259</v>
      </c>
      <c r="K745" s="8"/>
      <c r="L745" s="20" t="s">
        <v>259</v>
      </c>
      <c r="M745" s="16" t="n">
        <f aca="false">H745*Scoring!$C$5</f>
        <v>2.6</v>
      </c>
      <c r="N745" s="16" t="n">
        <f aca="false">IF(I745&gt;=5,1,IF(I745=4,0.75,IF(I745=3,0.5,IF(I745=2,0.25,0))))*Scoring!$C$8</f>
        <v>0.5</v>
      </c>
      <c r="O745" s="16" t="n">
        <f aca="false">IF(J745="Yes",0,Scoring!$C$6)</f>
        <v>2</v>
      </c>
      <c r="P745" s="16" t="n">
        <f aca="false">IF(L745="Yes",0,Scoring!$C$7)</f>
        <v>0.5</v>
      </c>
      <c r="Q745" s="8" t="n">
        <f aca="false">ROUND(SUM(M745:P745),2)</f>
        <v>5.6</v>
      </c>
      <c r="R745" s="8" t="str">
        <f aca="false">IF(Q745&gt;=Scoring!$C$10-0.000001,"Keep","Remove")</f>
        <v>Remove</v>
      </c>
      <c r="S745" s="8" t="s">
        <v>7243</v>
      </c>
    </row>
    <row r="746" customFormat="false" ht="15" hidden="false" customHeight="false" outlineLevel="0" collapsed="false">
      <c r="A746" s="8" t="s">
        <v>5034</v>
      </c>
      <c r="B746" s="8" t="s">
        <v>5035</v>
      </c>
      <c r="C746" s="8" t="s">
        <v>178</v>
      </c>
      <c r="D746" s="8" t="s">
        <v>4987</v>
      </c>
      <c r="E746" s="8"/>
      <c r="F746" s="8" t="s">
        <v>84</v>
      </c>
      <c r="G746" s="8" t="n">
        <v>2</v>
      </c>
      <c r="H746" s="13" t="n">
        <v>4</v>
      </c>
      <c r="I746" s="8" t="n">
        <v>3</v>
      </c>
      <c r="J746" s="20" t="s">
        <v>259</v>
      </c>
      <c r="K746" s="8"/>
      <c r="L746" s="20" t="s">
        <v>259</v>
      </c>
      <c r="M746" s="16" t="n">
        <f aca="false">H746*Scoring!$C$5</f>
        <v>5.2</v>
      </c>
      <c r="N746" s="16" t="n">
        <f aca="false">IF(I746&gt;=5,1,IF(I746=4,0.75,IF(I746=3,0.5,IF(I746=2,0.25,0))))*Scoring!$C$8</f>
        <v>0.5</v>
      </c>
      <c r="O746" s="16" t="n">
        <f aca="false">IF(J746="Yes",0,Scoring!$C$6)</f>
        <v>2</v>
      </c>
      <c r="P746" s="16" t="n">
        <f aca="false">IF(L746="Yes",0,Scoring!$C$7)</f>
        <v>0.5</v>
      </c>
      <c r="Q746" s="8" t="n">
        <f aca="false">ROUND(SUM(M746:P746),2)</f>
        <v>8.2</v>
      </c>
      <c r="R746" s="8" t="str">
        <f aca="false">IF(Q746&gt;=Scoring!$C$10-0.000001,"Keep","Remove")</f>
        <v>Keep</v>
      </c>
      <c r="S746" s="8" t="s">
        <v>166</v>
      </c>
    </row>
    <row r="747" customFormat="false" ht="15" hidden="false" customHeight="false" outlineLevel="0" collapsed="false">
      <c r="A747" s="8" t="s">
        <v>7774</v>
      </c>
      <c r="B747" s="8" t="s">
        <v>7775</v>
      </c>
      <c r="C747" s="8" t="s">
        <v>178</v>
      </c>
      <c r="D747" s="8" t="s">
        <v>4987</v>
      </c>
      <c r="E747" s="8"/>
      <c r="F747" s="8" t="s">
        <v>80</v>
      </c>
      <c r="G747" s="8" t="n">
        <v>2</v>
      </c>
      <c r="H747" s="13" t="n">
        <v>3</v>
      </c>
      <c r="I747" s="8" t="n">
        <v>5</v>
      </c>
      <c r="J747" s="20" t="s">
        <v>218</v>
      </c>
      <c r="K747" s="8" t="s">
        <v>8186</v>
      </c>
      <c r="L747" s="20" t="s">
        <v>259</v>
      </c>
      <c r="M747" s="16" t="n">
        <f aca="false">H747*Scoring!$C$5</f>
        <v>3.9</v>
      </c>
      <c r="N747" s="16" t="n">
        <f aca="false">IF(I747&gt;=5,1,IF(I747=4,0.75,IF(I747=3,0.5,IF(I747=2,0.25,0))))*Scoring!$C$8</f>
        <v>1</v>
      </c>
      <c r="O747" s="16" t="n">
        <f aca="false">IF(J747="Yes",0,Scoring!$C$6)</f>
        <v>0</v>
      </c>
      <c r="P747" s="16" t="n">
        <f aca="false">IF(L747="Yes",0,Scoring!$C$7)</f>
        <v>0.5</v>
      </c>
      <c r="Q747" s="8" t="n">
        <f aca="false">ROUND(SUM(M747:P747),2)</f>
        <v>5.4</v>
      </c>
      <c r="R747" s="8" t="str">
        <f aca="false">IF(Q747&gt;=Scoring!$C$10-0.000001,"Keep","Remove")</f>
        <v>Remove</v>
      </c>
      <c r="S747" s="8" t="s">
        <v>7776</v>
      </c>
    </row>
    <row r="748" customFormat="false" ht="15" hidden="false" customHeight="false" outlineLevel="0" collapsed="false">
      <c r="A748" s="8" t="s">
        <v>7801</v>
      </c>
      <c r="B748" s="8" t="s">
        <v>7802</v>
      </c>
      <c r="C748" s="8" t="s">
        <v>178</v>
      </c>
      <c r="D748" s="8" t="s">
        <v>4987</v>
      </c>
      <c r="E748" s="8"/>
      <c r="F748" s="8" t="s">
        <v>78</v>
      </c>
      <c r="G748" s="8" t="n">
        <v>3</v>
      </c>
      <c r="H748" s="13" t="n">
        <v>2</v>
      </c>
      <c r="I748" s="8" t="n">
        <v>2</v>
      </c>
      <c r="J748" s="20" t="s">
        <v>259</v>
      </c>
      <c r="K748" s="8"/>
      <c r="L748" s="20" t="s">
        <v>259</v>
      </c>
      <c r="M748" s="16" t="n">
        <f aca="false">H748*Scoring!$C$5</f>
        <v>2.6</v>
      </c>
      <c r="N748" s="16" t="n">
        <f aca="false">IF(I748&gt;=5,1,IF(I748=4,0.75,IF(I748=3,0.5,IF(I748=2,0.25,0))))*Scoring!$C$8</f>
        <v>0.25</v>
      </c>
      <c r="O748" s="16" t="n">
        <f aca="false">IF(J748="Yes",0,Scoring!$C$6)</f>
        <v>2</v>
      </c>
      <c r="P748" s="16" t="n">
        <f aca="false">IF(L748="Yes",0,Scoring!$C$7)</f>
        <v>0.5</v>
      </c>
      <c r="Q748" s="8" t="n">
        <f aca="false">ROUND(SUM(M748:P748),2)</f>
        <v>5.35</v>
      </c>
      <c r="R748" s="8" t="str">
        <f aca="false">IF(Q748&gt;=Scoring!$C$10-0.000001,"Keep","Remove")</f>
        <v>Remove</v>
      </c>
      <c r="S748" s="8" t="s">
        <v>7243</v>
      </c>
    </row>
    <row r="749" customFormat="false" ht="15" hidden="false" customHeight="false" outlineLevel="0" collapsed="false">
      <c r="A749" s="8" t="s">
        <v>7364</v>
      </c>
      <c r="B749" s="8" t="s">
        <v>7365</v>
      </c>
      <c r="C749" s="8" t="s">
        <v>178</v>
      </c>
      <c r="D749" s="8" t="s">
        <v>4987</v>
      </c>
      <c r="E749" s="8"/>
      <c r="F749" s="8" t="s">
        <v>79</v>
      </c>
      <c r="G749" s="8" t="n">
        <v>3</v>
      </c>
      <c r="H749" s="13" t="n">
        <v>2</v>
      </c>
      <c r="I749" s="8" t="n">
        <v>5</v>
      </c>
      <c r="J749" s="20" t="s">
        <v>259</v>
      </c>
      <c r="K749" s="8"/>
      <c r="L749" s="20" t="s">
        <v>259</v>
      </c>
      <c r="M749" s="16" t="n">
        <f aca="false">H749*Scoring!$C$5</f>
        <v>2.6</v>
      </c>
      <c r="N749" s="16" t="n">
        <f aca="false">IF(I749&gt;=5,1,IF(I749=4,0.75,IF(I749=3,0.5,IF(I749=2,0.25,0))))*Scoring!$C$8</f>
        <v>1</v>
      </c>
      <c r="O749" s="16" t="n">
        <f aca="false">IF(J749="Yes",0,Scoring!$C$6)</f>
        <v>2</v>
      </c>
      <c r="P749" s="16" t="n">
        <f aca="false">IF(L749="Yes",0,Scoring!$C$7)</f>
        <v>0.5</v>
      </c>
      <c r="Q749" s="8" t="n">
        <f aca="false">ROUND(SUM(M749:P749),2)</f>
        <v>6.1</v>
      </c>
      <c r="R749" s="8" t="str">
        <f aca="false">IF(Q749&gt;=Scoring!$C$10-0.000001,"Keep","Remove")</f>
        <v>Remove</v>
      </c>
      <c r="S749" s="8" t="s">
        <v>7243</v>
      </c>
    </row>
    <row r="750" customFormat="false" ht="15" hidden="false" customHeight="false" outlineLevel="0" collapsed="false">
      <c r="A750" s="8" t="s">
        <v>7572</v>
      </c>
      <c r="B750" s="8" t="s">
        <v>7573</v>
      </c>
      <c r="C750" s="8" t="s">
        <v>178</v>
      </c>
      <c r="D750" s="8" t="s">
        <v>4987</v>
      </c>
      <c r="E750" s="8"/>
      <c r="F750" s="8" t="s">
        <v>83</v>
      </c>
      <c r="G750" s="8" t="n">
        <v>3</v>
      </c>
      <c r="H750" s="13" t="n">
        <v>2</v>
      </c>
      <c r="I750" s="8" t="n">
        <v>4</v>
      </c>
      <c r="J750" s="20" t="s">
        <v>259</v>
      </c>
      <c r="K750" s="8"/>
      <c r="L750" s="20" t="s">
        <v>259</v>
      </c>
      <c r="M750" s="16" t="n">
        <f aca="false">H750*Scoring!$C$5</f>
        <v>2.6</v>
      </c>
      <c r="N750" s="16" t="n">
        <f aca="false">IF(I750&gt;=5,1,IF(I750=4,0.75,IF(I750=3,0.5,IF(I750=2,0.25,0))))*Scoring!$C$8</f>
        <v>0.75</v>
      </c>
      <c r="O750" s="16" t="n">
        <f aca="false">IF(J750="Yes",0,Scoring!$C$6)</f>
        <v>2</v>
      </c>
      <c r="P750" s="16" t="n">
        <f aca="false">IF(L750="Yes",0,Scoring!$C$7)</f>
        <v>0.5</v>
      </c>
      <c r="Q750" s="8" t="n">
        <f aca="false">ROUND(SUM(M750:P750),2)</f>
        <v>5.85</v>
      </c>
      <c r="R750" s="8" t="str">
        <f aca="false">IF(Q750&gt;=Scoring!$C$10-0.000001,"Keep","Remove")</f>
        <v>Remove</v>
      </c>
      <c r="S750" s="8" t="s">
        <v>7243</v>
      </c>
    </row>
    <row r="751" customFormat="false" ht="15" hidden="false" customHeight="false" outlineLevel="0" collapsed="false">
      <c r="A751" s="8" t="s">
        <v>5044</v>
      </c>
      <c r="B751" s="8" t="s">
        <v>5045</v>
      </c>
      <c r="C751" s="8" t="s">
        <v>178</v>
      </c>
      <c r="D751" s="8" t="s">
        <v>5046</v>
      </c>
      <c r="E751" s="8"/>
      <c r="F751" s="8" t="s">
        <v>78</v>
      </c>
      <c r="G751" s="8" t="n">
        <v>1</v>
      </c>
      <c r="H751" s="13" t="n">
        <v>5</v>
      </c>
      <c r="I751" s="8" t="n">
        <v>5</v>
      </c>
      <c r="J751" s="20" t="s">
        <v>259</v>
      </c>
      <c r="K751" s="8"/>
      <c r="L751" s="20" t="s">
        <v>259</v>
      </c>
      <c r="M751" s="16" t="n">
        <f aca="false">H751*Scoring!$C$5</f>
        <v>6.5</v>
      </c>
      <c r="N751" s="16" t="n">
        <f aca="false">IF(I751&gt;=5,1,IF(I751=4,0.75,IF(I751=3,0.5,IF(I751=2,0.25,0))))*Scoring!$C$8</f>
        <v>1</v>
      </c>
      <c r="O751" s="16" t="n">
        <f aca="false">IF(J751="Yes",0,Scoring!$C$6)</f>
        <v>2</v>
      </c>
      <c r="P751" s="16" t="n">
        <f aca="false">IF(L751="Yes",0,Scoring!$C$7)</f>
        <v>0.5</v>
      </c>
      <c r="Q751" s="8" t="n">
        <f aca="false">ROUND(SUM(M751:P751),2)</f>
        <v>10</v>
      </c>
      <c r="R751" s="8" t="str">
        <f aca="false">IF(Q751&gt;=Scoring!$C$10-0.000001,"Keep","Remove")</f>
        <v>Keep</v>
      </c>
      <c r="S751" s="8" t="s">
        <v>166</v>
      </c>
    </row>
    <row r="752" customFormat="false" ht="15" hidden="false" customHeight="false" outlineLevel="0" collapsed="false">
      <c r="A752" s="8" t="s">
        <v>5057</v>
      </c>
      <c r="B752" s="8" t="s">
        <v>5058</v>
      </c>
      <c r="C752" s="8" t="s">
        <v>178</v>
      </c>
      <c r="D752" s="8" t="s">
        <v>5046</v>
      </c>
      <c r="E752" s="8"/>
      <c r="F752" s="8" t="s">
        <v>81</v>
      </c>
      <c r="G752" s="8" t="n">
        <v>1</v>
      </c>
      <c r="H752" s="13" t="n">
        <v>5</v>
      </c>
      <c r="I752" s="8" t="n">
        <v>5</v>
      </c>
      <c r="J752" s="20" t="s">
        <v>259</v>
      </c>
      <c r="K752" s="8"/>
      <c r="L752" s="20" t="s">
        <v>259</v>
      </c>
      <c r="M752" s="16" t="n">
        <f aca="false">H752*Scoring!$C$5</f>
        <v>6.5</v>
      </c>
      <c r="N752" s="16" t="n">
        <f aca="false">IF(I752&gt;=5,1,IF(I752=4,0.75,IF(I752=3,0.5,IF(I752=2,0.25,0))))*Scoring!$C$8</f>
        <v>1</v>
      </c>
      <c r="O752" s="16" t="n">
        <f aca="false">IF(J752="Yes",0,Scoring!$C$6)</f>
        <v>2</v>
      </c>
      <c r="P752" s="16" t="n">
        <f aca="false">IF(L752="Yes",0,Scoring!$C$7)</f>
        <v>0.5</v>
      </c>
      <c r="Q752" s="8" t="n">
        <f aca="false">ROUND(SUM(M752:P752),2)</f>
        <v>10</v>
      </c>
      <c r="R752" s="8" t="str">
        <f aca="false">IF(Q752&gt;=Scoring!$C$10-0.000001,"Keep","Remove")</f>
        <v>Keep</v>
      </c>
      <c r="S752" s="8" t="s">
        <v>166</v>
      </c>
    </row>
    <row r="753" customFormat="false" ht="15" hidden="false" customHeight="false" outlineLevel="0" collapsed="false">
      <c r="A753" s="8" t="s">
        <v>5067</v>
      </c>
      <c r="B753" s="8" t="s">
        <v>5068</v>
      </c>
      <c r="C753" s="8" t="s">
        <v>178</v>
      </c>
      <c r="D753" s="8" t="s">
        <v>5046</v>
      </c>
      <c r="E753" s="8"/>
      <c r="F753" s="8" t="s">
        <v>79</v>
      </c>
      <c r="G753" s="8" t="n">
        <v>1</v>
      </c>
      <c r="H753" s="13" t="n">
        <v>5</v>
      </c>
      <c r="I753" s="8" t="n">
        <v>5</v>
      </c>
      <c r="J753" s="20" t="s">
        <v>259</v>
      </c>
      <c r="K753" s="8"/>
      <c r="L753" s="20" t="s">
        <v>259</v>
      </c>
      <c r="M753" s="16" t="n">
        <f aca="false">H753*Scoring!$C$5</f>
        <v>6.5</v>
      </c>
      <c r="N753" s="16" t="n">
        <f aca="false">IF(I753&gt;=5,1,IF(I753=4,0.75,IF(I753=3,0.5,IF(I753=2,0.25,0))))*Scoring!$C$8</f>
        <v>1</v>
      </c>
      <c r="O753" s="16" t="n">
        <f aca="false">IF(J753="Yes",0,Scoring!$C$6)</f>
        <v>2</v>
      </c>
      <c r="P753" s="16" t="n">
        <f aca="false">IF(L753="Yes",0,Scoring!$C$7)</f>
        <v>0.5</v>
      </c>
      <c r="Q753" s="8" t="n">
        <f aca="false">ROUND(SUM(M753:P753),2)</f>
        <v>10</v>
      </c>
      <c r="R753" s="8" t="str">
        <f aca="false">IF(Q753&gt;=Scoring!$C$10-0.000001,"Keep","Remove")</f>
        <v>Keep</v>
      </c>
      <c r="S753" s="8" t="s">
        <v>166</v>
      </c>
    </row>
    <row r="754" customFormat="false" ht="15" hidden="false" customHeight="false" outlineLevel="0" collapsed="false">
      <c r="A754" s="8" t="s">
        <v>5075</v>
      </c>
      <c r="B754" s="8" t="s">
        <v>5076</v>
      </c>
      <c r="C754" s="8" t="s">
        <v>178</v>
      </c>
      <c r="D754" s="8" t="s">
        <v>5046</v>
      </c>
      <c r="E754" s="8"/>
      <c r="F754" s="8" t="s">
        <v>78</v>
      </c>
      <c r="G754" s="8" t="n">
        <v>1</v>
      </c>
      <c r="H754" s="13" t="n">
        <v>5</v>
      </c>
      <c r="I754" s="8" t="n">
        <v>5</v>
      </c>
      <c r="J754" s="20" t="s">
        <v>259</v>
      </c>
      <c r="K754" s="8"/>
      <c r="L754" s="20" t="s">
        <v>259</v>
      </c>
      <c r="M754" s="16" t="n">
        <f aca="false">H754*Scoring!$C$5</f>
        <v>6.5</v>
      </c>
      <c r="N754" s="16" t="n">
        <f aca="false">IF(I754&gt;=5,1,IF(I754=4,0.75,IF(I754=3,0.5,IF(I754=2,0.25,0))))*Scoring!$C$8</f>
        <v>1</v>
      </c>
      <c r="O754" s="16" t="n">
        <f aca="false">IF(J754="Yes",0,Scoring!$C$6)</f>
        <v>2</v>
      </c>
      <c r="P754" s="16" t="n">
        <f aca="false">IF(L754="Yes",0,Scoring!$C$7)</f>
        <v>0.5</v>
      </c>
      <c r="Q754" s="8" t="n">
        <f aca="false">ROUND(SUM(M754:P754),2)</f>
        <v>10</v>
      </c>
      <c r="R754" s="8" t="str">
        <f aca="false">IF(Q754&gt;=Scoring!$C$10-0.000001,"Keep","Remove")</f>
        <v>Keep</v>
      </c>
      <c r="S754" s="8" t="s">
        <v>166</v>
      </c>
    </row>
    <row r="755" customFormat="false" ht="15" hidden="false" customHeight="false" outlineLevel="0" collapsed="false">
      <c r="A755" s="8" t="s">
        <v>5086</v>
      </c>
      <c r="B755" s="8" t="s">
        <v>5087</v>
      </c>
      <c r="C755" s="8" t="s">
        <v>178</v>
      </c>
      <c r="D755" s="8" t="s">
        <v>5046</v>
      </c>
      <c r="E755" s="8"/>
      <c r="F755" s="8" t="s">
        <v>78</v>
      </c>
      <c r="G755" s="8" t="n">
        <v>1</v>
      </c>
      <c r="H755" s="13" t="n">
        <v>4</v>
      </c>
      <c r="I755" s="8" t="n">
        <v>4</v>
      </c>
      <c r="J755" s="20" t="s">
        <v>259</v>
      </c>
      <c r="K755" s="8"/>
      <c r="L755" s="20" t="s">
        <v>259</v>
      </c>
      <c r="M755" s="16" t="n">
        <f aca="false">H755*Scoring!$C$5</f>
        <v>5.2</v>
      </c>
      <c r="N755" s="16" t="n">
        <f aca="false">IF(I755&gt;=5,1,IF(I755=4,0.75,IF(I755=3,0.5,IF(I755=2,0.25,0))))*Scoring!$C$8</f>
        <v>0.75</v>
      </c>
      <c r="O755" s="16" t="n">
        <f aca="false">IF(J755="Yes",0,Scoring!$C$6)</f>
        <v>2</v>
      </c>
      <c r="P755" s="16" t="n">
        <f aca="false">IF(L755="Yes",0,Scoring!$C$7)</f>
        <v>0.5</v>
      </c>
      <c r="Q755" s="8" t="n">
        <f aca="false">ROUND(SUM(M755:P755),2)</f>
        <v>8.45</v>
      </c>
      <c r="R755" s="8" t="str">
        <f aca="false">IF(Q755&gt;=Scoring!$C$10-0.000001,"Keep","Remove")</f>
        <v>Keep</v>
      </c>
      <c r="S755" s="8" t="s">
        <v>166</v>
      </c>
    </row>
    <row r="756" customFormat="false" ht="15" hidden="false" customHeight="false" outlineLevel="0" collapsed="false">
      <c r="A756" s="8" t="s">
        <v>5094</v>
      </c>
      <c r="B756" s="8" t="s">
        <v>5095</v>
      </c>
      <c r="C756" s="8" t="s">
        <v>178</v>
      </c>
      <c r="D756" s="8" t="s">
        <v>5046</v>
      </c>
      <c r="E756" s="8"/>
      <c r="F756" s="8" t="s">
        <v>78</v>
      </c>
      <c r="G756" s="8" t="n">
        <v>2</v>
      </c>
      <c r="H756" s="13" t="n">
        <v>4</v>
      </c>
      <c r="I756" s="8" t="n">
        <v>5</v>
      </c>
      <c r="J756" s="20" t="s">
        <v>259</v>
      </c>
      <c r="K756" s="8"/>
      <c r="L756" s="20" t="s">
        <v>259</v>
      </c>
      <c r="M756" s="16" t="n">
        <f aca="false">H756*Scoring!$C$5</f>
        <v>5.2</v>
      </c>
      <c r="N756" s="16" t="n">
        <f aca="false">IF(I756&gt;=5,1,IF(I756=4,0.75,IF(I756=3,0.5,IF(I756=2,0.25,0))))*Scoring!$C$8</f>
        <v>1</v>
      </c>
      <c r="O756" s="16" t="n">
        <f aca="false">IF(J756="Yes",0,Scoring!$C$6)</f>
        <v>2</v>
      </c>
      <c r="P756" s="16" t="n">
        <f aca="false">IF(L756="Yes",0,Scoring!$C$7)</f>
        <v>0.5</v>
      </c>
      <c r="Q756" s="8" t="n">
        <f aca="false">ROUND(SUM(M756:P756),2)</f>
        <v>8.7</v>
      </c>
      <c r="R756" s="8" t="str">
        <f aca="false">IF(Q756&gt;=Scoring!$C$10-0.000001,"Keep","Remove")</f>
        <v>Keep</v>
      </c>
      <c r="S756" s="8" t="s">
        <v>166</v>
      </c>
    </row>
    <row r="757" customFormat="false" ht="15" hidden="false" customHeight="false" outlineLevel="0" collapsed="false">
      <c r="A757" s="8" t="s">
        <v>5104</v>
      </c>
      <c r="B757" s="8" t="s">
        <v>5105</v>
      </c>
      <c r="C757" s="8" t="s">
        <v>178</v>
      </c>
      <c r="D757" s="8" t="s">
        <v>5046</v>
      </c>
      <c r="E757" s="8"/>
      <c r="F757" s="8" t="s">
        <v>83</v>
      </c>
      <c r="G757" s="8" t="n">
        <v>2</v>
      </c>
      <c r="H757" s="13" t="n">
        <v>3</v>
      </c>
      <c r="I757" s="8" t="n">
        <v>5</v>
      </c>
      <c r="J757" s="20" t="s">
        <v>259</v>
      </c>
      <c r="K757" s="8"/>
      <c r="L757" s="20" t="s">
        <v>259</v>
      </c>
      <c r="M757" s="16" t="n">
        <f aca="false">H757*Scoring!$C$5</f>
        <v>3.9</v>
      </c>
      <c r="N757" s="16" t="n">
        <f aca="false">IF(I757&gt;=5,1,IF(I757=4,0.75,IF(I757=3,0.5,IF(I757=2,0.25,0))))*Scoring!$C$8</f>
        <v>1</v>
      </c>
      <c r="O757" s="16" t="n">
        <f aca="false">IF(J757="Yes",0,Scoring!$C$6)</f>
        <v>2</v>
      </c>
      <c r="P757" s="16" t="n">
        <f aca="false">IF(L757="Yes",0,Scoring!$C$7)</f>
        <v>0.5</v>
      </c>
      <c r="Q757" s="8" t="n">
        <f aca="false">ROUND(SUM(M757:P757),2)</f>
        <v>7.4</v>
      </c>
      <c r="R757" s="8" t="str">
        <f aca="false">IF(Q757&gt;=Scoring!$C$10-0.000001,"Keep","Remove")</f>
        <v>Keep</v>
      </c>
      <c r="S757" s="8" t="s">
        <v>166</v>
      </c>
    </row>
    <row r="758" customFormat="false" ht="15" hidden="false" customHeight="false" outlineLevel="0" collapsed="false">
      <c r="A758" s="8" t="s">
        <v>5112</v>
      </c>
      <c r="B758" s="8" t="s">
        <v>5113</v>
      </c>
      <c r="C758" s="8" t="s">
        <v>178</v>
      </c>
      <c r="D758" s="8" t="s">
        <v>5046</v>
      </c>
      <c r="E758" s="8"/>
      <c r="F758" s="8" t="s">
        <v>78</v>
      </c>
      <c r="G758" s="8" t="n">
        <v>2</v>
      </c>
      <c r="H758" s="13" t="n">
        <v>4</v>
      </c>
      <c r="I758" s="8" t="n">
        <v>4</v>
      </c>
      <c r="J758" s="20" t="s">
        <v>259</v>
      </c>
      <c r="K758" s="8"/>
      <c r="L758" s="20" t="s">
        <v>259</v>
      </c>
      <c r="M758" s="16" t="n">
        <f aca="false">H758*Scoring!$C$5</f>
        <v>5.2</v>
      </c>
      <c r="N758" s="16" t="n">
        <f aca="false">IF(I758&gt;=5,1,IF(I758=4,0.75,IF(I758=3,0.5,IF(I758=2,0.25,0))))*Scoring!$C$8</f>
        <v>0.75</v>
      </c>
      <c r="O758" s="16" t="n">
        <f aca="false">IF(J758="Yes",0,Scoring!$C$6)</f>
        <v>2</v>
      </c>
      <c r="P758" s="16" t="n">
        <f aca="false">IF(L758="Yes",0,Scoring!$C$7)</f>
        <v>0.5</v>
      </c>
      <c r="Q758" s="8" t="n">
        <f aca="false">ROUND(SUM(M758:P758),2)</f>
        <v>8.45</v>
      </c>
      <c r="R758" s="8" t="str">
        <f aca="false">IF(Q758&gt;=Scoring!$C$10-0.000001,"Keep","Remove")</f>
        <v>Keep</v>
      </c>
      <c r="S758" s="8" t="s">
        <v>166</v>
      </c>
    </row>
    <row r="759" customFormat="false" ht="15" hidden="false" customHeight="false" outlineLevel="0" collapsed="false">
      <c r="A759" s="8" t="s">
        <v>5122</v>
      </c>
      <c r="B759" s="8" t="s">
        <v>5123</v>
      </c>
      <c r="C759" s="8" t="s">
        <v>178</v>
      </c>
      <c r="D759" s="8" t="s">
        <v>5046</v>
      </c>
      <c r="E759" s="8"/>
      <c r="F759" s="8" t="s">
        <v>80</v>
      </c>
      <c r="G759" s="8" t="n">
        <v>1</v>
      </c>
      <c r="H759" s="13" t="n">
        <v>5</v>
      </c>
      <c r="I759" s="8" t="n">
        <v>4</v>
      </c>
      <c r="J759" s="20" t="s">
        <v>259</v>
      </c>
      <c r="K759" s="8"/>
      <c r="L759" s="20" t="s">
        <v>259</v>
      </c>
      <c r="M759" s="16" t="n">
        <f aca="false">H759*Scoring!$C$5</f>
        <v>6.5</v>
      </c>
      <c r="N759" s="16" t="n">
        <f aca="false">IF(I759&gt;=5,1,IF(I759=4,0.75,IF(I759=3,0.5,IF(I759=2,0.25,0))))*Scoring!$C$8</f>
        <v>0.75</v>
      </c>
      <c r="O759" s="16" t="n">
        <f aca="false">IF(J759="Yes",0,Scoring!$C$6)</f>
        <v>2</v>
      </c>
      <c r="P759" s="16" t="n">
        <f aca="false">IF(L759="Yes",0,Scoring!$C$7)</f>
        <v>0.5</v>
      </c>
      <c r="Q759" s="8" t="n">
        <f aca="false">ROUND(SUM(M759:P759),2)</f>
        <v>9.75</v>
      </c>
      <c r="R759" s="8" t="str">
        <f aca="false">IF(Q759&gt;=Scoring!$C$10-0.000001,"Keep","Remove")</f>
        <v>Keep</v>
      </c>
      <c r="S759" s="8" t="s">
        <v>166</v>
      </c>
    </row>
    <row r="760" customFormat="false" ht="15" hidden="false" customHeight="false" outlineLevel="0" collapsed="false">
      <c r="A760" s="8" t="s">
        <v>5133</v>
      </c>
      <c r="B760" s="8" t="s">
        <v>5134</v>
      </c>
      <c r="C760" s="8" t="s">
        <v>178</v>
      </c>
      <c r="D760" s="8" t="s">
        <v>5046</v>
      </c>
      <c r="E760" s="8"/>
      <c r="F760" s="8" t="s">
        <v>82</v>
      </c>
      <c r="G760" s="8" t="n">
        <v>1</v>
      </c>
      <c r="H760" s="13" t="n">
        <v>5</v>
      </c>
      <c r="I760" s="8" t="n">
        <v>5</v>
      </c>
      <c r="J760" s="20" t="s">
        <v>259</v>
      </c>
      <c r="K760" s="8"/>
      <c r="L760" s="20" t="s">
        <v>259</v>
      </c>
      <c r="M760" s="16" t="n">
        <f aca="false">H760*Scoring!$C$5</f>
        <v>6.5</v>
      </c>
      <c r="N760" s="16" t="n">
        <f aca="false">IF(I760&gt;=5,1,IF(I760=4,0.75,IF(I760=3,0.5,IF(I760=2,0.25,0))))*Scoring!$C$8</f>
        <v>1</v>
      </c>
      <c r="O760" s="16" t="n">
        <f aca="false">IF(J760="Yes",0,Scoring!$C$6)</f>
        <v>2</v>
      </c>
      <c r="P760" s="16" t="n">
        <f aca="false">IF(L760="Yes",0,Scoring!$C$7)</f>
        <v>0.5</v>
      </c>
      <c r="Q760" s="8" t="n">
        <f aca="false">ROUND(SUM(M760:P760),2)</f>
        <v>10</v>
      </c>
      <c r="R760" s="8" t="str">
        <f aca="false">IF(Q760&gt;=Scoring!$C$10-0.000001,"Keep","Remove")</f>
        <v>Keep</v>
      </c>
      <c r="S760" s="8" t="s">
        <v>166</v>
      </c>
    </row>
    <row r="761" customFormat="false" ht="15" hidden="false" customHeight="false" outlineLevel="0" collapsed="false">
      <c r="A761" s="8" t="s">
        <v>5144</v>
      </c>
      <c r="B761" s="8" t="s">
        <v>5145</v>
      </c>
      <c r="C761" s="8" t="s">
        <v>178</v>
      </c>
      <c r="D761" s="8" t="s">
        <v>5046</v>
      </c>
      <c r="E761" s="8"/>
      <c r="F761" s="8" t="s">
        <v>78</v>
      </c>
      <c r="G761" s="8" t="n">
        <v>1</v>
      </c>
      <c r="H761" s="13" t="n">
        <v>5</v>
      </c>
      <c r="I761" s="8" t="n">
        <v>4</v>
      </c>
      <c r="J761" s="20" t="s">
        <v>259</v>
      </c>
      <c r="K761" s="8"/>
      <c r="L761" s="20" t="s">
        <v>259</v>
      </c>
      <c r="M761" s="16" t="n">
        <f aca="false">H761*Scoring!$C$5</f>
        <v>6.5</v>
      </c>
      <c r="N761" s="16" t="n">
        <f aca="false">IF(I761&gt;=5,1,IF(I761=4,0.75,IF(I761=3,0.5,IF(I761=2,0.25,0))))*Scoring!$C$8</f>
        <v>0.75</v>
      </c>
      <c r="O761" s="16" t="n">
        <f aca="false">IF(J761="Yes",0,Scoring!$C$6)</f>
        <v>2</v>
      </c>
      <c r="P761" s="16" t="n">
        <f aca="false">IF(L761="Yes",0,Scoring!$C$7)</f>
        <v>0.5</v>
      </c>
      <c r="Q761" s="8" t="n">
        <f aca="false">ROUND(SUM(M761:P761),2)</f>
        <v>9.75</v>
      </c>
      <c r="R761" s="8" t="str">
        <f aca="false">IF(Q761&gt;=Scoring!$C$10-0.000001,"Keep","Remove")</f>
        <v>Keep</v>
      </c>
      <c r="S761" s="8" t="s">
        <v>166</v>
      </c>
    </row>
    <row r="762" customFormat="false" ht="15" hidden="false" customHeight="false" outlineLevel="0" collapsed="false">
      <c r="A762" s="8" t="s">
        <v>5158</v>
      </c>
      <c r="B762" s="8" t="s">
        <v>5159</v>
      </c>
      <c r="C762" s="8" t="s">
        <v>178</v>
      </c>
      <c r="D762" s="8" t="s">
        <v>5046</v>
      </c>
      <c r="E762" s="8"/>
      <c r="F762" s="8" t="s">
        <v>80</v>
      </c>
      <c r="G762" s="8" t="n">
        <v>1</v>
      </c>
      <c r="H762" s="13" t="n">
        <v>5</v>
      </c>
      <c r="I762" s="8" t="n">
        <v>3</v>
      </c>
      <c r="J762" s="20" t="s">
        <v>259</v>
      </c>
      <c r="K762" s="8"/>
      <c r="L762" s="20" t="s">
        <v>259</v>
      </c>
      <c r="M762" s="16" t="n">
        <f aca="false">H762*Scoring!$C$5</f>
        <v>6.5</v>
      </c>
      <c r="N762" s="16" t="n">
        <f aca="false">IF(I762&gt;=5,1,IF(I762=4,0.75,IF(I762=3,0.5,IF(I762=2,0.25,0))))*Scoring!$C$8</f>
        <v>0.5</v>
      </c>
      <c r="O762" s="16" t="n">
        <f aca="false">IF(J762="Yes",0,Scoring!$C$6)</f>
        <v>2</v>
      </c>
      <c r="P762" s="16" t="n">
        <f aca="false">IF(L762="Yes",0,Scoring!$C$7)</f>
        <v>0.5</v>
      </c>
      <c r="Q762" s="8" t="n">
        <f aca="false">ROUND(SUM(M762:P762),2)</f>
        <v>9.5</v>
      </c>
      <c r="R762" s="8" t="str">
        <f aca="false">IF(Q762&gt;=Scoring!$C$10-0.000001,"Keep","Remove")</f>
        <v>Keep</v>
      </c>
      <c r="S762" s="8" t="s">
        <v>166</v>
      </c>
    </row>
    <row r="763" customFormat="false" ht="15" hidden="false" customHeight="false" outlineLevel="0" collapsed="false">
      <c r="A763" s="8" t="s">
        <v>5165</v>
      </c>
      <c r="B763" s="8" t="s">
        <v>5166</v>
      </c>
      <c r="C763" s="8" t="s">
        <v>178</v>
      </c>
      <c r="D763" s="8" t="s">
        <v>5046</v>
      </c>
      <c r="E763" s="8"/>
      <c r="F763" s="8" t="s">
        <v>80</v>
      </c>
      <c r="G763" s="8" t="n">
        <v>1</v>
      </c>
      <c r="H763" s="13" t="n">
        <v>5</v>
      </c>
      <c r="I763" s="8" t="n">
        <v>5</v>
      </c>
      <c r="J763" s="20" t="s">
        <v>259</v>
      </c>
      <c r="K763" s="8"/>
      <c r="L763" s="20" t="s">
        <v>259</v>
      </c>
      <c r="M763" s="16" t="n">
        <f aca="false">H763*Scoring!$C$5</f>
        <v>6.5</v>
      </c>
      <c r="N763" s="16" t="n">
        <f aca="false">IF(I763&gt;=5,1,IF(I763=4,0.75,IF(I763=3,0.5,IF(I763=2,0.25,0))))*Scoring!$C$8</f>
        <v>1</v>
      </c>
      <c r="O763" s="16" t="n">
        <f aca="false">IF(J763="Yes",0,Scoring!$C$6)</f>
        <v>2</v>
      </c>
      <c r="P763" s="16" t="n">
        <f aca="false">IF(L763="Yes",0,Scoring!$C$7)</f>
        <v>0.5</v>
      </c>
      <c r="Q763" s="8" t="n">
        <f aca="false">ROUND(SUM(M763:P763),2)</f>
        <v>10</v>
      </c>
      <c r="R763" s="8" t="str">
        <f aca="false">IF(Q763&gt;=Scoring!$C$10-0.000001,"Keep","Remove")</f>
        <v>Keep</v>
      </c>
      <c r="S763" s="8" t="s">
        <v>166</v>
      </c>
    </row>
    <row r="764" customFormat="false" ht="15" hidden="false" customHeight="false" outlineLevel="0" collapsed="false">
      <c r="A764" s="8" t="s">
        <v>5172</v>
      </c>
      <c r="B764" s="8" t="s">
        <v>5173</v>
      </c>
      <c r="C764" s="8" t="s">
        <v>178</v>
      </c>
      <c r="D764" s="8" t="s">
        <v>5046</v>
      </c>
      <c r="E764" s="8"/>
      <c r="F764" s="8" t="s">
        <v>80</v>
      </c>
      <c r="G764" s="8" t="n">
        <v>1</v>
      </c>
      <c r="H764" s="13" t="n">
        <v>5</v>
      </c>
      <c r="I764" s="8" t="n">
        <v>3</v>
      </c>
      <c r="J764" s="20" t="s">
        <v>259</v>
      </c>
      <c r="K764" s="8"/>
      <c r="L764" s="20" t="s">
        <v>259</v>
      </c>
      <c r="M764" s="16" t="n">
        <f aca="false">H764*Scoring!$C$5</f>
        <v>6.5</v>
      </c>
      <c r="N764" s="16" t="n">
        <f aca="false">IF(I764&gt;=5,1,IF(I764=4,0.75,IF(I764=3,0.5,IF(I764=2,0.25,0))))*Scoring!$C$8</f>
        <v>0.5</v>
      </c>
      <c r="O764" s="16" t="n">
        <f aca="false">IF(J764="Yes",0,Scoring!$C$6)</f>
        <v>2</v>
      </c>
      <c r="P764" s="16" t="n">
        <f aca="false">IF(L764="Yes",0,Scoring!$C$7)</f>
        <v>0.5</v>
      </c>
      <c r="Q764" s="8" t="n">
        <f aca="false">ROUND(SUM(M764:P764),2)</f>
        <v>9.5</v>
      </c>
      <c r="R764" s="8" t="str">
        <f aca="false">IF(Q764&gt;=Scoring!$C$10-0.000001,"Keep","Remove")</f>
        <v>Keep</v>
      </c>
      <c r="S764" s="8" t="s">
        <v>166</v>
      </c>
    </row>
    <row r="765" customFormat="false" ht="15" hidden="false" customHeight="false" outlineLevel="0" collapsed="false">
      <c r="A765" s="8" t="s">
        <v>5179</v>
      </c>
      <c r="B765" s="8" t="s">
        <v>5180</v>
      </c>
      <c r="C765" s="8" t="s">
        <v>178</v>
      </c>
      <c r="D765" s="8" t="s">
        <v>5046</v>
      </c>
      <c r="E765" s="8"/>
      <c r="F765" s="8" t="s">
        <v>83</v>
      </c>
      <c r="G765" s="8" t="n">
        <v>2</v>
      </c>
      <c r="H765" s="13" t="n">
        <v>3</v>
      </c>
      <c r="I765" s="8" t="n">
        <v>6</v>
      </c>
      <c r="J765" s="20" t="s">
        <v>259</v>
      </c>
      <c r="K765" s="8"/>
      <c r="L765" s="20" t="s">
        <v>259</v>
      </c>
      <c r="M765" s="16" t="n">
        <f aca="false">H765*Scoring!$C$5</f>
        <v>3.9</v>
      </c>
      <c r="N765" s="16" t="n">
        <f aca="false">IF(I765&gt;=5,1,IF(I765=4,0.75,IF(I765=3,0.5,IF(I765=2,0.25,0))))*Scoring!$C$8</f>
        <v>1</v>
      </c>
      <c r="O765" s="16" t="n">
        <f aca="false">IF(J765="Yes",0,Scoring!$C$6)</f>
        <v>2</v>
      </c>
      <c r="P765" s="16" t="n">
        <f aca="false">IF(L765="Yes",0,Scoring!$C$7)</f>
        <v>0.5</v>
      </c>
      <c r="Q765" s="8" t="n">
        <f aca="false">ROUND(SUM(M765:P765),2)</f>
        <v>7.4</v>
      </c>
      <c r="R765" s="8" t="str">
        <f aca="false">IF(Q765&gt;=Scoring!$C$10-0.000001,"Keep","Remove")</f>
        <v>Keep</v>
      </c>
      <c r="S765" s="8" t="s">
        <v>166</v>
      </c>
    </row>
    <row r="766" customFormat="false" ht="15" hidden="false" customHeight="false" outlineLevel="0" collapsed="false">
      <c r="A766" s="8" t="s">
        <v>5190</v>
      </c>
      <c r="B766" s="8" t="s">
        <v>5191</v>
      </c>
      <c r="C766" s="8" t="s">
        <v>178</v>
      </c>
      <c r="D766" s="8" t="s">
        <v>5046</v>
      </c>
      <c r="E766" s="8"/>
      <c r="F766" s="8" t="s">
        <v>85</v>
      </c>
      <c r="G766" s="8" t="n">
        <v>2</v>
      </c>
      <c r="H766" s="13" t="n">
        <v>3</v>
      </c>
      <c r="I766" s="8" t="n">
        <v>6</v>
      </c>
      <c r="J766" s="20" t="s">
        <v>259</v>
      </c>
      <c r="K766" s="8"/>
      <c r="L766" s="20" t="s">
        <v>259</v>
      </c>
      <c r="M766" s="16" t="n">
        <f aca="false">H766*Scoring!$C$5</f>
        <v>3.9</v>
      </c>
      <c r="N766" s="16" t="n">
        <f aca="false">IF(I766&gt;=5,1,IF(I766=4,0.75,IF(I766=3,0.5,IF(I766=2,0.25,0))))*Scoring!$C$8</f>
        <v>1</v>
      </c>
      <c r="O766" s="16" t="n">
        <f aca="false">IF(J766="Yes",0,Scoring!$C$6)</f>
        <v>2</v>
      </c>
      <c r="P766" s="16" t="n">
        <f aca="false">IF(L766="Yes",0,Scoring!$C$7)</f>
        <v>0.5</v>
      </c>
      <c r="Q766" s="8" t="n">
        <f aca="false">ROUND(SUM(M766:P766),2)</f>
        <v>7.4</v>
      </c>
      <c r="R766" s="8" t="str">
        <f aca="false">IF(Q766&gt;=Scoring!$C$10-0.000001,"Keep","Remove")</f>
        <v>Keep</v>
      </c>
      <c r="S766" s="8" t="s">
        <v>166</v>
      </c>
    </row>
    <row r="767" customFormat="false" ht="15" hidden="false" customHeight="false" outlineLevel="0" collapsed="false">
      <c r="A767" s="8" t="s">
        <v>5196</v>
      </c>
      <c r="B767" s="8" t="s">
        <v>5197</v>
      </c>
      <c r="C767" s="8" t="s">
        <v>178</v>
      </c>
      <c r="D767" s="8" t="s">
        <v>5046</v>
      </c>
      <c r="E767" s="8"/>
      <c r="F767" s="8" t="s">
        <v>78</v>
      </c>
      <c r="G767" s="8" t="n">
        <v>2</v>
      </c>
      <c r="H767" s="13" t="n">
        <v>3</v>
      </c>
      <c r="I767" s="8" t="n">
        <v>6</v>
      </c>
      <c r="J767" s="20" t="s">
        <v>259</v>
      </c>
      <c r="K767" s="8"/>
      <c r="L767" s="20" t="s">
        <v>259</v>
      </c>
      <c r="M767" s="16" t="n">
        <f aca="false">H767*Scoring!$C$5</f>
        <v>3.9</v>
      </c>
      <c r="N767" s="16" t="n">
        <f aca="false">IF(I767&gt;=5,1,IF(I767=4,0.75,IF(I767=3,0.5,IF(I767=2,0.25,0))))*Scoring!$C$8</f>
        <v>1</v>
      </c>
      <c r="O767" s="16" t="n">
        <f aca="false">IF(J767="Yes",0,Scoring!$C$6)</f>
        <v>2</v>
      </c>
      <c r="P767" s="16" t="n">
        <f aca="false">IF(L767="Yes",0,Scoring!$C$7)</f>
        <v>0.5</v>
      </c>
      <c r="Q767" s="8" t="n">
        <f aca="false">ROUND(SUM(M767:P767),2)</f>
        <v>7.4</v>
      </c>
      <c r="R767" s="8" t="str">
        <f aca="false">IF(Q767&gt;=Scoring!$C$10-0.000001,"Keep","Remove")</f>
        <v>Keep</v>
      </c>
      <c r="S767" s="8" t="s">
        <v>166</v>
      </c>
    </row>
    <row r="768" customFormat="false" ht="15" hidden="false" customHeight="false" outlineLevel="0" collapsed="false">
      <c r="A768" s="8" t="s">
        <v>7366</v>
      </c>
      <c r="B768" s="8" t="s">
        <v>7367</v>
      </c>
      <c r="C768" s="8" t="s">
        <v>178</v>
      </c>
      <c r="D768" s="8" t="s">
        <v>5046</v>
      </c>
      <c r="E768" s="8"/>
      <c r="F768" s="8" t="s">
        <v>89</v>
      </c>
      <c r="G768" s="8" t="n">
        <v>3</v>
      </c>
      <c r="H768" s="13" t="n">
        <v>2</v>
      </c>
      <c r="I768" s="8" t="n">
        <v>6</v>
      </c>
      <c r="J768" s="20" t="s">
        <v>259</v>
      </c>
      <c r="K768" s="8"/>
      <c r="L768" s="20" t="s">
        <v>259</v>
      </c>
      <c r="M768" s="16" t="n">
        <f aca="false">H768*Scoring!$C$5</f>
        <v>2.6</v>
      </c>
      <c r="N768" s="16" t="n">
        <f aca="false">IF(I768&gt;=5,1,IF(I768=4,0.75,IF(I768=3,0.5,IF(I768=2,0.25,0))))*Scoring!$C$8</f>
        <v>1</v>
      </c>
      <c r="O768" s="16" t="n">
        <f aca="false">IF(J768="Yes",0,Scoring!$C$6)</f>
        <v>2</v>
      </c>
      <c r="P768" s="16" t="n">
        <f aca="false">IF(L768="Yes",0,Scoring!$C$7)</f>
        <v>0.5</v>
      </c>
      <c r="Q768" s="8" t="n">
        <f aca="false">ROUND(SUM(M768:P768),2)</f>
        <v>6.1</v>
      </c>
      <c r="R768" s="8" t="str">
        <f aca="false">IF(Q768&gt;=Scoring!$C$10-0.000001,"Keep","Remove")</f>
        <v>Remove</v>
      </c>
      <c r="S768" s="8" t="s">
        <v>7243</v>
      </c>
    </row>
    <row r="769" customFormat="false" ht="15" hidden="false" customHeight="false" outlineLevel="0" collapsed="false">
      <c r="A769" s="8" t="s">
        <v>5205</v>
      </c>
      <c r="B769" s="8" t="s">
        <v>5206</v>
      </c>
      <c r="C769" s="8" t="s">
        <v>178</v>
      </c>
      <c r="D769" s="8" t="s">
        <v>5207</v>
      </c>
      <c r="E769" s="8"/>
      <c r="F769" s="8" t="s">
        <v>89</v>
      </c>
      <c r="G769" s="8" t="n">
        <v>1</v>
      </c>
      <c r="H769" s="13" t="n">
        <v>5</v>
      </c>
      <c r="I769" s="8" t="n">
        <v>5</v>
      </c>
      <c r="J769" s="20" t="s">
        <v>259</v>
      </c>
      <c r="K769" s="8"/>
      <c r="L769" s="20" t="s">
        <v>259</v>
      </c>
      <c r="M769" s="16" t="n">
        <f aca="false">H769*Scoring!$C$5</f>
        <v>6.5</v>
      </c>
      <c r="N769" s="16" t="n">
        <f aca="false">IF(I769&gt;=5,1,IF(I769=4,0.75,IF(I769=3,0.5,IF(I769=2,0.25,0))))*Scoring!$C$8</f>
        <v>1</v>
      </c>
      <c r="O769" s="16" t="n">
        <f aca="false">IF(J769="Yes",0,Scoring!$C$6)</f>
        <v>2</v>
      </c>
      <c r="P769" s="16" t="n">
        <f aca="false">IF(L769="Yes",0,Scoring!$C$7)</f>
        <v>0.5</v>
      </c>
      <c r="Q769" s="8" t="n">
        <f aca="false">ROUND(SUM(M769:P769),2)</f>
        <v>10</v>
      </c>
      <c r="R769" s="8" t="str">
        <f aca="false">IF(Q769&gt;=Scoring!$C$10-0.000001,"Keep","Remove")</f>
        <v>Keep</v>
      </c>
      <c r="S769" s="8" t="s">
        <v>166</v>
      </c>
    </row>
    <row r="770" customFormat="false" ht="15" hidden="false" customHeight="false" outlineLevel="0" collapsed="false">
      <c r="A770" s="8" t="s">
        <v>7731</v>
      </c>
      <c r="B770" s="8" t="s">
        <v>7732</v>
      </c>
      <c r="C770" s="8" t="s">
        <v>178</v>
      </c>
      <c r="D770" s="8" t="s">
        <v>5046</v>
      </c>
      <c r="E770" s="8"/>
      <c r="F770" s="8" t="s">
        <v>82</v>
      </c>
      <c r="G770" s="8" t="n">
        <v>3</v>
      </c>
      <c r="H770" s="13" t="n">
        <v>2</v>
      </c>
      <c r="I770" s="8" t="n">
        <v>3</v>
      </c>
      <c r="J770" s="20" t="s">
        <v>259</v>
      </c>
      <c r="K770" s="8"/>
      <c r="L770" s="20" t="s">
        <v>259</v>
      </c>
      <c r="M770" s="16" t="n">
        <f aca="false">H770*Scoring!$C$5</f>
        <v>2.6</v>
      </c>
      <c r="N770" s="16" t="n">
        <f aca="false">IF(I770&gt;=5,1,IF(I770=4,0.75,IF(I770=3,0.5,IF(I770=2,0.25,0))))*Scoring!$C$8</f>
        <v>0.5</v>
      </c>
      <c r="O770" s="16" t="n">
        <f aca="false">IF(J770="Yes",0,Scoring!$C$6)</f>
        <v>2</v>
      </c>
      <c r="P770" s="16" t="n">
        <f aca="false">IF(L770="Yes",0,Scoring!$C$7)</f>
        <v>0.5</v>
      </c>
      <c r="Q770" s="8" t="n">
        <f aca="false">ROUND(SUM(M770:P770),2)</f>
        <v>5.6</v>
      </c>
      <c r="R770" s="8" t="str">
        <f aca="false">IF(Q770&gt;=Scoring!$C$10-0.000001,"Keep","Remove")</f>
        <v>Remove</v>
      </c>
      <c r="S770" s="8" t="s">
        <v>7243</v>
      </c>
    </row>
    <row r="771" customFormat="false" ht="15" hidden="false" customHeight="false" outlineLevel="0" collapsed="false">
      <c r="A771" s="8" t="s">
        <v>7574</v>
      </c>
      <c r="B771" s="8" t="s">
        <v>7575</v>
      </c>
      <c r="C771" s="8" t="s">
        <v>178</v>
      </c>
      <c r="D771" s="8" t="s">
        <v>5046</v>
      </c>
      <c r="E771" s="8"/>
      <c r="F771" s="8" t="s">
        <v>82</v>
      </c>
      <c r="G771" s="8" t="n">
        <v>3</v>
      </c>
      <c r="H771" s="13" t="n">
        <v>2</v>
      </c>
      <c r="I771" s="8" t="n">
        <v>4</v>
      </c>
      <c r="J771" s="20" t="s">
        <v>259</v>
      </c>
      <c r="K771" s="8"/>
      <c r="L771" s="20" t="s">
        <v>259</v>
      </c>
      <c r="M771" s="16" t="n">
        <f aca="false">H771*Scoring!$C$5</f>
        <v>2.6</v>
      </c>
      <c r="N771" s="16" t="n">
        <f aca="false">IF(I771&gt;=5,1,IF(I771=4,0.75,IF(I771=3,0.5,IF(I771=2,0.25,0))))*Scoring!$C$8</f>
        <v>0.75</v>
      </c>
      <c r="O771" s="16" t="n">
        <f aca="false">IF(J771="Yes",0,Scoring!$C$6)</f>
        <v>2</v>
      </c>
      <c r="P771" s="16" t="n">
        <f aca="false">IF(L771="Yes",0,Scoring!$C$7)</f>
        <v>0.5</v>
      </c>
      <c r="Q771" s="8" t="n">
        <f aca="false">ROUND(SUM(M771:P771),2)</f>
        <v>5.85</v>
      </c>
      <c r="R771" s="8" t="str">
        <f aca="false">IF(Q771&gt;=Scoring!$C$10-0.000001,"Keep","Remove")</f>
        <v>Remove</v>
      </c>
      <c r="S771" s="8" t="s">
        <v>7243</v>
      </c>
    </row>
    <row r="772" customFormat="false" ht="15" hidden="false" customHeight="false" outlineLevel="0" collapsed="false">
      <c r="A772" s="8" t="s">
        <v>5217</v>
      </c>
      <c r="B772" s="8" t="s">
        <v>5218</v>
      </c>
      <c r="C772" s="8" t="s">
        <v>178</v>
      </c>
      <c r="D772" s="8" t="s">
        <v>5046</v>
      </c>
      <c r="E772" s="8"/>
      <c r="F772" s="8" t="s">
        <v>80</v>
      </c>
      <c r="G772" s="8" t="n">
        <v>2</v>
      </c>
      <c r="H772" s="13" t="n">
        <v>3</v>
      </c>
      <c r="I772" s="8" t="n">
        <v>5</v>
      </c>
      <c r="J772" s="20" t="s">
        <v>259</v>
      </c>
      <c r="K772" s="8"/>
      <c r="L772" s="20" t="s">
        <v>259</v>
      </c>
      <c r="M772" s="16" t="n">
        <f aca="false">H772*Scoring!$C$5</f>
        <v>3.9</v>
      </c>
      <c r="N772" s="16" t="n">
        <f aca="false">IF(I772&gt;=5,1,IF(I772=4,0.75,IF(I772=3,0.5,IF(I772=2,0.25,0))))*Scoring!$C$8</f>
        <v>1</v>
      </c>
      <c r="O772" s="16" t="n">
        <f aca="false">IF(J772="Yes",0,Scoring!$C$6)</f>
        <v>2</v>
      </c>
      <c r="P772" s="16" t="n">
        <f aca="false">IF(L772="Yes",0,Scoring!$C$7)</f>
        <v>0.5</v>
      </c>
      <c r="Q772" s="8" t="n">
        <f aca="false">ROUND(SUM(M772:P772),2)</f>
        <v>7.4</v>
      </c>
      <c r="R772" s="8" t="str">
        <f aca="false">IF(Q772&gt;=Scoring!$C$10-0.000001,"Keep","Remove")</f>
        <v>Keep</v>
      </c>
      <c r="S772" s="8" t="s">
        <v>166</v>
      </c>
    </row>
    <row r="773" customFormat="false" ht="15" hidden="false" customHeight="false" outlineLevel="0" collapsed="false">
      <c r="A773" s="8" t="s">
        <v>7368</v>
      </c>
      <c r="B773" s="8" t="s">
        <v>7369</v>
      </c>
      <c r="C773" s="8" t="s">
        <v>178</v>
      </c>
      <c r="D773" s="8" t="s">
        <v>5046</v>
      </c>
      <c r="E773" s="8"/>
      <c r="F773" s="8" t="s">
        <v>80</v>
      </c>
      <c r="G773" s="8" t="n">
        <v>3</v>
      </c>
      <c r="H773" s="13" t="n">
        <v>2</v>
      </c>
      <c r="I773" s="8" t="n">
        <v>5</v>
      </c>
      <c r="J773" s="20" t="s">
        <v>259</v>
      </c>
      <c r="K773" s="8"/>
      <c r="L773" s="20" t="s">
        <v>259</v>
      </c>
      <c r="M773" s="16" t="n">
        <f aca="false">H773*Scoring!$C$5</f>
        <v>2.6</v>
      </c>
      <c r="N773" s="16" t="n">
        <f aca="false">IF(I773&gt;=5,1,IF(I773=4,0.75,IF(I773=3,0.5,IF(I773=2,0.25,0))))*Scoring!$C$8</f>
        <v>1</v>
      </c>
      <c r="O773" s="16" t="n">
        <f aca="false">IF(J773="Yes",0,Scoring!$C$6)</f>
        <v>2</v>
      </c>
      <c r="P773" s="16" t="n">
        <f aca="false">IF(L773="Yes",0,Scoring!$C$7)</f>
        <v>0.5</v>
      </c>
      <c r="Q773" s="8" t="n">
        <f aca="false">ROUND(SUM(M773:P773),2)</f>
        <v>6.1</v>
      </c>
      <c r="R773" s="8" t="str">
        <f aca="false">IF(Q773&gt;=Scoring!$C$10-0.000001,"Keep","Remove")</f>
        <v>Remove</v>
      </c>
      <c r="S773" s="8" t="s">
        <v>7243</v>
      </c>
    </row>
    <row r="774" customFormat="false" ht="15" hidden="false" customHeight="false" outlineLevel="0" collapsed="false">
      <c r="A774" s="8" t="s">
        <v>5227</v>
      </c>
      <c r="B774" s="8" t="s">
        <v>5228</v>
      </c>
      <c r="C774" s="8" t="s">
        <v>178</v>
      </c>
      <c r="D774" s="8" t="s">
        <v>5046</v>
      </c>
      <c r="E774" s="8"/>
      <c r="F774" s="8" t="s">
        <v>81</v>
      </c>
      <c r="G774" s="8" t="n">
        <v>3</v>
      </c>
      <c r="H774" s="13" t="n">
        <v>4</v>
      </c>
      <c r="I774" s="8" t="n">
        <v>5</v>
      </c>
      <c r="J774" s="20" t="s">
        <v>259</v>
      </c>
      <c r="K774" s="8"/>
      <c r="L774" s="20" t="s">
        <v>259</v>
      </c>
      <c r="M774" s="16" t="n">
        <f aca="false">H774*Scoring!$C$5</f>
        <v>5.2</v>
      </c>
      <c r="N774" s="16" t="n">
        <f aca="false">IF(I774&gt;=5,1,IF(I774=4,0.75,IF(I774=3,0.5,IF(I774=2,0.25,0))))*Scoring!$C$8</f>
        <v>1</v>
      </c>
      <c r="O774" s="16" t="n">
        <f aca="false">IF(J774="Yes",0,Scoring!$C$6)</f>
        <v>2</v>
      </c>
      <c r="P774" s="16" t="n">
        <f aca="false">IF(L774="Yes",0,Scoring!$C$7)</f>
        <v>0.5</v>
      </c>
      <c r="Q774" s="8" t="n">
        <f aca="false">ROUND(SUM(M774:P774),2)</f>
        <v>8.7</v>
      </c>
      <c r="R774" s="8" t="str">
        <f aca="false">IF(Q774&gt;=Scoring!$C$10-0.000001,"Keep","Remove")</f>
        <v>Keep</v>
      </c>
      <c r="S774" s="8" t="s">
        <v>166</v>
      </c>
    </row>
    <row r="775" customFormat="false" ht="15" hidden="false" customHeight="false" outlineLevel="0" collapsed="false">
      <c r="A775" s="8" t="s">
        <v>5235</v>
      </c>
      <c r="B775" s="8" t="s">
        <v>5236</v>
      </c>
      <c r="C775" s="8" t="s">
        <v>178</v>
      </c>
      <c r="D775" s="8" t="s">
        <v>5046</v>
      </c>
      <c r="E775" s="8"/>
      <c r="F775" s="8" t="s">
        <v>82</v>
      </c>
      <c r="G775" s="8" t="n">
        <v>3</v>
      </c>
      <c r="H775" s="13" t="n">
        <v>3</v>
      </c>
      <c r="I775" s="8" t="n">
        <v>5</v>
      </c>
      <c r="J775" s="20" t="s">
        <v>259</v>
      </c>
      <c r="K775" s="8"/>
      <c r="L775" s="20" t="s">
        <v>259</v>
      </c>
      <c r="M775" s="16" t="n">
        <f aca="false">H775*Scoring!$C$5</f>
        <v>3.9</v>
      </c>
      <c r="N775" s="16" t="n">
        <f aca="false">IF(I775&gt;=5,1,IF(I775=4,0.75,IF(I775=3,0.5,IF(I775=2,0.25,0))))*Scoring!$C$8</f>
        <v>1</v>
      </c>
      <c r="O775" s="16" t="n">
        <f aca="false">IF(J775="Yes",0,Scoring!$C$6)</f>
        <v>2</v>
      </c>
      <c r="P775" s="16" t="n">
        <f aca="false">IF(L775="Yes",0,Scoring!$C$7)</f>
        <v>0.5</v>
      </c>
      <c r="Q775" s="8" t="n">
        <f aca="false">ROUND(SUM(M775:P775),2)</f>
        <v>7.4</v>
      </c>
      <c r="R775" s="8" t="str">
        <f aca="false">IF(Q775&gt;=Scoring!$C$10-0.000001,"Keep","Remove")</f>
        <v>Keep</v>
      </c>
      <c r="S775" s="8" t="s">
        <v>166</v>
      </c>
    </row>
    <row r="776" customFormat="false" ht="15" hidden="false" customHeight="false" outlineLevel="0" collapsed="false">
      <c r="A776" s="8" t="s">
        <v>5244</v>
      </c>
      <c r="B776" s="8" t="s">
        <v>5245</v>
      </c>
      <c r="C776" s="8" t="s">
        <v>178</v>
      </c>
      <c r="D776" s="8" t="s">
        <v>5046</v>
      </c>
      <c r="E776" s="8"/>
      <c r="F776" s="8" t="s">
        <v>78</v>
      </c>
      <c r="G776" s="8" t="n">
        <v>2</v>
      </c>
      <c r="H776" s="13" t="n">
        <v>4</v>
      </c>
      <c r="I776" s="8" t="n">
        <v>5</v>
      </c>
      <c r="J776" s="20" t="s">
        <v>259</v>
      </c>
      <c r="K776" s="8"/>
      <c r="L776" s="20" t="s">
        <v>259</v>
      </c>
      <c r="M776" s="16" t="n">
        <f aca="false">H776*Scoring!$C$5</f>
        <v>5.2</v>
      </c>
      <c r="N776" s="16" t="n">
        <f aca="false">IF(I776&gt;=5,1,IF(I776=4,0.75,IF(I776=3,0.5,IF(I776=2,0.25,0))))*Scoring!$C$8</f>
        <v>1</v>
      </c>
      <c r="O776" s="16" t="n">
        <f aca="false">IF(J776="Yes",0,Scoring!$C$6)</f>
        <v>2</v>
      </c>
      <c r="P776" s="16" t="n">
        <f aca="false">IF(L776="Yes",0,Scoring!$C$7)</f>
        <v>0.5</v>
      </c>
      <c r="Q776" s="8" t="n">
        <f aca="false">ROUND(SUM(M776:P776),2)</f>
        <v>8.7</v>
      </c>
      <c r="R776" s="8" t="str">
        <f aca="false">IF(Q776&gt;=Scoring!$C$10-0.000001,"Keep","Remove")</f>
        <v>Keep</v>
      </c>
      <c r="S776" s="8" t="s">
        <v>166</v>
      </c>
    </row>
    <row r="777" customFormat="false" ht="15" hidden="false" customHeight="false" outlineLevel="0" collapsed="false">
      <c r="A777" s="8" t="s">
        <v>5253</v>
      </c>
      <c r="B777" s="8" t="s">
        <v>5254</v>
      </c>
      <c r="C777" s="8" t="s">
        <v>178</v>
      </c>
      <c r="D777" s="8" t="s">
        <v>5255</v>
      </c>
      <c r="E777" s="8"/>
      <c r="F777" s="8" t="s">
        <v>78</v>
      </c>
      <c r="G777" s="8" t="n">
        <v>1</v>
      </c>
      <c r="H777" s="13" t="n">
        <v>3</v>
      </c>
      <c r="I777" s="8" t="n">
        <v>3</v>
      </c>
      <c r="J777" s="20" t="s">
        <v>259</v>
      </c>
      <c r="K777" s="8"/>
      <c r="L777" s="20" t="s">
        <v>259</v>
      </c>
      <c r="M777" s="16" t="n">
        <f aca="false">H777*Scoring!$C$5</f>
        <v>3.9</v>
      </c>
      <c r="N777" s="16" t="n">
        <f aca="false">IF(I777&gt;=5,1,IF(I777=4,0.75,IF(I777=3,0.5,IF(I777=2,0.25,0))))*Scoring!$C$8</f>
        <v>0.5</v>
      </c>
      <c r="O777" s="16" t="n">
        <f aca="false">IF(J777="Yes",0,Scoring!$C$6)</f>
        <v>2</v>
      </c>
      <c r="P777" s="16" t="n">
        <f aca="false">IF(L777="Yes",0,Scoring!$C$7)</f>
        <v>0.5</v>
      </c>
      <c r="Q777" s="8" t="n">
        <f aca="false">ROUND(SUM(M777:P777),2)</f>
        <v>6.9</v>
      </c>
      <c r="R777" s="8" t="str">
        <f aca="false">IF(Q777&gt;=Scoring!$C$10-0.000001,"Keep","Remove")</f>
        <v>Keep</v>
      </c>
      <c r="S777" s="8" t="s">
        <v>166</v>
      </c>
    </row>
    <row r="778" customFormat="false" ht="15" hidden="false" customHeight="false" outlineLevel="0" collapsed="false">
      <c r="A778" s="8" t="s">
        <v>7370</v>
      </c>
      <c r="B778" s="8" t="s">
        <v>7371</v>
      </c>
      <c r="C778" s="8" t="s">
        <v>178</v>
      </c>
      <c r="D778" s="8" t="s">
        <v>5255</v>
      </c>
      <c r="E778" s="8"/>
      <c r="F778" s="8" t="s">
        <v>80</v>
      </c>
      <c r="G778" s="8" t="n">
        <v>3</v>
      </c>
      <c r="H778" s="13" t="n">
        <v>2</v>
      </c>
      <c r="I778" s="8" t="n">
        <v>5</v>
      </c>
      <c r="J778" s="20" t="s">
        <v>259</v>
      </c>
      <c r="K778" s="8"/>
      <c r="L778" s="20" t="s">
        <v>259</v>
      </c>
      <c r="M778" s="16" t="n">
        <f aca="false">H778*Scoring!$C$5</f>
        <v>2.6</v>
      </c>
      <c r="N778" s="16" t="n">
        <f aca="false">IF(I778&gt;=5,1,IF(I778=4,0.75,IF(I778=3,0.5,IF(I778=2,0.25,0))))*Scoring!$C$8</f>
        <v>1</v>
      </c>
      <c r="O778" s="16" t="n">
        <f aca="false">IF(J778="Yes",0,Scoring!$C$6)</f>
        <v>2</v>
      </c>
      <c r="P778" s="16" t="n">
        <f aca="false">IF(L778="Yes",0,Scoring!$C$7)</f>
        <v>0.5</v>
      </c>
      <c r="Q778" s="8" t="n">
        <f aca="false">ROUND(SUM(M778:P778),2)</f>
        <v>6.1</v>
      </c>
      <c r="R778" s="8" t="str">
        <f aca="false">IF(Q778&gt;=Scoring!$C$10-0.000001,"Keep","Remove")</f>
        <v>Remove</v>
      </c>
      <c r="S778" s="8" t="s">
        <v>7243</v>
      </c>
    </row>
    <row r="779" customFormat="false" ht="15" hidden="false" customHeight="false" outlineLevel="0" collapsed="false">
      <c r="A779" s="8" t="s">
        <v>7576</v>
      </c>
      <c r="B779" s="8" t="s">
        <v>7577</v>
      </c>
      <c r="C779" s="8" t="s">
        <v>178</v>
      </c>
      <c r="D779" s="8" t="s">
        <v>5255</v>
      </c>
      <c r="E779" s="8"/>
      <c r="F779" s="8" t="s">
        <v>80</v>
      </c>
      <c r="G779" s="8" t="n">
        <v>3</v>
      </c>
      <c r="H779" s="13" t="n">
        <v>2</v>
      </c>
      <c r="I779" s="8" t="n">
        <v>4</v>
      </c>
      <c r="J779" s="20" t="s">
        <v>259</v>
      </c>
      <c r="K779" s="8"/>
      <c r="L779" s="20" t="s">
        <v>259</v>
      </c>
      <c r="M779" s="16" t="n">
        <f aca="false">H779*Scoring!$C$5</f>
        <v>2.6</v>
      </c>
      <c r="N779" s="16" t="n">
        <f aca="false">IF(I779&gt;=5,1,IF(I779=4,0.75,IF(I779=3,0.5,IF(I779=2,0.25,0))))*Scoring!$C$8</f>
        <v>0.75</v>
      </c>
      <c r="O779" s="16" t="n">
        <f aca="false">IF(J779="Yes",0,Scoring!$C$6)</f>
        <v>2</v>
      </c>
      <c r="P779" s="16" t="n">
        <f aca="false">IF(L779="Yes",0,Scoring!$C$7)</f>
        <v>0.5</v>
      </c>
      <c r="Q779" s="8" t="n">
        <f aca="false">ROUND(SUM(M779:P779),2)</f>
        <v>5.85</v>
      </c>
      <c r="R779" s="8" t="str">
        <f aca="false">IF(Q779&gt;=Scoring!$C$10-0.000001,"Keep","Remove")</f>
        <v>Remove</v>
      </c>
      <c r="S779" s="8" t="s">
        <v>7243</v>
      </c>
    </row>
    <row r="780" customFormat="false" ht="15" hidden="false" customHeight="false" outlineLevel="0" collapsed="false">
      <c r="A780" s="8" t="s">
        <v>7372</v>
      </c>
      <c r="B780" s="8" t="s">
        <v>7373</v>
      </c>
      <c r="C780" s="8" t="s">
        <v>178</v>
      </c>
      <c r="D780" s="8" t="s">
        <v>5255</v>
      </c>
      <c r="E780" s="8"/>
      <c r="F780" s="8" t="s">
        <v>78</v>
      </c>
      <c r="G780" s="8" t="n">
        <v>3</v>
      </c>
      <c r="H780" s="13" t="n">
        <v>2</v>
      </c>
      <c r="I780" s="8" t="n">
        <v>5</v>
      </c>
      <c r="J780" s="20" t="s">
        <v>259</v>
      </c>
      <c r="K780" s="8"/>
      <c r="L780" s="20" t="s">
        <v>259</v>
      </c>
      <c r="M780" s="16" t="n">
        <f aca="false">H780*Scoring!$C$5</f>
        <v>2.6</v>
      </c>
      <c r="N780" s="16" t="n">
        <f aca="false">IF(I780&gt;=5,1,IF(I780=4,0.75,IF(I780=3,0.5,IF(I780=2,0.25,0))))*Scoring!$C$8</f>
        <v>1</v>
      </c>
      <c r="O780" s="16" t="n">
        <f aca="false">IF(J780="Yes",0,Scoring!$C$6)</f>
        <v>2</v>
      </c>
      <c r="P780" s="16" t="n">
        <f aca="false">IF(L780="Yes",0,Scoring!$C$7)</f>
        <v>0.5</v>
      </c>
      <c r="Q780" s="8" t="n">
        <f aca="false">ROUND(SUM(M780:P780),2)</f>
        <v>6.1</v>
      </c>
      <c r="R780" s="8" t="str">
        <f aca="false">IF(Q780&gt;=Scoring!$C$10-0.000001,"Keep","Remove")</f>
        <v>Remove</v>
      </c>
      <c r="S780" s="8" t="s">
        <v>7243</v>
      </c>
    </row>
    <row r="781" customFormat="false" ht="15" hidden="false" customHeight="false" outlineLevel="0" collapsed="false">
      <c r="A781" s="8" t="s">
        <v>7374</v>
      </c>
      <c r="B781" s="8" t="s">
        <v>7375</v>
      </c>
      <c r="C781" s="8" t="s">
        <v>178</v>
      </c>
      <c r="D781" s="8" t="s">
        <v>5255</v>
      </c>
      <c r="E781" s="8"/>
      <c r="F781" s="8" t="s">
        <v>87</v>
      </c>
      <c r="G781" s="8" t="n">
        <v>3</v>
      </c>
      <c r="H781" s="13" t="n">
        <v>2</v>
      </c>
      <c r="I781" s="8" t="n">
        <v>5</v>
      </c>
      <c r="J781" s="20" t="s">
        <v>259</v>
      </c>
      <c r="K781" s="8"/>
      <c r="L781" s="20" t="s">
        <v>259</v>
      </c>
      <c r="M781" s="16" t="n">
        <f aca="false">H781*Scoring!$C$5</f>
        <v>2.6</v>
      </c>
      <c r="N781" s="16" t="n">
        <f aca="false">IF(I781&gt;=5,1,IF(I781=4,0.75,IF(I781=3,0.5,IF(I781=2,0.25,0))))*Scoring!$C$8</f>
        <v>1</v>
      </c>
      <c r="O781" s="16" t="n">
        <f aca="false">IF(J781="Yes",0,Scoring!$C$6)</f>
        <v>2</v>
      </c>
      <c r="P781" s="16" t="n">
        <f aca="false">IF(L781="Yes",0,Scoring!$C$7)</f>
        <v>0.5</v>
      </c>
      <c r="Q781" s="8" t="n">
        <f aca="false">ROUND(SUM(M781:P781),2)</f>
        <v>6.1</v>
      </c>
      <c r="R781" s="8" t="str">
        <f aca="false">IF(Q781&gt;=Scoring!$C$10-0.000001,"Keep","Remove")</f>
        <v>Remove</v>
      </c>
      <c r="S781" s="8" t="s">
        <v>7243</v>
      </c>
    </row>
    <row r="782" customFormat="false" ht="15" hidden="false" customHeight="false" outlineLevel="0" collapsed="false">
      <c r="A782" s="8" t="s">
        <v>5263</v>
      </c>
      <c r="B782" s="8" t="s">
        <v>5264</v>
      </c>
      <c r="C782" s="8" t="s">
        <v>178</v>
      </c>
      <c r="D782" s="8" t="s">
        <v>5207</v>
      </c>
      <c r="E782" s="8"/>
      <c r="F782" s="8" t="s">
        <v>81</v>
      </c>
      <c r="G782" s="8" t="n">
        <v>1</v>
      </c>
      <c r="H782" s="13" t="n">
        <v>4</v>
      </c>
      <c r="I782" s="8" t="n">
        <v>4</v>
      </c>
      <c r="J782" s="20" t="s">
        <v>259</v>
      </c>
      <c r="K782" s="8"/>
      <c r="L782" s="20" t="s">
        <v>259</v>
      </c>
      <c r="M782" s="16" t="n">
        <f aca="false">H782*Scoring!$C$5</f>
        <v>5.2</v>
      </c>
      <c r="N782" s="16" t="n">
        <f aca="false">IF(I782&gt;=5,1,IF(I782=4,0.75,IF(I782=3,0.5,IF(I782=2,0.25,0))))*Scoring!$C$8</f>
        <v>0.75</v>
      </c>
      <c r="O782" s="16" t="n">
        <f aca="false">IF(J782="Yes",0,Scoring!$C$6)</f>
        <v>2</v>
      </c>
      <c r="P782" s="16" t="n">
        <f aca="false">IF(L782="Yes",0,Scoring!$C$7)</f>
        <v>0.5</v>
      </c>
      <c r="Q782" s="8" t="n">
        <f aca="false">ROUND(SUM(M782:P782),2)</f>
        <v>8.45</v>
      </c>
      <c r="R782" s="8" t="str">
        <f aca="false">IF(Q782&gt;=Scoring!$C$10-0.000001,"Keep","Remove")</f>
        <v>Keep</v>
      </c>
      <c r="S782" s="8" t="s">
        <v>166</v>
      </c>
    </row>
    <row r="783" customFormat="false" ht="15" hidden="false" customHeight="false" outlineLevel="0" collapsed="false">
      <c r="A783" s="8" t="s">
        <v>5272</v>
      </c>
      <c r="B783" s="8" t="s">
        <v>5273</v>
      </c>
      <c r="C783" s="8" t="s">
        <v>178</v>
      </c>
      <c r="D783" s="8" t="s">
        <v>5207</v>
      </c>
      <c r="E783" s="8"/>
      <c r="F783" s="8" t="s">
        <v>88</v>
      </c>
      <c r="G783" s="8" t="n">
        <v>1</v>
      </c>
      <c r="H783" s="13" t="n">
        <v>5</v>
      </c>
      <c r="I783" s="8" t="n">
        <v>3</v>
      </c>
      <c r="J783" s="20" t="s">
        <v>259</v>
      </c>
      <c r="K783" s="8"/>
      <c r="L783" s="20" t="s">
        <v>259</v>
      </c>
      <c r="M783" s="16" t="n">
        <f aca="false">H783*Scoring!$C$5</f>
        <v>6.5</v>
      </c>
      <c r="N783" s="16" t="n">
        <f aca="false">IF(I783&gt;=5,1,IF(I783=4,0.75,IF(I783=3,0.5,IF(I783=2,0.25,0))))*Scoring!$C$8</f>
        <v>0.5</v>
      </c>
      <c r="O783" s="16" t="n">
        <f aca="false">IF(J783="Yes",0,Scoring!$C$6)</f>
        <v>2</v>
      </c>
      <c r="P783" s="16" t="n">
        <f aca="false">IF(L783="Yes",0,Scoring!$C$7)</f>
        <v>0.5</v>
      </c>
      <c r="Q783" s="8" t="n">
        <f aca="false">ROUND(SUM(M783:P783),2)</f>
        <v>9.5</v>
      </c>
      <c r="R783" s="8" t="str">
        <f aca="false">IF(Q783&gt;=Scoring!$C$10-0.000001,"Keep","Remove")</f>
        <v>Keep</v>
      </c>
      <c r="S783" s="8" t="s">
        <v>166</v>
      </c>
    </row>
    <row r="784" customFormat="false" ht="15" hidden="false" customHeight="false" outlineLevel="0" collapsed="false">
      <c r="A784" s="8" t="s">
        <v>5282</v>
      </c>
      <c r="B784" s="8" t="s">
        <v>5283</v>
      </c>
      <c r="C784" s="8" t="s">
        <v>178</v>
      </c>
      <c r="D784" s="8" t="s">
        <v>5207</v>
      </c>
      <c r="E784" s="8"/>
      <c r="F784" s="8" t="s">
        <v>78</v>
      </c>
      <c r="G784" s="8" t="n">
        <v>1</v>
      </c>
      <c r="H784" s="13" t="n">
        <v>4</v>
      </c>
      <c r="I784" s="8" t="n">
        <v>5</v>
      </c>
      <c r="J784" s="20" t="s">
        <v>259</v>
      </c>
      <c r="K784" s="8"/>
      <c r="L784" s="20" t="s">
        <v>259</v>
      </c>
      <c r="M784" s="16" t="n">
        <f aca="false">H784*Scoring!$C$5</f>
        <v>5.2</v>
      </c>
      <c r="N784" s="16" t="n">
        <f aca="false">IF(I784&gt;=5,1,IF(I784=4,0.75,IF(I784=3,0.5,IF(I784=2,0.25,0))))*Scoring!$C$8</f>
        <v>1</v>
      </c>
      <c r="O784" s="16" t="n">
        <f aca="false">IF(J784="Yes",0,Scoring!$C$6)</f>
        <v>2</v>
      </c>
      <c r="P784" s="16" t="n">
        <f aca="false">IF(L784="Yes",0,Scoring!$C$7)</f>
        <v>0.5</v>
      </c>
      <c r="Q784" s="8" t="n">
        <f aca="false">ROUND(SUM(M784:P784),2)</f>
        <v>8.7</v>
      </c>
      <c r="R784" s="8" t="str">
        <f aca="false">IF(Q784&gt;=Scoring!$C$10-0.000001,"Keep","Remove")</f>
        <v>Keep</v>
      </c>
      <c r="S784" s="8" t="s">
        <v>166</v>
      </c>
    </row>
    <row r="785" customFormat="false" ht="15" hidden="false" customHeight="false" outlineLevel="0" collapsed="false">
      <c r="A785" s="8" t="s">
        <v>5289</v>
      </c>
      <c r="B785" s="8" t="s">
        <v>5290</v>
      </c>
      <c r="C785" s="8" t="s">
        <v>178</v>
      </c>
      <c r="D785" s="8" t="s">
        <v>5207</v>
      </c>
      <c r="E785" s="8"/>
      <c r="F785" s="8" t="s">
        <v>78</v>
      </c>
      <c r="G785" s="8" t="n">
        <v>2</v>
      </c>
      <c r="H785" s="13" t="n">
        <v>3</v>
      </c>
      <c r="I785" s="8" t="n">
        <v>6</v>
      </c>
      <c r="J785" s="20" t="s">
        <v>259</v>
      </c>
      <c r="K785" s="8"/>
      <c r="L785" s="20" t="s">
        <v>259</v>
      </c>
      <c r="M785" s="16" t="n">
        <f aca="false">H785*Scoring!$C$5</f>
        <v>3.9</v>
      </c>
      <c r="N785" s="16" t="n">
        <f aca="false">IF(I785&gt;=5,1,IF(I785=4,0.75,IF(I785=3,0.5,IF(I785=2,0.25,0))))*Scoring!$C$8</f>
        <v>1</v>
      </c>
      <c r="O785" s="16" t="n">
        <f aca="false">IF(J785="Yes",0,Scoring!$C$6)</f>
        <v>2</v>
      </c>
      <c r="P785" s="16" t="n">
        <f aca="false">IF(L785="Yes",0,Scoring!$C$7)</f>
        <v>0.5</v>
      </c>
      <c r="Q785" s="8" t="n">
        <f aca="false">ROUND(SUM(M785:P785),2)</f>
        <v>7.4</v>
      </c>
      <c r="R785" s="8" t="str">
        <f aca="false">IF(Q785&gt;=Scoring!$C$10-0.000001,"Keep","Remove")</f>
        <v>Keep</v>
      </c>
      <c r="S785" s="8" t="s">
        <v>166</v>
      </c>
    </row>
    <row r="786" customFormat="false" ht="15" hidden="false" customHeight="false" outlineLevel="0" collapsed="false">
      <c r="A786" s="8" t="s">
        <v>7376</v>
      </c>
      <c r="B786" s="8" t="s">
        <v>7377</v>
      </c>
      <c r="C786" s="8" t="s">
        <v>178</v>
      </c>
      <c r="D786" s="8" t="s">
        <v>5207</v>
      </c>
      <c r="E786" s="8"/>
      <c r="F786" s="8" t="s">
        <v>78</v>
      </c>
      <c r="G786" s="8" t="n">
        <v>3</v>
      </c>
      <c r="H786" s="13" t="n">
        <v>2</v>
      </c>
      <c r="I786" s="8" t="n">
        <v>5</v>
      </c>
      <c r="J786" s="20" t="s">
        <v>259</v>
      </c>
      <c r="K786" s="8"/>
      <c r="L786" s="20" t="s">
        <v>259</v>
      </c>
      <c r="M786" s="16" t="n">
        <f aca="false">H786*Scoring!$C$5</f>
        <v>2.6</v>
      </c>
      <c r="N786" s="16" t="n">
        <f aca="false">IF(I786&gt;=5,1,IF(I786=4,0.75,IF(I786=3,0.5,IF(I786=2,0.25,0))))*Scoring!$C$8</f>
        <v>1</v>
      </c>
      <c r="O786" s="16" t="n">
        <f aca="false">IF(J786="Yes",0,Scoring!$C$6)</f>
        <v>2</v>
      </c>
      <c r="P786" s="16" t="n">
        <f aca="false">IF(L786="Yes",0,Scoring!$C$7)</f>
        <v>0.5</v>
      </c>
      <c r="Q786" s="8" t="n">
        <f aca="false">ROUND(SUM(M786:P786),2)</f>
        <v>6.1</v>
      </c>
      <c r="R786" s="8" t="str">
        <f aca="false">IF(Q786&gt;=Scoring!$C$10-0.000001,"Keep","Remove")</f>
        <v>Remove</v>
      </c>
      <c r="S786" s="8" t="s">
        <v>7243</v>
      </c>
    </row>
    <row r="787" customFormat="false" ht="15" hidden="false" customHeight="false" outlineLevel="0" collapsed="false">
      <c r="A787" s="8" t="s">
        <v>5297</v>
      </c>
      <c r="B787" s="8" t="s">
        <v>5298</v>
      </c>
      <c r="C787" s="8" t="s">
        <v>178</v>
      </c>
      <c r="D787" s="8" t="s">
        <v>5207</v>
      </c>
      <c r="E787" s="8"/>
      <c r="F787" s="8" t="s">
        <v>78</v>
      </c>
      <c r="G787" s="8" t="n">
        <v>1</v>
      </c>
      <c r="H787" s="13" t="n">
        <v>4</v>
      </c>
      <c r="I787" s="8" t="n">
        <v>5</v>
      </c>
      <c r="J787" s="20" t="s">
        <v>259</v>
      </c>
      <c r="K787" s="8"/>
      <c r="L787" s="20" t="s">
        <v>259</v>
      </c>
      <c r="M787" s="16" t="n">
        <f aca="false">H787*Scoring!$C$5</f>
        <v>5.2</v>
      </c>
      <c r="N787" s="16" t="n">
        <f aca="false">IF(I787&gt;=5,1,IF(I787=4,0.75,IF(I787=3,0.5,IF(I787=2,0.25,0))))*Scoring!$C$8</f>
        <v>1</v>
      </c>
      <c r="O787" s="16" t="n">
        <f aca="false">IF(J787="Yes",0,Scoring!$C$6)</f>
        <v>2</v>
      </c>
      <c r="P787" s="16" t="n">
        <f aca="false">IF(L787="Yes",0,Scoring!$C$7)</f>
        <v>0.5</v>
      </c>
      <c r="Q787" s="8" t="n">
        <f aca="false">ROUND(SUM(M787:P787),2)</f>
        <v>8.7</v>
      </c>
      <c r="R787" s="8" t="str">
        <f aca="false">IF(Q787&gt;=Scoring!$C$10-0.000001,"Keep","Remove")</f>
        <v>Keep</v>
      </c>
      <c r="S787" s="8" t="s">
        <v>166</v>
      </c>
    </row>
    <row r="788" customFormat="false" ht="15" hidden="false" customHeight="false" outlineLevel="0" collapsed="false">
      <c r="A788" s="8" t="s">
        <v>5307</v>
      </c>
      <c r="B788" s="8" t="s">
        <v>5308</v>
      </c>
      <c r="C788" s="8" t="s">
        <v>178</v>
      </c>
      <c r="D788" s="8" t="s">
        <v>5207</v>
      </c>
      <c r="E788" s="8"/>
      <c r="F788" s="8" t="s">
        <v>79</v>
      </c>
      <c r="G788" s="8" t="n">
        <v>1</v>
      </c>
      <c r="H788" s="13" t="n">
        <v>5</v>
      </c>
      <c r="I788" s="8" t="n">
        <v>4</v>
      </c>
      <c r="J788" s="20" t="s">
        <v>259</v>
      </c>
      <c r="K788" s="8"/>
      <c r="L788" s="20" t="s">
        <v>259</v>
      </c>
      <c r="M788" s="16" t="n">
        <f aca="false">H788*Scoring!$C$5</f>
        <v>6.5</v>
      </c>
      <c r="N788" s="16" t="n">
        <f aca="false">IF(I788&gt;=5,1,IF(I788=4,0.75,IF(I788=3,0.5,IF(I788=2,0.25,0))))*Scoring!$C$8</f>
        <v>0.75</v>
      </c>
      <c r="O788" s="16" t="n">
        <f aca="false">IF(J788="Yes",0,Scoring!$C$6)</f>
        <v>2</v>
      </c>
      <c r="P788" s="16" t="n">
        <f aca="false">IF(L788="Yes",0,Scoring!$C$7)</f>
        <v>0.5</v>
      </c>
      <c r="Q788" s="8" t="n">
        <f aca="false">ROUND(SUM(M788:P788),2)</f>
        <v>9.75</v>
      </c>
      <c r="R788" s="8" t="str">
        <f aca="false">IF(Q788&gt;=Scoring!$C$10-0.000001,"Keep","Remove")</f>
        <v>Keep</v>
      </c>
      <c r="S788" s="8" t="s">
        <v>166</v>
      </c>
    </row>
    <row r="789" customFormat="false" ht="15" hidden="false" customHeight="false" outlineLevel="0" collapsed="false">
      <c r="A789" s="8" t="s">
        <v>5316</v>
      </c>
      <c r="B789" s="8" t="s">
        <v>5317</v>
      </c>
      <c r="C789" s="8" t="s">
        <v>178</v>
      </c>
      <c r="D789" s="8" t="s">
        <v>5207</v>
      </c>
      <c r="E789" s="8"/>
      <c r="F789" s="8" t="s">
        <v>78</v>
      </c>
      <c r="G789" s="8" t="n">
        <v>1</v>
      </c>
      <c r="H789" s="13" t="n">
        <v>5</v>
      </c>
      <c r="I789" s="8" t="n">
        <v>6</v>
      </c>
      <c r="J789" s="20" t="s">
        <v>259</v>
      </c>
      <c r="K789" s="8"/>
      <c r="L789" s="20" t="s">
        <v>259</v>
      </c>
      <c r="M789" s="16" t="n">
        <f aca="false">H789*Scoring!$C$5</f>
        <v>6.5</v>
      </c>
      <c r="N789" s="16" t="n">
        <f aca="false">IF(I789&gt;=5,1,IF(I789=4,0.75,IF(I789=3,0.5,IF(I789=2,0.25,0))))*Scoring!$C$8</f>
        <v>1</v>
      </c>
      <c r="O789" s="16" t="n">
        <f aca="false">IF(J789="Yes",0,Scoring!$C$6)</f>
        <v>2</v>
      </c>
      <c r="P789" s="16" t="n">
        <f aca="false">IF(L789="Yes",0,Scoring!$C$7)</f>
        <v>0.5</v>
      </c>
      <c r="Q789" s="8" t="n">
        <f aca="false">ROUND(SUM(M789:P789),2)</f>
        <v>10</v>
      </c>
      <c r="R789" s="8" t="str">
        <f aca="false">IF(Q789&gt;=Scoring!$C$10-0.000001,"Keep","Remove")</f>
        <v>Keep</v>
      </c>
      <c r="S789" s="8" t="s">
        <v>166</v>
      </c>
    </row>
    <row r="790" customFormat="false" ht="15" hidden="false" customHeight="false" outlineLevel="0" collapsed="false">
      <c r="A790" s="8" t="s">
        <v>5324</v>
      </c>
      <c r="B790" s="8" t="s">
        <v>5325</v>
      </c>
      <c r="C790" s="8" t="s">
        <v>178</v>
      </c>
      <c r="D790" s="8" t="s">
        <v>5207</v>
      </c>
      <c r="E790" s="8"/>
      <c r="F790" s="8" t="s">
        <v>83</v>
      </c>
      <c r="G790" s="8" t="n">
        <v>2</v>
      </c>
      <c r="H790" s="13" t="n">
        <v>3</v>
      </c>
      <c r="I790" s="8" t="n">
        <v>5</v>
      </c>
      <c r="J790" s="20" t="s">
        <v>259</v>
      </c>
      <c r="K790" s="8"/>
      <c r="L790" s="20" t="s">
        <v>259</v>
      </c>
      <c r="M790" s="16" t="n">
        <f aca="false">H790*Scoring!$C$5</f>
        <v>3.9</v>
      </c>
      <c r="N790" s="16" t="n">
        <f aca="false">IF(I790&gt;=5,1,IF(I790=4,0.75,IF(I790=3,0.5,IF(I790=2,0.25,0))))*Scoring!$C$8</f>
        <v>1</v>
      </c>
      <c r="O790" s="16" t="n">
        <f aca="false">IF(J790="Yes",0,Scoring!$C$6)</f>
        <v>2</v>
      </c>
      <c r="P790" s="16" t="n">
        <f aca="false">IF(L790="Yes",0,Scoring!$C$7)</f>
        <v>0.5</v>
      </c>
      <c r="Q790" s="8" t="n">
        <f aca="false">ROUND(SUM(M790:P790),2)</f>
        <v>7.4</v>
      </c>
      <c r="R790" s="8" t="str">
        <f aca="false">IF(Q790&gt;=Scoring!$C$10-0.000001,"Keep","Remove")</f>
        <v>Keep</v>
      </c>
      <c r="S790" s="8" t="s">
        <v>166</v>
      </c>
    </row>
    <row r="791" customFormat="false" ht="15" hidden="false" customHeight="false" outlineLevel="0" collapsed="false">
      <c r="A791" s="8" t="s">
        <v>5333</v>
      </c>
      <c r="B791" s="8" t="s">
        <v>5334</v>
      </c>
      <c r="C791" s="8" t="s">
        <v>178</v>
      </c>
      <c r="D791" s="8" t="s">
        <v>5207</v>
      </c>
      <c r="E791" s="8"/>
      <c r="F791" s="8" t="s">
        <v>82</v>
      </c>
      <c r="G791" s="8" t="n">
        <v>2</v>
      </c>
      <c r="H791" s="13" t="n">
        <v>3</v>
      </c>
      <c r="I791" s="8" t="n">
        <v>4</v>
      </c>
      <c r="J791" s="20" t="s">
        <v>259</v>
      </c>
      <c r="K791" s="8"/>
      <c r="L791" s="20" t="s">
        <v>259</v>
      </c>
      <c r="M791" s="16" t="n">
        <f aca="false">H791*Scoring!$C$5</f>
        <v>3.9</v>
      </c>
      <c r="N791" s="16" t="n">
        <f aca="false">IF(I791&gt;=5,1,IF(I791=4,0.75,IF(I791=3,0.5,IF(I791=2,0.25,0))))*Scoring!$C$8</f>
        <v>0.75</v>
      </c>
      <c r="O791" s="16" t="n">
        <f aca="false">IF(J791="Yes",0,Scoring!$C$6)</f>
        <v>2</v>
      </c>
      <c r="P791" s="16" t="n">
        <f aca="false">IF(L791="Yes",0,Scoring!$C$7)</f>
        <v>0.5</v>
      </c>
      <c r="Q791" s="8" t="n">
        <f aca="false">ROUND(SUM(M791:P791),2)</f>
        <v>7.15</v>
      </c>
      <c r="R791" s="8" t="str">
        <f aca="false">IF(Q791&gt;=Scoring!$C$10-0.000001,"Keep","Remove")</f>
        <v>Keep</v>
      </c>
      <c r="S791" s="8" t="s">
        <v>166</v>
      </c>
    </row>
    <row r="792" customFormat="false" ht="15" hidden="false" customHeight="false" outlineLevel="0" collapsed="false">
      <c r="A792" s="8" t="s">
        <v>5343</v>
      </c>
      <c r="B792" s="8" t="s">
        <v>5344</v>
      </c>
      <c r="C792" s="8" t="s">
        <v>178</v>
      </c>
      <c r="D792" s="8" t="s">
        <v>5207</v>
      </c>
      <c r="E792" s="8"/>
      <c r="F792" s="8" t="s">
        <v>78</v>
      </c>
      <c r="G792" s="8" t="n">
        <v>2</v>
      </c>
      <c r="H792" s="13" t="n">
        <v>3</v>
      </c>
      <c r="I792" s="8" t="n">
        <v>6</v>
      </c>
      <c r="J792" s="20" t="s">
        <v>259</v>
      </c>
      <c r="K792" s="8"/>
      <c r="L792" s="20" t="s">
        <v>259</v>
      </c>
      <c r="M792" s="16" t="n">
        <f aca="false">H792*Scoring!$C$5</f>
        <v>3.9</v>
      </c>
      <c r="N792" s="16" t="n">
        <f aca="false">IF(I792&gt;=5,1,IF(I792=4,0.75,IF(I792=3,0.5,IF(I792=2,0.25,0))))*Scoring!$C$8</f>
        <v>1</v>
      </c>
      <c r="O792" s="16" t="n">
        <f aca="false">IF(J792="Yes",0,Scoring!$C$6)</f>
        <v>2</v>
      </c>
      <c r="P792" s="16" t="n">
        <f aca="false">IF(L792="Yes",0,Scoring!$C$7)</f>
        <v>0.5</v>
      </c>
      <c r="Q792" s="8" t="n">
        <f aca="false">ROUND(SUM(M792:P792),2)</f>
        <v>7.4</v>
      </c>
      <c r="R792" s="8" t="str">
        <f aca="false">IF(Q792&gt;=Scoring!$C$10-0.000001,"Keep","Remove")</f>
        <v>Keep</v>
      </c>
      <c r="S792" s="8" t="s">
        <v>166</v>
      </c>
    </row>
    <row r="793" customFormat="false" ht="15" hidden="false" customHeight="false" outlineLevel="0" collapsed="false">
      <c r="A793" s="8" t="s">
        <v>5352</v>
      </c>
      <c r="B793" s="8" t="s">
        <v>5353</v>
      </c>
      <c r="C793" s="8" t="s">
        <v>178</v>
      </c>
      <c r="D793" s="8" t="s">
        <v>5207</v>
      </c>
      <c r="E793" s="8"/>
      <c r="F793" s="8" t="s">
        <v>81</v>
      </c>
      <c r="G793" s="8" t="n">
        <v>2</v>
      </c>
      <c r="H793" s="13" t="n">
        <v>3</v>
      </c>
      <c r="I793" s="8" t="n">
        <v>4</v>
      </c>
      <c r="J793" s="20" t="s">
        <v>259</v>
      </c>
      <c r="K793" s="8"/>
      <c r="L793" s="20" t="s">
        <v>259</v>
      </c>
      <c r="M793" s="16" t="n">
        <f aca="false">H793*Scoring!$C$5</f>
        <v>3.9</v>
      </c>
      <c r="N793" s="16" t="n">
        <f aca="false">IF(I793&gt;=5,1,IF(I793=4,0.75,IF(I793=3,0.5,IF(I793=2,0.25,0))))*Scoring!$C$8</f>
        <v>0.75</v>
      </c>
      <c r="O793" s="16" t="n">
        <f aca="false">IF(J793="Yes",0,Scoring!$C$6)</f>
        <v>2</v>
      </c>
      <c r="P793" s="16" t="n">
        <f aca="false">IF(L793="Yes",0,Scoring!$C$7)</f>
        <v>0.5</v>
      </c>
      <c r="Q793" s="8" t="n">
        <f aca="false">ROUND(SUM(M793:P793),2)</f>
        <v>7.15</v>
      </c>
      <c r="R793" s="8" t="str">
        <f aca="false">IF(Q793&gt;=Scoring!$C$10-0.000001,"Keep","Remove")</f>
        <v>Keep</v>
      </c>
      <c r="S793" s="8" t="s">
        <v>166</v>
      </c>
    </row>
    <row r="794" customFormat="false" ht="15" hidden="false" customHeight="false" outlineLevel="0" collapsed="false">
      <c r="A794" s="8" t="s">
        <v>5361</v>
      </c>
      <c r="B794" s="8" t="s">
        <v>5362</v>
      </c>
      <c r="C794" s="8" t="s">
        <v>178</v>
      </c>
      <c r="D794" s="8" t="s">
        <v>5207</v>
      </c>
      <c r="E794" s="8"/>
      <c r="F794" s="8" t="s">
        <v>78</v>
      </c>
      <c r="G794" s="8" t="n">
        <v>2</v>
      </c>
      <c r="H794" s="13" t="n">
        <v>3</v>
      </c>
      <c r="I794" s="8" t="n">
        <v>5</v>
      </c>
      <c r="J794" s="20" t="s">
        <v>259</v>
      </c>
      <c r="K794" s="8"/>
      <c r="L794" s="20" t="s">
        <v>259</v>
      </c>
      <c r="M794" s="16" t="n">
        <f aca="false">H794*Scoring!$C$5</f>
        <v>3.9</v>
      </c>
      <c r="N794" s="16" t="n">
        <f aca="false">IF(I794&gt;=5,1,IF(I794=4,0.75,IF(I794=3,0.5,IF(I794=2,0.25,0))))*Scoring!$C$8</f>
        <v>1</v>
      </c>
      <c r="O794" s="16" t="n">
        <f aca="false">IF(J794="Yes",0,Scoring!$C$6)</f>
        <v>2</v>
      </c>
      <c r="P794" s="16" t="n">
        <f aca="false">IF(L794="Yes",0,Scoring!$C$7)</f>
        <v>0.5</v>
      </c>
      <c r="Q794" s="8" t="n">
        <f aca="false">ROUND(SUM(M794:P794),2)</f>
        <v>7.4</v>
      </c>
      <c r="R794" s="8" t="str">
        <f aca="false">IF(Q794&gt;=Scoring!$C$10-0.000001,"Keep","Remove")</f>
        <v>Keep</v>
      </c>
      <c r="S794" s="8" t="s">
        <v>166</v>
      </c>
    </row>
    <row r="795" customFormat="false" ht="15" hidden="false" customHeight="false" outlineLevel="0" collapsed="false">
      <c r="A795" s="8" t="s">
        <v>5373</v>
      </c>
      <c r="B795" s="8" t="s">
        <v>5374</v>
      </c>
      <c r="C795" s="8" t="s">
        <v>178</v>
      </c>
      <c r="D795" s="8" t="s">
        <v>5207</v>
      </c>
      <c r="E795" s="8"/>
      <c r="F795" s="8" t="s">
        <v>78</v>
      </c>
      <c r="G795" s="8" t="n">
        <v>2</v>
      </c>
      <c r="H795" s="13" t="n">
        <v>3</v>
      </c>
      <c r="I795" s="8" t="n">
        <v>4</v>
      </c>
      <c r="J795" s="20" t="s">
        <v>259</v>
      </c>
      <c r="K795" s="8"/>
      <c r="L795" s="20" t="s">
        <v>259</v>
      </c>
      <c r="M795" s="16" t="n">
        <f aca="false">H795*Scoring!$C$5</f>
        <v>3.9</v>
      </c>
      <c r="N795" s="16" t="n">
        <f aca="false">IF(I795&gt;=5,1,IF(I795=4,0.75,IF(I795=3,0.5,IF(I795=2,0.25,0))))*Scoring!$C$8</f>
        <v>0.75</v>
      </c>
      <c r="O795" s="16" t="n">
        <f aca="false">IF(J795="Yes",0,Scoring!$C$6)</f>
        <v>2</v>
      </c>
      <c r="P795" s="16" t="n">
        <f aca="false">IF(L795="Yes",0,Scoring!$C$7)</f>
        <v>0.5</v>
      </c>
      <c r="Q795" s="8" t="n">
        <f aca="false">ROUND(SUM(M795:P795),2)</f>
        <v>7.15</v>
      </c>
      <c r="R795" s="8" t="str">
        <f aca="false">IF(Q795&gt;=Scoring!$C$10-0.000001,"Keep","Remove")</f>
        <v>Keep</v>
      </c>
      <c r="S795" s="8" t="s">
        <v>166</v>
      </c>
    </row>
    <row r="796" customFormat="false" ht="15" hidden="false" customHeight="false" outlineLevel="0" collapsed="false">
      <c r="A796" s="8" t="s">
        <v>5383</v>
      </c>
      <c r="B796" s="8" t="s">
        <v>5384</v>
      </c>
      <c r="C796" s="8" t="s">
        <v>178</v>
      </c>
      <c r="D796" s="8" t="s">
        <v>5207</v>
      </c>
      <c r="E796" s="8"/>
      <c r="F796" s="8" t="s">
        <v>82</v>
      </c>
      <c r="G796" s="8" t="n">
        <v>2</v>
      </c>
      <c r="H796" s="13" t="n">
        <v>3</v>
      </c>
      <c r="I796" s="8" t="n">
        <v>4</v>
      </c>
      <c r="J796" s="20" t="s">
        <v>259</v>
      </c>
      <c r="K796" s="8"/>
      <c r="L796" s="20" t="s">
        <v>259</v>
      </c>
      <c r="M796" s="16" t="n">
        <f aca="false">H796*Scoring!$C$5</f>
        <v>3.9</v>
      </c>
      <c r="N796" s="16" t="n">
        <f aca="false">IF(I796&gt;=5,1,IF(I796=4,0.75,IF(I796=3,0.5,IF(I796=2,0.25,0))))*Scoring!$C$8</f>
        <v>0.75</v>
      </c>
      <c r="O796" s="16" t="n">
        <f aca="false">IF(J796="Yes",0,Scoring!$C$6)</f>
        <v>2</v>
      </c>
      <c r="P796" s="16" t="n">
        <f aca="false">IF(L796="Yes",0,Scoring!$C$7)</f>
        <v>0.5</v>
      </c>
      <c r="Q796" s="8" t="n">
        <f aca="false">ROUND(SUM(M796:P796),2)</f>
        <v>7.15</v>
      </c>
      <c r="R796" s="8" t="str">
        <f aca="false">IF(Q796&gt;=Scoring!$C$10-0.000001,"Keep","Remove")</f>
        <v>Keep</v>
      </c>
      <c r="S796" s="8" t="s">
        <v>166</v>
      </c>
    </row>
    <row r="797" customFormat="false" ht="15" hidden="false" customHeight="false" outlineLevel="0" collapsed="false">
      <c r="A797" s="8" t="s">
        <v>5391</v>
      </c>
      <c r="B797" s="8" t="s">
        <v>5392</v>
      </c>
      <c r="C797" s="8" t="s">
        <v>178</v>
      </c>
      <c r="D797" s="8" t="s">
        <v>5207</v>
      </c>
      <c r="E797" s="8"/>
      <c r="F797" s="8" t="s">
        <v>80</v>
      </c>
      <c r="G797" s="8" t="n">
        <v>2</v>
      </c>
      <c r="H797" s="13" t="n">
        <v>4</v>
      </c>
      <c r="I797" s="8" t="n">
        <v>5</v>
      </c>
      <c r="J797" s="20" t="s">
        <v>259</v>
      </c>
      <c r="K797" s="8"/>
      <c r="L797" s="20" t="s">
        <v>259</v>
      </c>
      <c r="M797" s="16" t="n">
        <f aca="false">H797*Scoring!$C$5</f>
        <v>5.2</v>
      </c>
      <c r="N797" s="16" t="n">
        <f aca="false">IF(I797&gt;=5,1,IF(I797=4,0.75,IF(I797=3,0.5,IF(I797=2,0.25,0))))*Scoring!$C$8</f>
        <v>1</v>
      </c>
      <c r="O797" s="16" t="n">
        <f aca="false">IF(J797="Yes",0,Scoring!$C$6)</f>
        <v>2</v>
      </c>
      <c r="P797" s="16" t="n">
        <f aca="false">IF(L797="Yes",0,Scoring!$C$7)</f>
        <v>0.5</v>
      </c>
      <c r="Q797" s="8" t="n">
        <f aca="false">ROUND(SUM(M797:P797),2)</f>
        <v>8.7</v>
      </c>
      <c r="R797" s="8" t="str">
        <f aca="false">IF(Q797&gt;=Scoring!$C$10-0.000001,"Keep","Remove")</f>
        <v>Keep</v>
      </c>
      <c r="S797" s="8" t="s">
        <v>166</v>
      </c>
    </row>
    <row r="798" customFormat="false" ht="15" hidden="false" customHeight="false" outlineLevel="0" collapsed="false">
      <c r="A798" s="8" t="s">
        <v>7378</v>
      </c>
      <c r="B798" s="8" t="s">
        <v>7379</v>
      </c>
      <c r="C798" s="8" t="s">
        <v>178</v>
      </c>
      <c r="D798" s="8" t="s">
        <v>7380</v>
      </c>
      <c r="E798" s="8"/>
      <c r="F798" s="8" t="s">
        <v>78</v>
      </c>
      <c r="G798" s="8" t="n">
        <v>2</v>
      </c>
      <c r="H798" s="13" t="n">
        <v>2</v>
      </c>
      <c r="I798" s="8" t="n">
        <v>5</v>
      </c>
      <c r="J798" s="20" t="s">
        <v>259</v>
      </c>
      <c r="K798" s="8"/>
      <c r="L798" s="20" t="s">
        <v>259</v>
      </c>
      <c r="M798" s="16" t="n">
        <f aca="false">H798*Scoring!$C$5</f>
        <v>2.6</v>
      </c>
      <c r="N798" s="16" t="n">
        <f aca="false">IF(I798&gt;=5,1,IF(I798=4,0.75,IF(I798=3,0.5,IF(I798=2,0.25,0))))*Scoring!$C$8</f>
        <v>1</v>
      </c>
      <c r="O798" s="16" t="n">
        <f aca="false">IF(J798="Yes",0,Scoring!$C$6)</f>
        <v>2</v>
      </c>
      <c r="P798" s="16" t="n">
        <f aca="false">IF(L798="Yes",0,Scoring!$C$7)</f>
        <v>0.5</v>
      </c>
      <c r="Q798" s="8" t="n">
        <f aca="false">ROUND(SUM(M798:P798),2)</f>
        <v>6.1</v>
      </c>
      <c r="R798" s="8" t="str">
        <f aca="false">IF(Q798&gt;=Scoring!$C$10-0.000001,"Keep","Remove")</f>
        <v>Remove</v>
      </c>
      <c r="S798" s="8" t="s">
        <v>7243</v>
      </c>
    </row>
    <row r="799" customFormat="false" ht="15" hidden="false" customHeight="false" outlineLevel="0" collapsed="false">
      <c r="A799" s="8" t="s">
        <v>7578</v>
      </c>
      <c r="B799" s="8" t="s">
        <v>7579</v>
      </c>
      <c r="C799" s="8" t="s">
        <v>178</v>
      </c>
      <c r="D799" s="8" t="s">
        <v>7580</v>
      </c>
      <c r="E799" s="8"/>
      <c r="F799" s="8" t="s">
        <v>82</v>
      </c>
      <c r="G799" s="8" t="n">
        <v>3</v>
      </c>
      <c r="H799" s="13" t="n">
        <v>2</v>
      </c>
      <c r="I799" s="8" t="n">
        <v>4</v>
      </c>
      <c r="J799" s="20" t="s">
        <v>259</v>
      </c>
      <c r="K799" s="8"/>
      <c r="L799" s="20" t="s">
        <v>259</v>
      </c>
      <c r="M799" s="16" t="n">
        <f aca="false">H799*Scoring!$C$5</f>
        <v>2.6</v>
      </c>
      <c r="N799" s="16" t="n">
        <f aca="false">IF(I799&gt;=5,1,IF(I799=4,0.75,IF(I799=3,0.5,IF(I799=2,0.25,0))))*Scoring!$C$8</f>
        <v>0.75</v>
      </c>
      <c r="O799" s="16" t="n">
        <f aca="false">IF(J799="Yes",0,Scoring!$C$6)</f>
        <v>2</v>
      </c>
      <c r="P799" s="16" t="n">
        <f aca="false">IF(L799="Yes",0,Scoring!$C$7)</f>
        <v>0.5</v>
      </c>
      <c r="Q799" s="8" t="n">
        <f aca="false">ROUND(SUM(M799:P799),2)</f>
        <v>5.85</v>
      </c>
      <c r="R799" s="8" t="str">
        <f aca="false">IF(Q799&gt;=Scoring!$C$10-0.000001,"Keep","Remove")</f>
        <v>Remove</v>
      </c>
      <c r="S799" s="8" t="s">
        <v>7243</v>
      </c>
    </row>
    <row r="800" customFormat="false" ht="15" hidden="false" customHeight="false" outlineLevel="0" collapsed="false">
      <c r="A800" s="8" t="s">
        <v>5403</v>
      </c>
      <c r="B800" s="8" t="s">
        <v>5404</v>
      </c>
      <c r="C800" s="8" t="s">
        <v>178</v>
      </c>
      <c r="D800" s="8" t="s">
        <v>5405</v>
      </c>
      <c r="E800" s="8"/>
      <c r="F800" s="8" t="s">
        <v>78</v>
      </c>
      <c r="G800" s="8" t="n">
        <v>1</v>
      </c>
      <c r="H800" s="13" t="n">
        <v>3</v>
      </c>
      <c r="I800" s="8" t="n">
        <v>5</v>
      </c>
      <c r="J800" s="20" t="s">
        <v>259</v>
      </c>
      <c r="K800" s="8"/>
      <c r="L800" s="20" t="s">
        <v>259</v>
      </c>
      <c r="M800" s="16" t="n">
        <f aca="false">H800*Scoring!$C$5</f>
        <v>3.9</v>
      </c>
      <c r="N800" s="16" t="n">
        <f aca="false">IF(I800&gt;=5,1,IF(I800=4,0.75,IF(I800=3,0.5,IF(I800=2,0.25,0))))*Scoring!$C$8</f>
        <v>1</v>
      </c>
      <c r="O800" s="16" t="n">
        <f aca="false">IF(J800="Yes",0,Scoring!$C$6)</f>
        <v>2</v>
      </c>
      <c r="P800" s="16" t="n">
        <f aca="false">IF(L800="Yes",0,Scoring!$C$7)</f>
        <v>0.5</v>
      </c>
      <c r="Q800" s="8" t="n">
        <f aca="false">ROUND(SUM(M800:P800),2)</f>
        <v>7.4</v>
      </c>
      <c r="R800" s="8" t="str">
        <f aca="false">IF(Q800&gt;=Scoring!$C$10-0.000001,"Keep","Remove")</f>
        <v>Keep</v>
      </c>
      <c r="S800" s="8" t="s">
        <v>166</v>
      </c>
    </row>
    <row r="801" customFormat="false" ht="15" hidden="false" customHeight="false" outlineLevel="0" collapsed="false">
      <c r="A801" s="8" t="s">
        <v>5415</v>
      </c>
      <c r="B801" s="8" t="s">
        <v>5416</v>
      </c>
      <c r="C801" s="8" t="s">
        <v>178</v>
      </c>
      <c r="D801" s="8" t="s">
        <v>5405</v>
      </c>
      <c r="E801" s="8"/>
      <c r="F801" s="8" t="s">
        <v>82</v>
      </c>
      <c r="G801" s="8" t="n">
        <v>2</v>
      </c>
      <c r="H801" s="13" t="n">
        <v>3</v>
      </c>
      <c r="I801" s="8" t="n">
        <v>4</v>
      </c>
      <c r="J801" s="20" t="s">
        <v>259</v>
      </c>
      <c r="K801" s="8"/>
      <c r="L801" s="20" t="s">
        <v>259</v>
      </c>
      <c r="M801" s="16" t="n">
        <f aca="false">H801*Scoring!$C$5</f>
        <v>3.9</v>
      </c>
      <c r="N801" s="16" t="n">
        <f aca="false">IF(I801&gt;=5,1,IF(I801=4,0.75,IF(I801=3,0.5,IF(I801=2,0.25,0))))*Scoring!$C$8</f>
        <v>0.75</v>
      </c>
      <c r="O801" s="16" t="n">
        <f aca="false">IF(J801="Yes",0,Scoring!$C$6)</f>
        <v>2</v>
      </c>
      <c r="P801" s="16" t="n">
        <f aca="false">IF(L801="Yes",0,Scoring!$C$7)</f>
        <v>0.5</v>
      </c>
      <c r="Q801" s="8" t="n">
        <f aca="false">ROUND(SUM(M801:P801),2)</f>
        <v>7.15</v>
      </c>
      <c r="R801" s="8" t="str">
        <f aca="false">IF(Q801&gt;=Scoring!$C$10-0.000001,"Keep","Remove")</f>
        <v>Keep</v>
      </c>
      <c r="S801" s="8" t="s">
        <v>166</v>
      </c>
    </row>
    <row r="802" customFormat="false" ht="15" hidden="false" customHeight="false" outlineLevel="0" collapsed="false">
      <c r="A802" s="8" t="s">
        <v>7381</v>
      </c>
      <c r="B802" s="8" t="s">
        <v>7382</v>
      </c>
      <c r="C802" s="8" t="s">
        <v>178</v>
      </c>
      <c r="D802" s="8" t="s">
        <v>5405</v>
      </c>
      <c r="E802" s="8"/>
      <c r="F802" s="8" t="s">
        <v>79</v>
      </c>
      <c r="G802" s="8" t="n">
        <v>3</v>
      </c>
      <c r="H802" s="13" t="n">
        <v>2</v>
      </c>
      <c r="I802" s="8" t="n">
        <v>5</v>
      </c>
      <c r="J802" s="20" t="s">
        <v>259</v>
      </c>
      <c r="K802" s="8"/>
      <c r="L802" s="20" t="s">
        <v>259</v>
      </c>
      <c r="M802" s="16" t="n">
        <f aca="false">H802*Scoring!$C$5</f>
        <v>2.6</v>
      </c>
      <c r="N802" s="16" t="n">
        <f aca="false">IF(I802&gt;=5,1,IF(I802=4,0.75,IF(I802=3,0.5,IF(I802=2,0.25,0))))*Scoring!$C$8</f>
        <v>1</v>
      </c>
      <c r="O802" s="16" t="n">
        <f aca="false">IF(J802="Yes",0,Scoring!$C$6)</f>
        <v>2</v>
      </c>
      <c r="P802" s="16" t="n">
        <f aca="false">IF(L802="Yes",0,Scoring!$C$7)</f>
        <v>0.5</v>
      </c>
      <c r="Q802" s="8" t="n">
        <f aca="false">ROUND(SUM(M802:P802),2)</f>
        <v>6.1</v>
      </c>
      <c r="R802" s="8" t="str">
        <f aca="false">IF(Q802&gt;=Scoring!$C$10-0.000001,"Keep","Remove")</f>
        <v>Remove</v>
      </c>
      <c r="S802" s="8" t="s">
        <v>7243</v>
      </c>
    </row>
    <row r="803" customFormat="false" ht="15" hidden="false" customHeight="false" outlineLevel="0" collapsed="false">
      <c r="A803" s="8" t="s">
        <v>5423</v>
      </c>
      <c r="B803" s="8" t="s">
        <v>5424</v>
      </c>
      <c r="C803" s="8" t="s">
        <v>178</v>
      </c>
      <c r="D803" s="8" t="s">
        <v>5425</v>
      </c>
      <c r="E803" s="8"/>
      <c r="F803" s="8" t="s">
        <v>78</v>
      </c>
      <c r="G803" s="8" t="n">
        <v>2</v>
      </c>
      <c r="H803" s="13" t="n">
        <v>3</v>
      </c>
      <c r="I803" s="8" t="n">
        <v>4</v>
      </c>
      <c r="J803" s="20" t="s">
        <v>259</v>
      </c>
      <c r="K803" s="8"/>
      <c r="L803" s="20" t="s">
        <v>259</v>
      </c>
      <c r="M803" s="16" t="n">
        <f aca="false">H803*Scoring!$C$5</f>
        <v>3.9</v>
      </c>
      <c r="N803" s="16" t="n">
        <f aca="false">IF(I803&gt;=5,1,IF(I803=4,0.75,IF(I803=3,0.5,IF(I803=2,0.25,0))))*Scoring!$C$8</f>
        <v>0.75</v>
      </c>
      <c r="O803" s="16" t="n">
        <f aca="false">IF(J803="Yes",0,Scoring!$C$6)</f>
        <v>2</v>
      </c>
      <c r="P803" s="16" t="n">
        <f aca="false">IF(L803="Yes",0,Scoring!$C$7)</f>
        <v>0.5</v>
      </c>
      <c r="Q803" s="8" t="n">
        <f aca="false">ROUND(SUM(M803:P803),2)</f>
        <v>7.15</v>
      </c>
      <c r="R803" s="8" t="str">
        <f aca="false">IF(Q803&gt;=Scoring!$C$10-0.000001,"Keep","Remove")</f>
        <v>Keep</v>
      </c>
      <c r="S803" s="8" t="s">
        <v>166</v>
      </c>
    </row>
    <row r="804" customFormat="false" ht="15" hidden="false" customHeight="false" outlineLevel="0" collapsed="false">
      <c r="A804" s="8" t="s">
        <v>5434</v>
      </c>
      <c r="B804" s="8" t="s">
        <v>5435</v>
      </c>
      <c r="C804" s="8" t="s">
        <v>178</v>
      </c>
      <c r="D804" s="8" t="s">
        <v>5425</v>
      </c>
      <c r="E804" s="8"/>
      <c r="F804" s="8" t="s">
        <v>78</v>
      </c>
      <c r="G804" s="8" t="n">
        <v>2</v>
      </c>
      <c r="H804" s="13" t="n">
        <v>3</v>
      </c>
      <c r="I804" s="8" t="n">
        <v>6</v>
      </c>
      <c r="J804" s="20" t="s">
        <v>259</v>
      </c>
      <c r="K804" s="8"/>
      <c r="L804" s="20" t="s">
        <v>259</v>
      </c>
      <c r="M804" s="16" t="n">
        <f aca="false">H804*Scoring!$C$5</f>
        <v>3.9</v>
      </c>
      <c r="N804" s="16" t="n">
        <f aca="false">IF(I804&gt;=5,1,IF(I804=4,0.75,IF(I804=3,0.5,IF(I804=2,0.25,0))))*Scoring!$C$8</f>
        <v>1</v>
      </c>
      <c r="O804" s="16" t="n">
        <f aca="false">IF(J804="Yes",0,Scoring!$C$6)</f>
        <v>2</v>
      </c>
      <c r="P804" s="16" t="n">
        <f aca="false">IF(L804="Yes",0,Scoring!$C$7)</f>
        <v>0.5</v>
      </c>
      <c r="Q804" s="8" t="n">
        <f aca="false">ROUND(SUM(M804:P804),2)</f>
        <v>7.4</v>
      </c>
      <c r="R804" s="8" t="str">
        <f aca="false">IF(Q804&gt;=Scoring!$C$10-0.000001,"Keep","Remove")</f>
        <v>Keep</v>
      </c>
      <c r="S804" s="8" t="s">
        <v>166</v>
      </c>
    </row>
    <row r="805" customFormat="false" ht="15" hidden="false" customHeight="false" outlineLevel="0" collapsed="false">
      <c r="A805" s="8" t="s">
        <v>7733</v>
      </c>
      <c r="B805" s="8" t="s">
        <v>7734</v>
      </c>
      <c r="C805" s="8" t="s">
        <v>178</v>
      </c>
      <c r="D805" s="8" t="s">
        <v>5985</v>
      </c>
      <c r="E805" s="8"/>
      <c r="F805" s="8" t="s">
        <v>78</v>
      </c>
      <c r="G805" s="8" t="n">
        <v>3</v>
      </c>
      <c r="H805" s="13" t="n">
        <v>2</v>
      </c>
      <c r="I805" s="8" t="n">
        <v>3</v>
      </c>
      <c r="J805" s="20" t="s">
        <v>259</v>
      </c>
      <c r="K805" s="8"/>
      <c r="L805" s="20" t="s">
        <v>259</v>
      </c>
      <c r="M805" s="16" t="n">
        <f aca="false">H805*Scoring!$C$5</f>
        <v>2.6</v>
      </c>
      <c r="N805" s="16" t="n">
        <f aca="false">IF(I805&gt;=5,1,IF(I805=4,0.75,IF(I805=3,0.5,IF(I805=2,0.25,0))))*Scoring!$C$8</f>
        <v>0.5</v>
      </c>
      <c r="O805" s="16" t="n">
        <f aca="false">IF(J805="Yes",0,Scoring!$C$6)</f>
        <v>2</v>
      </c>
      <c r="P805" s="16" t="n">
        <f aca="false">IF(L805="Yes",0,Scoring!$C$7)</f>
        <v>0.5</v>
      </c>
      <c r="Q805" s="8" t="n">
        <f aca="false">ROUND(SUM(M805:P805),2)</f>
        <v>5.6</v>
      </c>
      <c r="R805" s="8" t="str">
        <f aca="false">IF(Q805&gt;=Scoring!$C$10-0.000001,"Keep","Remove")</f>
        <v>Remove</v>
      </c>
      <c r="S805" s="8" t="s">
        <v>7243</v>
      </c>
    </row>
    <row r="806" customFormat="false" ht="15" hidden="false" customHeight="false" outlineLevel="0" collapsed="false">
      <c r="A806" s="8" t="s">
        <v>7581</v>
      </c>
      <c r="B806" s="8" t="s">
        <v>7582</v>
      </c>
      <c r="C806" s="8" t="s">
        <v>178</v>
      </c>
      <c r="D806" s="8" t="s">
        <v>7583</v>
      </c>
      <c r="E806" s="8"/>
      <c r="F806" s="8" t="s">
        <v>81</v>
      </c>
      <c r="G806" s="8" t="n">
        <v>3</v>
      </c>
      <c r="H806" s="13" t="n">
        <v>2</v>
      </c>
      <c r="I806" s="8" t="n">
        <v>4</v>
      </c>
      <c r="J806" s="20" t="s">
        <v>259</v>
      </c>
      <c r="K806" s="8"/>
      <c r="L806" s="20" t="s">
        <v>259</v>
      </c>
      <c r="M806" s="16" t="n">
        <f aca="false">H806*Scoring!$C$5</f>
        <v>2.6</v>
      </c>
      <c r="N806" s="16" t="n">
        <f aca="false">IF(I806&gt;=5,1,IF(I806=4,0.75,IF(I806=3,0.5,IF(I806=2,0.25,0))))*Scoring!$C$8</f>
        <v>0.75</v>
      </c>
      <c r="O806" s="16" t="n">
        <f aca="false">IF(J806="Yes",0,Scoring!$C$6)</f>
        <v>2</v>
      </c>
      <c r="P806" s="16" t="n">
        <f aca="false">IF(L806="Yes",0,Scoring!$C$7)</f>
        <v>0.5</v>
      </c>
      <c r="Q806" s="8" t="n">
        <f aca="false">ROUND(SUM(M806:P806),2)</f>
        <v>5.85</v>
      </c>
      <c r="R806" s="8" t="str">
        <f aca="false">IF(Q806&gt;=Scoring!$C$10-0.000001,"Keep","Remove")</f>
        <v>Remove</v>
      </c>
      <c r="S806" s="8" t="s">
        <v>7243</v>
      </c>
    </row>
    <row r="807" customFormat="false" ht="15" hidden="false" customHeight="false" outlineLevel="0" collapsed="false">
      <c r="A807" s="8" t="s">
        <v>5444</v>
      </c>
      <c r="B807" s="8" t="s">
        <v>5445</v>
      </c>
      <c r="C807" s="8" t="s">
        <v>178</v>
      </c>
      <c r="D807" s="8" t="s">
        <v>5446</v>
      </c>
      <c r="E807" s="8"/>
      <c r="F807" s="8" t="s">
        <v>78</v>
      </c>
      <c r="G807" s="8" t="n">
        <v>1</v>
      </c>
      <c r="H807" s="13" t="n">
        <v>3</v>
      </c>
      <c r="I807" s="8" t="n">
        <v>4</v>
      </c>
      <c r="J807" s="20" t="s">
        <v>259</v>
      </c>
      <c r="K807" s="8"/>
      <c r="L807" s="20" t="s">
        <v>259</v>
      </c>
      <c r="M807" s="16" t="n">
        <f aca="false">H807*Scoring!$C$5</f>
        <v>3.9</v>
      </c>
      <c r="N807" s="16" t="n">
        <f aca="false">IF(I807&gt;=5,1,IF(I807=4,0.75,IF(I807=3,0.5,IF(I807=2,0.25,0))))*Scoring!$C$8</f>
        <v>0.75</v>
      </c>
      <c r="O807" s="16" t="n">
        <f aca="false">IF(J807="Yes",0,Scoring!$C$6)</f>
        <v>2</v>
      </c>
      <c r="P807" s="16" t="n">
        <f aca="false">IF(L807="Yes",0,Scoring!$C$7)</f>
        <v>0.5</v>
      </c>
      <c r="Q807" s="8" t="n">
        <f aca="false">ROUND(SUM(M807:P807),2)</f>
        <v>7.15</v>
      </c>
      <c r="R807" s="8" t="str">
        <f aca="false">IF(Q807&gt;=Scoring!$C$10-0.000001,"Keep","Remove")</f>
        <v>Keep</v>
      </c>
      <c r="S807" s="8" t="s">
        <v>166</v>
      </c>
    </row>
    <row r="808" customFormat="false" ht="15" hidden="false" customHeight="false" outlineLevel="0" collapsed="false">
      <c r="A808" s="8" t="s">
        <v>5457</v>
      </c>
      <c r="B808" s="8" t="s">
        <v>5458</v>
      </c>
      <c r="C808" s="8" t="s">
        <v>178</v>
      </c>
      <c r="D808" s="8" t="s">
        <v>5446</v>
      </c>
      <c r="E808" s="8"/>
      <c r="F808" s="8" t="s">
        <v>78</v>
      </c>
      <c r="G808" s="8" t="n">
        <v>2</v>
      </c>
      <c r="H808" s="13" t="n">
        <v>3</v>
      </c>
      <c r="I808" s="8" t="n">
        <v>5</v>
      </c>
      <c r="J808" s="20" t="s">
        <v>259</v>
      </c>
      <c r="K808" s="8"/>
      <c r="L808" s="20" t="s">
        <v>259</v>
      </c>
      <c r="M808" s="16" t="n">
        <f aca="false">H808*Scoring!$C$5</f>
        <v>3.9</v>
      </c>
      <c r="N808" s="16" t="n">
        <f aca="false">IF(I808&gt;=5,1,IF(I808=4,0.75,IF(I808=3,0.5,IF(I808=2,0.25,0))))*Scoring!$C$8</f>
        <v>1</v>
      </c>
      <c r="O808" s="16" t="n">
        <f aca="false">IF(J808="Yes",0,Scoring!$C$6)</f>
        <v>2</v>
      </c>
      <c r="P808" s="16" t="n">
        <f aca="false">IF(L808="Yes",0,Scoring!$C$7)</f>
        <v>0.5</v>
      </c>
      <c r="Q808" s="8" t="n">
        <f aca="false">ROUND(SUM(M808:P808),2)</f>
        <v>7.4</v>
      </c>
      <c r="R808" s="8" t="str">
        <f aca="false">IF(Q808&gt;=Scoring!$C$10-0.000001,"Keep","Remove")</f>
        <v>Keep</v>
      </c>
      <c r="S808" s="8" t="s">
        <v>166</v>
      </c>
    </row>
    <row r="809" customFormat="false" ht="15" hidden="false" customHeight="false" outlineLevel="0" collapsed="false">
      <c r="A809" s="8" t="s">
        <v>7383</v>
      </c>
      <c r="B809" s="8" t="s">
        <v>7384</v>
      </c>
      <c r="C809" s="8" t="s">
        <v>178</v>
      </c>
      <c r="D809" s="8" t="s">
        <v>5446</v>
      </c>
      <c r="E809" s="8"/>
      <c r="F809" s="8" t="s">
        <v>78</v>
      </c>
      <c r="G809" s="8" t="n">
        <v>3</v>
      </c>
      <c r="H809" s="13" t="n">
        <v>2</v>
      </c>
      <c r="I809" s="8" t="n">
        <v>5</v>
      </c>
      <c r="J809" s="20" t="s">
        <v>259</v>
      </c>
      <c r="K809" s="8"/>
      <c r="L809" s="20" t="s">
        <v>259</v>
      </c>
      <c r="M809" s="16" t="n">
        <f aca="false">H809*Scoring!$C$5</f>
        <v>2.6</v>
      </c>
      <c r="N809" s="16" t="n">
        <f aca="false">IF(I809&gt;=5,1,IF(I809=4,0.75,IF(I809=3,0.5,IF(I809=2,0.25,0))))*Scoring!$C$8</f>
        <v>1</v>
      </c>
      <c r="O809" s="16" t="n">
        <f aca="false">IF(J809="Yes",0,Scoring!$C$6)</f>
        <v>2</v>
      </c>
      <c r="P809" s="16" t="n">
        <f aca="false">IF(L809="Yes",0,Scoring!$C$7)</f>
        <v>0.5</v>
      </c>
      <c r="Q809" s="8" t="n">
        <f aca="false">ROUND(SUM(M809:P809),2)</f>
        <v>6.1</v>
      </c>
      <c r="R809" s="8" t="str">
        <f aca="false">IF(Q809&gt;=Scoring!$C$10-0.000001,"Keep","Remove")</f>
        <v>Remove</v>
      </c>
      <c r="S809" s="8" t="s">
        <v>7243</v>
      </c>
    </row>
    <row r="810" customFormat="false" ht="15" hidden="false" customHeight="false" outlineLevel="0" collapsed="false">
      <c r="A810" s="8" t="s">
        <v>7385</v>
      </c>
      <c r="B810" s="8" t="s">
        <v>7386</v>
      </c>
      <c r="C810" s="8" t="s">
        <v>178</v>
      </c>
      <c r="D810" s="8" t="s">
        <v>5446</v>
      </c>
      <c r="E810" s="8"/>
      <c r="F810" s="8" t="s">
        <v>79</v>
      </c>
      <c r="G810" s="8" t="n">
        <v>3</v>
      </c>
      <c r="H810" s="13" t="n">
        <v>2</v>
      </c>
      <c r="I810" s="8" t="n">
        <v>6</v>
      </c>
      <c r="J810" s="20" t="s">
        <v>259</v>
      </c>
      <c r="K810" s="8"/>
      <c r="L810" s="20" t="s">
        <v>259</v>
      </c>
      <c r="M810" s="16" t="n">
        <f aca="false">H810*Scoring!$C$5</f>
        <v>2.6</v>
      </c>
      <c r="N810" s="16" t="n">
        <f aca="false">IF(I810&gt;=5,1,IF(I810=4,0.75,IF(I810=3,0.5,IF(I810=2,0.25,0))))*Scoring!$C$8</f>
        <v>1</v>
      </c>
      <c r="O810" s="16" t="n">
        <f aca="false">IF(J810="Yes",0,Scoring!$C$6)</f>
        <v>2</v>
      </c>
      <c r="P810" s="16" t="n">
        <f aca="false">IF(L810="Yes",0,Scoring!$C$7)</f>
        <v>0.5</v>
      </c>
      <c r="Q810" s="8" t="n">
        <f aca="false">ROUND(SUM(M810:P810),2)</f>
        <v>6.1</v>
      </c>
      <c r="R810" s="8" t="str">
        <f aca="false">IF(Q810&gt;=Scoring!$C$10-0.000001,"Keep","Remove")</f>
        <v>Remove</v>
      </c>
      <c r="S810" s="8" t="s">
        <v>7243</v>
      </c>
    </row>
    <row r="811" customFormat="false" ht="15" hidden="false" customHeight="false" outlineLevel="0" collapsed="false">
      <c r="A811" s="8" t="s">
        <v>7584</v>
      </c>
      <c r="B811" s="8" t="s">
        <v>7585</v>
      </c>
      <c r="C811" s="8" t="s">
        <v>178</v>
      </c>
      <c r="D811" s="8" t="s">
        <v>5446</v>
      </c>
      <c r="E811" s="8"/>
      <c r="F811" s="8" t="s">
        <v>81</v>
      </c>
      <c r="G811" s="8" t="n">
        <v>3</v>
      </c>
      <c r="H811" s="13" t="n">
        <v>2</v>
      </c>
      <c r="I811" s="8" t="n">
        <v>4</v>
      </c>
      <c r="J811" s="20" t="s">
        <v>259</v>
      </c>
      <c r="K811" s="8"/>
      <c r="L811" s="20" t="s">
        <v>259</v>
      </c>
      <c r="M811" s="16" t="n">
        <f aca="false">H811*Scoring!$C$5</f>
        <v>2.6</v>
      </c>
      <c r="N811" s="16" t="n">
        <f aca="false">IF(I811&gt;=5,1,IF(I811=4,0.75,IF(I811=3,0.5,IF(I811=2,0.25,0))))*Scoring!$C$8</f>
        <v>0.75</v>
      </c>
      <c r="O811" s="16" t="n">
        <f aca="false">IF(J811="Yes",0,Scoring!$C$6)</f>
        <v>2</v>
      </c>
      <c r="P811" s="16" t="n">
        <f aca="false">IF(L811="Yes",0,Scoring!$C$7)</f>
        <v>0.5</v>
      </c>
      <c r="Q811" s="8" t="n">
        <f aca="false">ROUND(SUM(M811:P811),2)</f>
        <v>5.85</v>
      </c>
      <c r="R811" s="8" t="str">
        <f aca="false">IF(Q811&gt;=Scoring!$C$10-0.000001,"Keep","Remove")</f>
        <v>Remove</v>
      </c>
      <c r="S811" s="8" t="s">
        <v>7243</v>
      </c>
    </row>
    <row r="812" customFormat="false" ht="15" hidden="false" customHeight="false" outlineLevel="0" collapsed="false">
      <c r="A812" s="8" t="s">
        <v>5466</v>
      </c>
      <c r="B812" s="8" t="s">
        <v>5467</v>
      </c>
      <c r="C812" s="8" t="s">
        <v>178</v>
      </c>
      <c r="D812" s="8" t="s">
        <v>5446</v>
      </c>
      <c r="E812" s="8"/>
      <c r="F812" s="8" t="s">
        <v>78</v>
      </c>
      <c r="G812" s="8" t="n">
        <v>2</v>
      </c>
      <c r="H812" s="13" t="n">
        <v>3</v>
      </c>
      <c r="I812" s="8" t="n">
        <v>3</v>
      </c>
      <c r="J812" s="20" t="s">
        <v>259</v>
      </c>
      <c r="K812" s="8"/>
      <c r="L812" s="20" t="s">
        <v>259</v>
      </c>
      <c r="M812" s="16" t="n">
        <f aca="false">H812*Scoring!$C$5</f>
        <v>3.9</v>
      </c>
      <c r="N812" s="16" t="n">
        <f aca="false">IF(I812&gt;=5,1,IF(I812=4,0.75,IF(I812=3,0.5,IF(I812=2,0.25,0))))*Scoring!$C$8</f>
        <v>0.5</v>
      </c>
      <c r="O812" s="16" t="n">
        <f aca="false">IF(J812="Yes",0,Scoring!$C$6)</f>
        <v>2</v>
      </c>
      <c r="P812" s="16" t="n">
        <f aca="false">IF(L812="Yes",0,Scoring!$C$7)</f>
        <v>0.5</v>
      </c>
      <c r="Q812" s="8" t="n">
        <f aca="false">ROUND(SUM(M812:P812),2)</f>
        <v>6.9</v>
      </c>
      <c r="R812" s="8" t="str">
        <f aca="false">IF(Q812&gt;=Scoring!$C$10-0.000001,"Keep","Remove")</f>
        <v>Keep</v>
      </c>
      <c r="S812" s="8" t="s">
        <v>166</v>
      </c>
    </row>
    <row r="813" customFormat="false" ht="15" hidden="false" customHeight="false" outlineLevel="0" collapsed="false">
      <c r="A813" s="8" t="s">
        <v>5476</v>
      </c>
      <c r="B813" s="8" t="s">
        <v>5477</v>
      </c>
      <c r="C813" s="8" t="s">
        <v>178</v>
      </c>
      <c r="D813" s="8" t="s">
        <v>5478</v>
      </c>
      <c r="E813" s="8"/>
      <c r="F813" s="8" t="s">
        <v>78</v>
      </c>
      <c r="G813" s="8" t="n">
        <v>1</v>
      </c>
      <c r="H813" s="13" t="n">
        <v>3</v>
      </c>
      <c r="I813" s="8" t="n">
        <v>6</v>
      </c>
      <c r="J813" s="20" t="s">
        <v>259</v>
      </c>
      <c r="K813" s="8"/>
      <c r="L813" s="20" t="s">
        <v>259</v>
      </c>
      <c r="M813" s="16" t="n">
        <f aca="false">H813*Scoring!$C$5</f>
        <v>3.9</v>
      </c>
      <c r="N813" s="16" t="n">
        <f aca="false">IF(I813&gt;=5,1,IF(I813=4,0.75,IF(I813=3,0.5,IF(I813=2,0.25,0))))*Scoring!$C$8</f>
        <v>1</v>
      </c>
      <c r="O813" s="16" t="n">
        <f aca="false">IF(J813="Yes",0,Scoring!$C$6)</f>
        <v>2</v>
      </c>
      <c r="P813" s="16" t="n">
        <f aca="false">IF(L813="Yes",0,Scoring!$C$7)</f>
        <v>0.5</v>
      </c>
      <c r="Q813" s="8" t="n">
        <f aca="false">ROUND(SUM(M813:P813),2)</f>
        <v>7.4</v>
      </c>
      <c r="R813" s="8" t="str">
        <f aca="false">IF(Q813&gt;=Scoring!$C$10-0.000001,"Keep","Remove")</f>
        <v>Keep</v>
      </c>
      <c r="S813" s="8" t="s">
        <v>166</v>
      </c>
    </row>
    <row r="814" customFormat="false" ht="15" hidden="false" customHeight="false" outlineLevel="0" collapsed="false">
      <c r="A814" s="8" t="s">
        <v>5486</v>
      </c>
      <c r="B814" s="8" t="s">
        <v>5487</v>
      </c>
      <c r="C814" s="8" t="s">
        <v>178</v>
      </c>
      <c r="D814" s="8" t="s">
        <v>5478</v>
      </c>
      <c r="E814" s="8"/>
      <c r="F814" s="8" t="s">
        <v>79</v>
      </c>
      <c r="G814" s="8" t="n">
        <v>1</v>
      </c>
      <c r="H814" s="13" t="n">
        <v>3</v>
      </c>
      <c r="I814" s="8" t="n">
        <v>5</v>
      </c>
      <c r="J814" s="20" t="s">
        <v>259</v>
      </c>
      <c r="K814" s="8"/>
      <c r="L814" s="20" t="s">
        <v>259</v>
      </c>
      <c r="M814" s="16" t="n">
        <f aca="false">H814*Scoring!$C$5</f>
        <v>3.9</v>
      </c>
      <c r="N814" s="16" t="n">
        <f aca="false">IF(I814&gt;=5,1,IF(I814=4,0.75,IF(I814=3,0.5,IF(I814=2,0.25,0))))*Scoring!$C$8</f>
        <v>1</v>
      </c>
      <c r="O814" s="16" t="n">
        <f aca="false">IF(J814="Yes",0,Scoring!$C$6)</f>
        <v>2</v>
      </c>
      <c r="P814" s="16" t="n">
        <f aca="false">IF(L814="Yes",0,Scoring!$C$7)</f>
        <v>0.5</v>
      </c>
      <c r="Q814" s="8" t="n">
        <f aca="false">ROUND(SUM(M814:P814),2)</f>
        <v>7.4</v>
      </c>
      <c r="R814" s="8" t="str">
        <f aca="false">IF(Q814&gt;=Scoring!$C$10-0.000001,"Keep","Remove")</f>
        <v>Keep</v>
      </c>
      <c r="S814" s="8" t="s">
        <v>166</v>
      </c>
    </row>
    <row r="815" customFormat="false" ht="15" hidden="false" customHeight="false" outlineLevel="0" collapsed="false">
      <c r="A815" s="8" t="s">
        <v>5496</v>
      </c>
      <c r="B815" s="8" t="s">
        <v>5497</v>
      </c>
      <c r="C815" s="8" t="s">
        <v>178</v>
      </c>
      <c r="D815" s="8" t="s">
        <v>5478</v>
      </c>
      <c r="E815" s="8"/>
      <c r="F815" s="8" t="s">
        <v>78</v>
      </c>
      <c r="G815" s="8" t="n">
        <v>2</v>
      </c>
      <c r="H815" s="13" t="n">
        <v>3</v>
      </c>
      <c r="I815" s="8" t="n">
        <v>5</v>
      </c>
      <c r="J815" s="20" t="s">
        <v>259</v>
      </c>
      <c r="K815" s="8"/>
      <c r="L815" s="20" t="s">
        <v>259</v>
      </c>
      <c r="M815" s="16" t="n">
        <f aca="false">H815*Scoring!$C$5</f>
        <v>3.9</v>
      </c>
      <c r="N815" s="16" t="n">
        <f aca="false">IF(I815&gt;=5,1,IF(I815=4,0.75,IF(I815=3,0.5,IF(I815=2,0.25,0))))*Scoring!$C$8</f>
        <v>1</v>
      </c>
      <c r="O815" s="16" t="n">
        <f aca="false">IF(J815="Yes",0,Scoring!$C$6)</f>
        <v>2</v>
      </c>
      <c r="P815" s="16" t="n">
        <f aca="false">IF(L815="Yes",0,Scoring!$C$7)</f>
        <v>0.5</v>
      </c>
      <c r="Q815" s="8" t="n">
        <f aca="false">ROUND(SUM(M815:P815),2)</f>
        <v>7.4</v>
      </c>
      <c r="R815" s="8" t="str">
        <f aca="false">IF(Q815&gt;=Scoring!$C$10-0.000001,"Keep","Remove")</f>
        <v>Keep</v>
      </c>
      <c r="S815" s="8" t="s">
        <v>166</v>
      </c>
    </row>
    <row r="816" customFormat="false" ht="15" hidden="false" customHeight="false" outlineLevel="0" collapsed="false">
      <c r="A816" s="8" t="s">
        <v>5505</v>
      </c>
      <c r="B816" s="8" t="s">
        <v>5506</v>
      </c>
      <c r="C816" s="8" t="s">
        <v>178</v>
      </c>
      <c r="D816" s="8" t="s">
        <v>5478</v>
      </c>
      <c r="E816" s="8"/>
      <c r="F816" s="8" t="s">
        <v>78</v>
      </c>
      <c r="G816" s="8" t="n">
        <v>2</v>
      </c>
      <c r="H816" s="13" t="n">
        <v>3</v>
      </c>
      <c r="I816" s="8" t="n">
        <v>5</v>
      </c>
      <c r="J816" s="20" t="s">
        <v>259</v>
      </c>
      <c r="K816" s="8"/>
      <c r="L816" s="20" t="s">
        <v>259</v>
      </c>
      <c r="M816" s="16" t="n">
        <f aca="false">H816*Scoring!$C$5</f>
        <v>3.9</v>
      </c>
      <c r="N816" s="16" t="n">
        <f aca="false">IF(I816&gt;=5,1,IF(I816=4,0.75,IF(I816=3,0.5,IF(I816=2,0.25,0))))*Scoring!$C$8</f>
        <v>1</v>
      </c>
      <c r="O816" s="16" t="n">
        <f aca="false">IF(J816="Yes",0,Scoring!$C$6)</f>
        <v>2</v>
      </c>
      <c r="P816" s="16" t="n">
        <f aca="false">IF(L816="Yes",0,Scoring!$C$7)</f>
        <v>0.5</v>
      </c>
      <c r="Q816" s="8" t="n">
        <f aca="false">ROUND(SUM(M816:P816),2)</f>
        <v>7.4</v>
      </c>
      <c r="R816" s="8" t="str">
        <f aca="false">IF(Q816&gt;=Scoring!$C$10-0.000001,"Keep","Remove")</f>
        <v>Keep</v>
      </c>
      <c r="S816" s="8" t="s">
        <v>166</v>
      </c>
    </row>
    <row r="817" customFormat="false" ht="15" hidden="false" customHeight="false" outlineLevel="0" collapsed="false">
      <c r="A817" s="8" t="s">
        <v>5514</v>
      </c>
      <c r="B817" s="8" t="s">
        <v>5515</v>
      </c>
      <c r="C817" s="8" t="s">
        <v>178</v>
      </c>
      <c r="D817" s="8" t="s">
        <v>5478</v>
      </c>
      <c r="E817" s="8"/>
      <c r="F817" s="8" t="s">
        <v>84</v>
      </c>
      <c r="G817" s="8" t="n">
        <v>1</v>
      </c>
      <c r="H817" s="13" t="n">
        <v>3</v>
      </c>
      <c r="I817" s="8" t="n">
        <v>4</v>
      </c>
      <c r="J817" s="20" t="s">
        <v>259</v>
      </c>
      <c r="K817" s="8"/>
      <c r="L817" s="20" t="s">
        <v>259</v>
      </c>
      <c r="M817" s="16" t="n">
        <f aca="false">H817*Scoring!$C$5</f>
        <v>3.9</v>
      </c>
      <c r="N817" s="16" t="n">
        <f aca="false">IF(I817&gt;=5,1,IF(I817=4,0.75,IF(I817=3,0.5,IF(I817=2,0.25,0))))*Scoring!$C$8</f>
        <v>0.75</v>
      </c>
      <c r="O817" s="16" t="n">
        <f aca="false">IF(J817="Yes",0,Scoring!$C$6)</f>
        <v>2</v>
      </c>
      <c r="P817" s="16" t="n">
        <f aca="false">IF(L817="Yes",0,Scoring!$C$7)</f>
        <v>0.5</v>
      </c>
      <c r="Q817" s="8" t="n">
        <f aca="false">ROUND(SUM(M817:P817),2)</f>
        <v>7.15</v>
      </c>
      <c r="R817" s="8" t="str">
        <f aca="false">IF(Q817&gt;=Scoring!$C$10-0.000001,"Keep","Remove")</f>
        <v>Keep</v>
      </c>
      <c r="S817" s="8" t="s">
        <v>166</v>
      </c>
    </row>
    <row r="818" customFormat="false" ht="15" hidden="false" customHeight="false" outlineLevel="0" collapsed="false">
      <c r="A818" s="8" t="s">
        <v>5522</v>
      </c>
      <c r="B818" s="8" t="s">
        <v>5523</v>
      </c>
      <c r="C818" s="8" t="s">
        <v>178</v>
      </c>
      <c r="D818" s="8" t="s">
        <v>5478</v>
      </c>
      <c r="E818" s="8"/>
      <c r="F818" s="8" t="s">
        <v>79</v>
      </c>
      <c r="G818" s="8" t="n">
        <v>2</v>
      </c>
      <c r="H818" s="13" t="n">
        <v>3</v>
      </c>
      <c r="I818" s="8" t="n">
        <v>5</v>
      </c>
      <c r="J818" s="20" t="s">
        <v>259</v>
      </c>
      <c r="K818" s="8"/>
      <c r="L818" s="20" t="s">
        <v>259</v>
      </c>
      <c r="M818" s="16" t="n">
        <f aca="false">H818*Scoring!$C$5</f>
        <v>3.9</v>
      </c>
      <c r="N818" s="16" t="n">
        <f aca="false">IF(I818&gt;=5,1,IF(I818=4,0.75,IF(I818=3,0.5,IF(I818=2,0.25,0))))*Scoring!$C$8</f>
        <v>1</v>
      </c>
      <c r="O818" s="16" t="n">
        <f aca="false">IF(J818="Yes",0,Scoring!$C$6)</f>
        <v>2</v>
      </c>
      <c r="P818" s="16" t="n">
        <f aca="false">IF(L818="Yes",0,Scoring!$C$7)</f>
        <v>0.5</v>
      </c>
      <c r="Q818" s="8" t="n">
        <f aca="false">ROUND(SUM(M818:P818),2)</f>
        <v>7.4</v>
      </c>
      <c r="R818" s="8" t="str">
        <f aca="false">IF(Q818&gt;=Scoring!$C$10-0.000001,"Keep","Remove")</f>
        <v>Keep</v>
      </c>
      <c r="S818" s="8" t="s">
        <v>166</v>
      </c>
    </row>
    <row r="819" customFormat="false" ht="15" hidden="false" customHeight="false" outlineLevel="0" collapsed="false">
      <c r="A819" s="8" t="s">
        <v>5532</v>
      </c>
      <c r="B819" s="8" t="s">
        <v>5533</v>
      </c>
      <c r="C819" s="8" t="s">
        <v>178</v>
      </c>
      <c r="D819" s="8" t="s">
        <v>5478</v>
      </c>
      <c r="E819" s="8"/>
      <c r="F819" s="8" t="s">
        <v>82</v>
      </c>
      <c r="G819" s="8" t="n">
        <v>2</v>
      </c>
      <c r="H819" s="13" t="n">
        <v>4</v>
      </c>
      <c r="I819" s="8" t="n">
        <v>5</v>
      </c>
      <c r="J819" s="20" t="s">
        <v>259</v>
      </c>
      <c r="K819" s="8"/>
      <c r="L819" s="20" t="s">
        <v>259</v>
      </c>
      <c r="M819" s="16" t="n">
        <f aca="false">H819*Scoring!$C$5</f>
        <v>5.2</v>
      </c>
      <c r="N819" s="16" t="n">
        <f aca="false">IF(I819&gt;=5,1,IF(I819=4,0.75,IF(I819=3,0.5,IF(I819=2,0.25,0))))*Scoring!$C$8</f>
        <v>1</v>
      </c>
      <c r="O819" s="16" t="n">
        <f aca="false">IF(J819="Yes",0,Scoring!$C$6)</f>
        <v>2</v>
      </c>
      <c r="P819" s="16" t="n">
        <f aca="false">IF(L819="Yes",0,Scoring!$C$7)</f>
        <v>0.5</v>
      </c>
      <c r="Q819" s="8" t="n">
        <f aca="false">ROUND(SUM(M819:P819),2)</f>
        <v>8.7</v>
      </c>
      <c r="R819" s="8" t="str">
        <f aca="false">IF(Q819&gt;=Scoring!$C$10-0.000001,"Keep","Remove")</f>
        <v>Keep</v>
      </c>
      <c r="S819" s="8" t="s">
        <v>166</v>
      </c>
    </row>
    <row r="820" customFormat="false" ht="15" hidden="false" customHeight="false" outlineLevel="0" collapsed="false">
      <c r="A820" s="8" t="s">
        <v>7387</v>
      </c>
      <c r="B820" s="8" t="s">
        <v>7388</v>
      </c>
      <c r="C820" s="8" t="s">
        <v>178</v>
      </c>
      <c r="D820" s="8" t="s">
        <v>5478</v>
      </c>
      <c r="E820" s="8"/>
      <c r="F820" s="8" t="s">
        <v>81</v>
      </c>
      <c r="G820" s="8" t="n">
        <v>3</v>
      </c>
      <c r="H820" s="13" t="n">
        <v>2</v>
      </c>
      <c r="I820" s="8" t="n">
        <v>5</v>
      </c>
      <c r="J820" s="20" t="s">
        <v>259</v>
      </c>
      <c r="K820" s="8"/>
      <c r="L820" s="20" t="s">
        <v>259</v>
      </c>
      <c r="M820" s="16" t="n">
        <f aca="false">H820*Scoring!$C$5</f>
        <v>2.6</v>
      </c>
      <c r="N820" s="16" t="n">
        <f aca="false">IF(I820&gt;=5,1,IF(I820=4,0.75,IF(I820=3,0.5,IF(I820=2,0.25,0))))*Scoring!$C$8</f>
        <v>1</v>
      </c>
      <c r="O820" s="16" t="n">
        <f aca="false">IF(J820="Yes",0,Scoring!$C$6)</f>
        <v>2</v>
      </c>
      <c r="P820" s="16" t="n">
        <f aca="false">IF(L820="Yes",0,Scoring!$C$7)</f>
        <v>0.5</v>
      </c>
      <c r="Q820" s="8" t="n">
        <f aca="false">ROUND(SUM(M820:P820),2)</f>
        <v>6.1</v>
      </c>
      <c r="R820" s="8" t="str">
        <f aca="false">IF(Q820&gt;=Scoring!$C$10-0.000001,"Keep","Remove")</f>
        <v>Remove</v>
      </c>
      <c r="S820" s="8" t="s">
        <v>7243</v>
      </c>
    </row>
    <row r="821" customFormat="false" ht="15" hidden="false" customHeight="false" outlineLevel="0" collapsed="false">
      <c r="A821" s="8" t="s">
        <v>5542</v>
      </c>
      <c r="B821" s="8" t="s">
        <v>5543</v>
      </c>
      <c r="C821" s="8" t="s">
        <v>178</v>
      </c>
      <c r="D821" s="8" t="s">
        <v>5544</v>
      </c>
      <c r="E821" s="8"/>
      <c r="F821" s="8" t="s">
        <v>78</v>
      </c>
      <c r="G821" s="8" t="n">
        <v>1</v>
      </c>
      <c r="H821" s="13" t="n">
        <v>3</v>
      </c>
      <c r="I821" s="8" t="n">
        <v>4</v>
      </c>
      <c r="J821" s="20" t="s">
        <v>259</v>
      </c>
      <c r="K821" s="8"/>
      <c r="L821" s="20" t="s">
        <v>259</v>
      </c>
      <c r="M821" s="16" t="n">
        <f aca="false">H821*Scoring!$C$5</f>
        <v>3.9</v>
      </c>
      <c r="N821" s="16" t="n">
        <f aca="false">IF(I821&gt;=5,1,IF(I821=4,0.75,IF(I821=3,0.5,IF(I821=2,0.25,0))))*Scoring!$C$8</f>
        <v>0.75</v>
      </c>
      <c r="O821" s="16" t="n">
        <f aca="false">IF(J821="Yes",0,Scoring!$C$6)</f>
        <v>2</v>
      </c>
      <c r="P821" s="16" t="n">
        <f aca="false">IF(L821="Yes",0,Scoring!$C$7)</f>
        <v>0.5</v>
      </c>
      <c r="Q821" s="8" t="n">
        <f aca="false">ROUND(SUM(M821:P821),2)</f>
        <v>7.15</v>
      </c>
      <c r="R821" s="8" t="str">
        <f aca="false">IF(Q821&gt;=Scoring!$C$10-0.000001,"Keep","Remove")</f>
        <v>Keep</v>
      </c>
      <c r="S821" s="8" t="s">
        <v>166</v>
      </c>
    </row>
    <row r="822" customFormat="false" ht="15" hidden="false" customHeight="false" outlineLevel="0" collapsed="false">
      <c r="A822" s="8" t="s">
        <v>5555</v>
      </c>
      <c r="B822" s="8" t="s">
        <v>5556</v>
      </c>
      <c r="C822" s="8" t="s">
        <v>178</v>
      </c>
      <c r="D822" s="8" t="s">
        <v>5544</v>
      </c>
      <c r="E822" s="8"/>
      <c r="F822" s="8" t="s">
        <v>79</v>
      </c>
      <c r="G822" s="8" t="n">
        <v>1</v>
      </c>
      <c r="H822" s="13" t="n">
        <v>4</v>
      </c>
      <c r="I822" s="8" t="n">
        <v>4</v>
      </c>
      <c r="J822" s="20" t="s">
        <v>259</v>
      </c>
      <c r="K822" s="8"/>
      <c r="L822" s="20" t="s">
        <v>259</v>
      </c>
      <c r="M822" s="16" t="n">
        <f aca="false">H822*Scoring!$C$5</f>
        <v>5.2</v>
      </c>
      <c r="N822" s="16" t="n">
        <f aca="false">IF(I822&gt;=5,1,IF(I822=4,0.75,IF(I822=3,0.5,IF(I822=2,0.25,0))))*Scoring!$C$8</f>
        <v>0.75</v>
      </c>
      <c r="O822" s="16" t="n">
        <f aca="false">IF(J822="Yes",0,Scoring!$C$6)</f>
        <v>2</v>
      </c>
      <c r="P822" s="16" t="n">
        <f aca="false">IF(L822="Yes",0,Scoring!$C$7)</f>
        <v>0.5</v>
      </c>
      <c r="Q822" s="8" t="n">
        <f aca="false">ROUND(SUM(M822:P822),2)</f>
        <v>8.45</v>
      </c>
      <c r="R822" s="8" t="str">
        <f aca="false">IF(Q822&gt;=Scoring!$C$10-0.000001,"Keep","Remove")</f>
        <v>Keep</v>
      </c>
      <c r="S822" s="8" t="s">
        <v>166</v>
      </c>
    </row>
    <row r="823" customFormat="false" ht="15" hidden="false" customHeight="false" outlineLevel="0" collapsed="false">
      <c r="A823" s="8" t="s">
        <v>5563</v>
      </c>
      <c r="B823" s="8" t="s">
        <v>5564</v>
      </c>
      <c r="C823" s="8" t="s">
        <v>178</v>
      </c>
      <c r="D823" s="8" t="s">
        <v>5544</v>
      </c>
      <c r="E823" s="8"/>
      <c r="F823" s="8" t="s">
        <v>88</v>
      </c>
      <c r="G823" s="8" t="n">
        <v>2</v>
      </c>
      <c r="H823" s="13" t="n">
        <v>3</v>
      </c>
      <c r="I823" s="8" t="n">
        <v>4</v>
      </c>
      <c r="J823" s="20" t="s">
        <v>259</v>
      </c>
      <c r="K823" s="8"/>
      <c r="L823" s="20" t="s">
        <v>259</v>
      </c>
      <c r="M823" s="16" t="n">
        <f aca="false">H823*Scoring!$C$5</f>
        <v>3.9</v>
      </c>
      <c r="N823" s="16" t="n">
        <f aca="false">IF(I823&gt;=5,1,IF(I823=4,0.75,IF(I823=3,0.5,IF(I823=2,0.25,0))))*Scoring!$C$8</f>
        <v>0.75</v>
      </c>
      <c r="O823" s="16" t="n">
        <f aca="false">IF(J823="Yes",0,Scoring!$C$6)</f>
        <v>2</v>
      </c>
      <c r="P823" s="16" t="n">
        <f aca="false">IF(L823="Yes",0,Scoring!$C$7)</f>
        <v>0.5</v>
      </c>
      <c r="Q823" s="8" t="n">
        <f aca="false">ROUND(SUM(M823:P823),2)</f>
        <v>7.15</v>
      </c>
      <c r="R823" s="8" t="str">
        <f aca="false">IF(Q823&gt;=Scoring!$C$10-0.000001,"Keep","Remove")</f>
        <v>Keep</v>
      </c>
      <c r="S823" s="8" t="s">
        <v>166</v>
      </c>
    </row>
    <row r="824" customFormat="false" ht="15" hidden="false" customHeight="false" outlineLevel="0" collapsed="false">
      <c r="A824" s="8" t="s">
        <v>5569</v>
      </c>
      <c r="B824" s="8" t="s">
        <v>5570</v>
      </c>
      <c r="C824" s="8" t="s">
        <v>178</v>
      </c>
      <c r="D824" s="8" t="s">
        <v>5544</v>
      </c>
      <c r="E824" s="8"/>
      <c r="F824" s="8" t="s">
        <v>78</v>
      </c>
      <c r="G824" s="8" t="n">
        <v>2</v>
      </c>
      <c r="H824" s="13" t="n">
        <v>3</v>
      </c>
      <c r="I824" s="8" t="n">
        <v>4</v>
      </c>
      <c r="J824" s="20" t="s">
        <v>259</v>
      </c>
      <c r="K824" s="8"/>
      <c r="L824" s="20" t="s">
        <v>259</v>
      </c>
      <c r="M824" s="16" t="n">
        <f aca="false">H824*Scoring!$C$5</f>
        <v>3.9</v>
      </c>
      <c r="N824" s="16" t="n">
        <f aca="false">IF(I824&gt;=5,1,IF(I824=4,0.75,IF(I824=3,0.5,IF(I824=2,0.25,0))))*Scoring!$C$8</f>
        <v>0.75</v>
      </c>
      <c r="O824" s="16" t="n">
        <f aca="false">IF(J824="Yes",0,Scoring!$C$6)</f>
        <v>2</v>
      </c>
      <c r="P824" s="16" t="n">
        <f aca="false">IF(L824="Yes",0,Scoring!$C$7)</f>
        <v>0.5</v>
      </c>
      <c r="Q824" s="8" t="n">
        <f aca="false">ROUND(SUM(M824:P824),2)</f>
        <v>7.15</v>
      </c>
      <c r="R824" s="8" t="str">
        <f aca="false">IF(Q824&gt;=Scoring!$C$10-0.000001,"Keep","Remove")</f>
        <v>Keep</v>
      </c>
      <c r="S824" s="8" t="s">
        <v>166</v>
      </c>
    </row>
    <row r="825" customFormat="false" ht="15" hidden="false" customHeight="false" outlineLevel="0" collapsed="false">
      <c r="A825" s="8" t="s">
        <v>5575</v>
      </c>
      <c r="B825" s="8" t="s">
        <v>5576</v>
      </c>
      <c r="C825" s="8" t="s">
        <v>178</v>
      </c>
      <c r="D825" s="8" t="s">
        <v>5544</v>
      </c>
      <c r="E825" s="8"/>
      <c r="F825" s="8" t="s">
        <v>80</v>
      </c>
      <c r="G825" s="8" t="n">
        <v>2</v>
      </c>
      <c r="H825" s="13" t="n">
        <v>3</v>
      </c>
      <c r="I825" s="8" t="n">
        <v>5</v>
      </c>
      <c r="J825" s="20" t="s">
        <v>259</v>
      </c>
      <c r="K825" s="8"/>
      <c r="L825" s="20" t="s">
        <v>259</v>
      </c>
      <c r="M825" s="16" t="n">
        <f aca="false">H825*Scoring!$C$5</f>
        <v>3.9</v>
      </c>
      <c r="N825" s="16" t="n">
        <f aca="false">IF(I825&gt;=5,1,IF(I825=4,0.75,IF(I825=3,0.5,IF(I825=2,0.25,0))))*Scoring!$C$8</f>
        <v>1</v>
      </c>
      <c r="O825" s="16" t="n">
        <f aca="false">IF(J825="Yes",0,Scoring!$C$6)</f>
        <v>2</v>
      </c>
      <c r="P825" s="16" t="n">
        <f aca="false">IF(L825="Yes",0,Scoring!$C$7)</f>
        <v>0.5</v>
      </c>
      <c r="Q825" s="8" t="n">
        <f aca="false">ROUND(SUM(M825:P825),2)</f>
        <v>7.4</v>
      </c>
      <c r="R825" s="8" t="str">
        <f aca="false">IF(Q825&gt;=Scoring!$C$10-0.000001,"Keep","Remove")</f>
        <v>Keep</v>
      </c>
      <c r="S825" s="8" t="s">
        <v>166</v>
      </c>
    </row>
    <row r="826" customFormat="false" ht="15" hidden="false" customHeight="false" outlineLevel="0" collapsed="false">
      <c r="A826" s="8" t="s">
        <v>7586</v>
      </c>
      <c r="B826" s="8" t="s">
        <v>7587</v>
      </c>
      <c r="C826" s="8" t="s">
        <v>178</v>
      </c>
      <c r="D826" s="8" t="s">
        <v>5544</v>
      </c>
      <c r="E826" s="8"/>
      <c r="F826" s="8" t="s">
        <v>81</v>
      </c>
      <c r="G826" s="8" t="n">
        <v>3</v>
      </c>
      <c r="H826" s="13" t="n">
        <v>2</v>
      </c>
      <c r="I826" s="8" t="n">
        <v>4</v>
      </c>
      <c r="J826" s="20" t="s">
        <v>259</v>
      </c>
      <c r="K826" s="8"/>
      <c r="L826" s="20" t="s">
        <v>259</v>
      </c>
      <c r="M826" s="16" t="n">
        <f aca="false">H826*Scoring!$C$5</f>
        <v>2.6</v>
      </c>
      <c r="N826" s="16" t="n">
        <f aca="false">IF(I826&gt;=5,1,IF(I826=4,0.75,IF(I826=3,0.5,IF(I826=2,0.25,0))))*Scoring!$C$8</f>
        <v>0.75</v>
      </c>
      <c r="O826" s="16" t="n">
        <f aca="false">IF(J826="Yes",0,Scoring!$C$6)</f>
        <v>2</v>
      </c>
      <c r="P826" s="16" t="n">
        <f aca="false">IF(L826="Yes",0,Scoring!$C$7)</f>
        <v>0.5</v>
      </c>
      <c r="Q826" s="8" t="n">
        <f aca="false">ROUND(SUM(M826:P826),2)</f>
        <v>5.85</v>
      </c>
      <c r="R826" s="8" t="str">
        <f aca="false">IF(Q826&gt;=Scoring!$C$10-0.000001,"Keep","Remove")</f>
        <v>Remove</v>
      </c>
      <c r="S826" s="8" t="s">
        <v>7243</v>
      </c>
    </row>
    <row r="827" customFormat="false" ht="15" hidden="false" customHeight="false" outlineLevel="0" collapsed="false">
      <c r="A827" s="8" t="s">
        <v>5586</v>
      </c>
      <c r="B827" s="8" t="s">
        <v>5587</v>
      </c>
      <c r="C827" s="8" t="s">
        <v>178</v>
      </c>
      <c r="D827" s="8" t="s">
        <v>5588</v>
      </c>
      <c r="E827" s="8"/>
      <c r="F827" s="8" t="s">
        <v>87</v>
      </c>
      <c r="G827" s="8" t="n">
        <v>1</v>
      </c>
      <c r="H827" s="13" t="n">
        <v>3</v>
      </c>
      <c r="I827" s="8" t="n">
        <v>3</v>
      </c>
      <c r="J827" s="20" t="s">
        <v>259</v>
      </c>
      <c r="K827" s="8"/>
      <c r="L827" s="20" t="s">
        <v>259</v>
      </c>
      <c r="M827" s="16" t="n">
        <f aca="false">H827*Scoring!$C$5</f>
        <v>3.9</v>
      </c>
      <c r="N827" s="16" t="n">
        <f aca="false">IF(I827&gt;=5,1,IF(I827=4,0.75,IF(I827=3,0.5,IF(I827=2,0.25,0))))*Scoring!$C$8</f>
        <v>0.5</v>
      </c>
      <c r="O827" s="16" t="n">
        <f aca="false">IF(J827="Yes",0,Scoring!$C$6)</f>
        <v>2</v>
      </c>
      <c r="P827" s="16" t="n">
        <f aca="false">IF(L827="Yes",0,Scoring!$C$7)</f>
        <v>0.5</v>
      </c>
      <c r="Q827" s="8" t="n">
        <f aca="false">ROUND(SUM(M827:P827),2)</f>
        <v>6.9</v>
      </c>
      <c r="R827" s="8" t="str">
        <f aca="false">IF(Q827&gt;=Scoring!$C$10-0.000001,"Keep","Remove")</f>
        <v>Keep</v>
      </c>
      <c r="S827" s="8" t="s">
        <v>166</v>
      </c>
    </row>
    <row r="828" customFormat="false" ht="15" hidden="false" customHeight="false" outlineLevel="0" collapsed="false">
      <c r="A828" s="8" t="s">
        <v>7588</v>
      </c>
      <c r="B828" s="8" t="s">
        <v>7589</v>
      </c>
      <c r="C828" s="8" t="s">
        <v>178</v>
      </c>
      <c r="D828" s="8" t="s">
        <v>5588</v>
      </c>
      <c r="E828" s="8"/>
      <c r="F828" s="8" t="s">
        <v>78</v>
      </c>
      <c r="G828" s="8" t="n">
        <v>3</v>
      </c>
      <c r="H828" s="13" t="n">
        <v>2</v>
      </c>
      <c r="I828" s="8" t="n">
        <v>4</v>
      </c>
      <c r="J828" s="20" t="s">
        <v>259</v>
      </c>
      <c r="K828" s="8"/>
      <c r="L828" s="20" t="s">
        <v>259</v>
      </c>
      <c r="M828" s="16" t="n">
        <f aca="false">H828*Scoring!$C$5</f>
        <v>2.6</v>
      </c>
      <c r="N828" s="16" t="n">
        <f aca="false">IF(I828&gt;=5,1,IF(I828=4,0.75,IF(I828=3,0.5,IF(I828=2,0.25,0))))*Scoring!$C$8</f>
        <v>0.75</v>
      </c>
      <c r="O828" s="16" t="n">
        <f aca="false">IF(J828="Yes",0,Scoring!$C$6)</f>
        <v>2</v>
      </c>
      <c r="P828" s="16" t="n">
        <f aca="false">IF(L828="Yes",0,Scoring!$C$7)</f>
        <v>0.5</v>
      </c>
      <c r="Q828" s="8" t="n">
        <f aca="false">ROUND(SUM(M828:P828),2)</f>
        <v>5.85</v>
      </c>
      <c r="R828" s="8" t="str">
        <f aca="false">IF(Q828&gt;=Scoring!$C$10-0.000001,"Keep","Remove")</f>
        <v>Remove</v>
      </c>
      <c r="S828" s="8" t="s">
        <v>7243</v>
      </c>
    </row>
    <row r="829" customFormat="false" ht="15" hidden="false" customHeight="false" outlineLevel="0" collapsed="false">
      <c r="A829" s="8" t="s">
        <v>5596</v>
      </c>
      <c r="B829" s="8" t="s">
        <v>5597</v>
      </c>
      <c r="C829" s="8" t="s">
        <v>178</v>
      </c>
      <c r="D829" s="8" t="s">
        <v>5598</v>
      </c>
      <c r="E829" s="8"/>
      <c r="F829" s="8" t="s">
        <v>78</v>
      </c>
      <c r="G829" s="8" t="n">
        <v>2</v>
      </c>
      <c r="H829" s="13" t="n">
        <v>3</v>
      </c>
      <c r="I829" s="8" t="n">
        <v>6</v>
      </c>
      <c r="J829" s="20" t="s">
        <v>259</v>
      </c>
      <c r="K829" s="8"/>
      <c r="L829" s="20" t="s">
        <v>259</v>
      </c>
      <c r="M829" s="16" t="n">
        <f aca="false">H829*Scoring!$C$5</f>
        <v>3.9</v>
      </c>
      <c r="N829" s="16" t="n">
        <f aca="false">IF(I829&gt;=5,1,IF(I829=4,0.75,IF(I829=3,0.5,IF(I829=2,0.25,0))))*Scoring!$C$8</f>
        <v>1</v>
      </c>
      <c r="O829" s="16" t="n">
        <f aca="false">IF(J829="Yes",0,Scoring!$C$6)</f>
        <v>2</v>
      </c>
      <c r="P829" s="16" t="n">
        <f aca="false">IF(L829="Yes",0,Scoring!$C$7)</f>
        <v>0.5</v>
      </c>
      <c r="Q829" s="8" t="n">
        <f aca="false">ROUND(SUM(M829:P829),2)</f>
        <v>7.4</v>
      </c>
      <c r="R829" s="8" t="str">
        <f aca="false">IF(Q829&gt;=Scoring!$C$10-0.000001,"Keep","Remove")</f>
        <v>Keep</v>
      </c>
      <c r="S829" s="8" t="s">
        <v>166</v>
      </c>
    </row>
    <row r="830" customFormat="false" ht="15" hidden="false" customHeight="false" outlineLevel="0" collapsed="false">
      <c r="A830" s="8" t="s">
        <v>7389</v>
      </c>
      <c r="B830" s="8" t="s">
        <v>7390</v>
      </c>
      <c r="C830" s="8" t="s">
        <v>178</v>
      </c>
      <c r="D830" s="8" t="s">
        <v>5598</v>
      </c>
      <c r="E830" s="8"/>
      <c r="F830" s="8" t="s">
        <v>83</v>
      </c>
      <c r="G830" s="8" t="n">
        <v>3</v>
      </c>
      <c r="H830" s="13" t="n">
        <v>2</v>
      </c>
      <c r="I830" s="8" t="n">
        <v>6</v>
      </c>
      <c r="J830" s="20" t="s">
        <v>259</v>
      </c>
      <c r="K830" s="8"/>
      <c r="L830" s="20" t="s">
        <v>259</v>
      </c>
      <c r="M830" s="16" t="n">
        <f aca="false">H830*Scoring!$C$5</f>
        <v>2.6</v>
      </c>
      <c r="N830" s="16" t="n">
        <f aca="false">IF(I830&gt;=5,1,IF(I830=4,0.75,IF(I830=3,0.5,IF(I830=2,0.25,0))))*Scoring!$C$8</f>
        <v>1</v>
      </c>
      <c r="O830" s="16" t="n">
        <f aca="false">IF(J830="Yes",0,Scoring!$C$6)</f>
        <v>2</v>
      </c>
      <c r="P830" s="16" t="n">
        <f aca="false">IF(L830="Yes",0,Scoring!$C$7)</f>
        <v>0.5</v>
      </c>
      <c r="Q830" s="8" t="n">
        <f aca="false">ROUND(SUM(M830:P830),2)</f>
        <v>6.1</v>
      </c>
      <c r="R830" s="8" t="str">
        <f aca="false">IF(Q830&gt;=Scoring!$C$10-0.000001,"Keep","Remove")</f>
        <v>Remove</v>
      </c>
      <c r="S830" s="8" t="s">
        <v>7243</v>
      </c>
    </row>
    <row r="831" customFormat="false" ht="15" hidden="false" customHeight="false" outlineLevel="0" collapsed="false">
      <c r="A831" s="8" t="s">
        <v>7391</v>
      </c>
      <c r="B831" s="8" t="s">
        <v>7392</v>
      </c>
      <c r="C831" s="8" t="s">
        <v>178</v>
      </c>
      <c r="D831" s="8" t="s">
        <v>7393</v>
      </c>
      <c r="E831" s="8"/>
      <c r="F831" s="8" t="s">
        <v>78</v>
      </c>
      <c r="G831" s="8" t="n">
        <v>3</v>
      </c>
      <c r="H831" s="13" t="n">
        <v>2</v>
      </c>
      <c r="I831" s="8" t="n">
        <v>5</v>
      </c>
      <c r="J831" s="20" t="s">
        <v>259</v>
      </c>
      <c r="K831" s="8"/>
      <c r="L831" s="20" t="s">
        <v>259</v>
      </c>
      <c r="M831" s="16" t="n">
        <f aca="false">H831*Scoring!$C$5</f>
        <v>2.6</v>
      </c>
      <c r="N831" s="16" t="n">
        <f aca="false">IF(I831&gt;=5,1,IF(I831=4,0.75,IF(I831=3,0.5,IF(I831=2,0.25,0))))*Scoring!$C$8</f>
        <v>1</v>
      </c>
      <c r="O831" s="16" t="n">
        <f aca="false">IF(J831="Yes",0,Scoring!$C$6)</f>
        <v>2</v>
      </c>
      <c r="P831" s="16" t="n">
        <f aca="false">IF(L831="Yes",0,Scoring!$C$7)</f>
        <v>0.5</v>
      </c>
      <c r="Q831" s="8" t="n">
        <f aca="false">ROUND(SUM(M831:P831),2)</f>
        <v>6.1</v>
      </c>
      <c r="R831" s="8" t="str">
        <f aca="false">IF(Q831&gt;=Scoring!$C$10-0.000001,"Keep","Remove")</f>
        <v>Remove</v>
      </c>
      <c r="S831" s="8" t="s">
        <v>7243</v>
      </c>
    </row>
    <row r="832" customFormat="false" ht="15" hidden="false" customHeight="false" outlineLevel="0" collapsed="false">
      <c r="A832" s="8" t="s">
        <v>7394</v>
      </c>
      <c r="B832" s="8" t="s">
        <v>7395</v>
      </c>
      <c r="C832" s="8" t="s">
        <v>178</v>
      </c>
      <c r="D832" s="8" t="s">
        <v>7396</v>
      </c>
      <c r="E832" s="8"/>
      <c r="F832" s="8" t="s">
        <v>79</v>
      </c>
      <c r="G832" s="8" t="n">
        <v>3</v>
      </c>
      <c r="H832" s="13" t="n">
        <v>2</v>
      </c>
      <c r="I832" s="8" t="n">
        <v>5</v>
      </c>
      <c r="J832" s="20" t="s">
        <v>259</v>
      </c>
      <c r="K832" s="8"/>
      <c r="L832" s="20" t="s">
        <v>259</v>
      </c>
      <c r="M832" s="16" t="n">
        <f aca="false">H832*Scoring!$C$5</f>
        <v>2.6</v>
      </c>
      <c r="N832" s="16" t="n">
        <f aca="false">IF(I832&gt;=5,1,IF(I832=4,0.75,IF(I832=3,0.5,IF(I832=2,0.25,0))))*Scoring!$C$8</f>
        <v>1</v>
      </c>
      <c r="O832" s="16" t="n">
        <f aca="false">IF(J832="Yes",0,Scoring!$C$6)</f>
        <v>2</v>
      </c>
      <c r="P832" s="16" t="n">
        <f aca="false">IF(L832="Yes",0,Scoring!$C$7)</f>
        <v>0.5</v>
      </c>
      <c r="Q832" s="8" t="n">
        <f aca="false">ROUND(SUM(M832:P832),2)</f>
        <v>6.1</v>
      </c>
      <c r="R832" s="8" t="str">
        <f aca="false">IF(Q832&gt;=Scoring!$C$10-0.000001,"Keep","Remove")</f>
        <v>Remove</v>
      </c>
      <c r="S832" s="8" t="s">
        <v>7243</v>
      </c>
    </row>
    <row r="833" customFormat="false" ht="15" hidden="false" customHeight="false" outlineLevel="0" collapsed="false">
      <c r="A833" s="8" t="s">
        <v>7397</v>
      </c>
      <c r="B833" s="8" t="s">
        <v>7398</v>
      </c>
      <c r="C833" s="8" t="s">
        <v>178</v>
      </c>
      <c r="D833" s="8" t="s">
        <v>7399</v>
      </c>
      <c r="E833" s="8"/>
      <c r="F833" s="8" t="s">
        <v>78</v>
      </c>
      <c r="G833" s="8" t="n">
        <v>3</v>
      </c>
      <c r="H833" s="13" t="n">
        <v>2</v>
      </c>
      <c r="I833" s="8" t="n">
        <v>5</v>
      </c>
      <c r="J833" s="20" t="s">
        <v>259</v>
      </c>
      <c r="K833" s="8"/>
      <c r="L833" s="20" t="s">
        <v>259</v>
      </c>
      <c r="M833" s="16" t="n">
        <f aca="false">H833*Scoring!$C$5</f>
        <v>2.6</v>
      </c>
      <c r="N833" s="16" t="n">
        <f aca="false">IF(I833&gt;=5,1,IF(I833=4,0.75,IF(I833=3,0.5,IF(I833=2,0.25,0))))*Scoring!$C$8</f>
        <v>1</v>
      </c>
      <c r="O833" s="16" t="n">
        <f aca="false">IF(J833="Yes",0,Scoring!$C$6)</f>
        <v>2</v>
      </c>
      <c r="P833" s="16" t="n">
        <f aca="false">IF(L833="Yes",0,Scoring!$C$7)</f>
        <v>0.5</v>
      </c>
      <c r="Q833" s="8" t="n">
        <f aca="false">ROUND(SUM(M833:P833),2)</f>
        <v>6.1</v>
      </c>
      <c r="R833" s="8" t="str">
        <f aca="false">IF(Q833&gt;=Scoring!$C$10-0.000001,"Keep","Remove")</f>
        <v>Remove</v>
      </c>
      <c r="S833" s="8" t="s">
        <v>7243</v>
      </c>
    </row>
    <row r="834" customFormat="false" ht="15" hidden="false" customHeight="false" outlineLevel="0" collapsed="false">
      <c r="A834" s="8" t="s">
        <v>5607</v>
      </c>
      <c r="B834" s="8" t="s">
        <v>5608</v>
      </c>
      <c r="C834" s="8" t="s">
        <v>178</v>
      </c>
      <c r="D834" s="8" t="s">
        <v>5609</v>
      </c>
      <c r="E834" s="8"/>
      <c r="F834" s="8" t="s">
        <v>88</v>
      </c>
      <c r="G834" s="8" t="n">
        <v>1</v>
      </c>
      <c r="H834" s="13" t="n">
        <v>5</v>
      </c>
      <c r="I834" s="8" t="n">
        <v>3</v>
      </c>
      <c r="J834" s="20" t="s">
        <v>259</v>
      </c>
      <c r="K834" s="8"/>
      <c r="L834" s="20" t="s">
        <v>259</v>
      </c>
      <c r="M834" s="16" t="n">
        <f aca="false">H834*Scoring!$C$5</f>
        <v>6.5</v>
      </c>
      <c r="N834" s="16" t="n">
        <f aca="false">IF(I834&gt;=5,1,IF(I834=4,0.75,IF(I834=3,0.5,IF(I834=2,0.25,0))))*Scoring!$C$8</f>
        <v>0.5</v>
      </c>
      <c r="O834" s="16" t="n">
        <f aca="false">IF(J834="Yes",0,Scoring!$C$6)</f>
        <v>2</v>
      </c>
      <c r="P834" s="16" t="n">
        <f aca="false">IF(L834="Yes",0,Scoring!$C$7)</f>
        <v>0.5</v>
      </c>
      <c r="Q834" s="8" t="n">
        <f aca="false">ROUND(SUM(M834:P834),2)</f>
        <v>9.5</v>
      </c>
      <c r="R834" s="8" t="str">
        <f aca="false">IF(Q834&gt;=Scoring!$C$10-0.000001,"Keep","Remove")</f>
        <v>Keep</v>
      </c>
      <c r="S834" s="8" t="s">
        <v>166</v>
      </c>
    </row>
    <row r="835" customFormat="false" ht="15" hidden="false" customHeight="false" outlineLevel="0" collapsed="false">
      <c r="A835" s="8" t="s">
        <v>5619</v>
      </c>
      <c r="B835" s="8" t="s">
        <v>5620</v>
      </c>
      <c r="C835" s="8" t="s">
        <v>178</v>
      </c>
      <c r="D835" s="8" t="s">
        <v>5621</v>
      </c>
      <c r="E835" s="8"/>
      <c r="F835" s="8" t="s">
        <v>81</v>
      </c>
      <c r="G835" s="8" t="n">
        <v>1</v>
      </c>
      <c r="H835" s="13" t="n">
        <v>5</v>
      </c>
      <c r="I835" s="8" t="n">
        <v>4</v>
      </c>
      <c r="J835" s="20" t="s">
        <v>259</v>
      </c>
      <c r="K835" s="8"/>
      <c r="L835" s="20" t="s">
        <v>259</v>
      </c>
      <c r="M835" s="16" t="n">
        <f aca="false">H835*Scoring!$C$5</f>
        <v>6.5</v>
      </c>
      <c r="N835" s="16" t="n">
        <f aca="false">IF(I835&gt;=5,1,IF(I835=4,0.75,IF(I835=3,0.5,IF(I835=2,0.25,0))))*Scoring!$C$8</f>
        <v>0.75</v>
      </c>
      <c r="O835" s="16" t="n">
        <f aca="false">IF(J835="Yes",0,Scoring!$C$6)</f>
        <v>2</v>
      </c>
      <c r="P835" s="16" t="n">
        <f aca="false">IF(L835="Yes",0,Scoring!$C$7)</f>
        <v>0.5</v>
      </c>
      <c r="Q835" s="8" t="n">
        <f aca="false">ROUND(SUM(M835:P835),2)</f>
        <v>9.75</v>
      </c>
      <c r="R835" s="8" t="str">
        <f aca="false">IF(Q835&gt;=Scoring!$C$10-0.000001,"Keep","Remove")</f>
        <v>Keep</v>
      </c>
      <c r="S835" s="8" t="s">
        <v>166</v>
      </c>
    </row>
    <row r="836" customFormat="false" ht="15" hidden="false" customHeight="false" outlineLevel="0" collapsed="false">
      <c r="A836" s="8" t="s">
        <v>5631</v>
      </c>
      <c r="B836" s="8" t="s">
        <v>5632</v>
      </c>
      <c r="C836" s="8" t="s">
        <v>178</v>
      </c>
      <c r="D836" s="8" t="s">
        <v>5609</v>
      </c>
      <c r="E836" s="8"/>
      <c r="F836" s="8" t="s">
        <v>81</v>
      </c>
      <c r="G836" s="8" t="n">
        <v>1</v>
      </c>
      <c r="H836" s="13" t="n">
        <v>5</v>
      </c>
      <c r="I836" s="8" t="n">
        <v>5</v>
      </c>
      <c r="J836" s="20" t="s">
        <v>259</v>
      </c>
      <c r="K836" s="8"/>
      <c r="L836" s="20" t="s">
        <v>259</v>
      </c>
      <c r="M836" s="16" t="n">
        <f aca="false">H836*Scoring!$C$5</f>
        <v>6.5</v>
      </c>
      <c r="N836" s="16" t="n">
        <f aca="false">IF(I836&gt;=5,1,IF(I836=4,0.75,IF(I836=3,0.5,IF(I836=2,0.25,0))))*Scoring!$C$8</f>
        <v>1</v>
      </c>
      <c r="O836" s="16" t="n">
        <f aca="false">IF(J836="Yes",0,Scoring!$C$6)</f>
        <v>2</v>
      </c>
      <c r="P836" s="16" t="n">
        <f aca="false">IF(L836="Yes",0,Scoring!$C$7)</f>
        <v>0.5</v>
      </c>
      <c r="Q836" s="8" t="n">
        <f aca="false">ROUND(SUM(M836:P836),2)</f>
        <v>10</v>
      </c>
      <c r="R836" s="8" t="str">
        <f aca="false">IF(Q836&gt;=Scoring!$C$10-0.000001,"Keep","Remove")</f>
        <v>Keep</v>
      </c>
      <c r="S836" s="8" t="s">
        <v>166</v>
      </c>
    </row>
    <row r="837" customFormat="false" ht="15" hidden="false" customHeight="false" outlineLevel="0" collapsed="false">
      <c r="A837" s="8" t="s">
        <v>5643</v>
      </c>
      <c r="B837" s="8" t="s">
        <v>5644</v>
      </c>
      <c r="C837" s="8" t="s">
        <v>178</v>
      </c>
      <c r="D837" s="8" t="s">
        <v>5609</v>
      </c>
      <c r="E837" s="8"/>
      <c r="F837" s="8" t="s">
        <v>89</v>
      </c>
      <c r="G837" s="8" t="n">
        <v>1</v>
      </c>
      <c r="H837" s="13" t="n">
        <v>4</v>
      </c>
      <c r="I837" s="8" t="n">
        <v>5</v>
      </c>
      <c r="J837" s="20" t="s">
        <v>259</v>
      </c>
      <c r="K837" s="8"/>
      <c r="L837" s="20" t="s">
        <v>259</v>
      </c>
      <c r="M837" s="16" t="n">
        <f aca="false">H837*Scoring!$C$5</f>
        <v>5.2</v>
      </c>
      <c r="N837" s="16" t="n">
        <f aca="false">IF(I837&gt;=5,1,IF(I837=4,0.75,IF(I837=3,0.5,IF(I837=2,0.25,0))))*Scoring!$C$8</f>
        <v>1</v>
      </c>
      <c r="O837" s="16" t="n">
        <f aca="false">IF(J837="Yes",0,Scoring!$C$6)</f>
        <v>2</v>
      </c>
      <c r="P837" s="16" t="n">
        <f aca="false">IF(L837="Yes",0,Scoring!$C$7)</f>
        <v>0.5</v>
      </c>
      <c r="Q837" s="8" t="n">
        <f aca="false">ROUND(SUM(M837:P837),2)</f>
        <v>8.7</v>
      </c>
      <c r="R837" s="8" t="str">
        <f aca="false">IF(Q837&gt;=Scoring!$C$10-0.000001,"Keep","Remove")</f>
        <v>Keep</v>
      </c>
      <c r="S837" s="8" t="s">
        <v>166</v>
      </c>
    </row>
    <row r="838" customFormat="false" ht="15" hidden="false" customHeight="false" outlineLevel="0" collapsed="false">
      <c r="A838" s="8" t="s">
        <v>5653</v>
      </c>
      <c r="B838" s="8" t="s">
        <v>5654</v>
      </c>
      <c r="C838" s="8" t="s">
        <v>178</v>
      </c>
      <c r="D838" s="8" t="s">
        <v>5609</v>
      </c>
      <c r="E838" s="8"/>
      <c r="F838" s="8" t="s">
        <v>89</v>
      </c>
      <c r="G838" s="8" t="n">
        <v>2</v>
      </c>
      <c r="H838" s="13" t="n">
        <v>3</v>
      </c>
      <c r="I838" s="8" t="n">
        <v>5</v>
      </c>
      <c r="J838" s="20" t="s">
        <v>259</v>
      </c>
      <c r="K838" s="8"/>
      <c r="L838" s="20" t="s">
        <v>259</v>
      </c>
      <c r="M838" s="16" t="n">
        <f aca="false">H838*Scoring!$C$5</f>
        <v>3.9</v>
      </c>
      <c r="N838" s="16" t="n">
        <f aca="false">IF(I838&gt;=5,1,IF(I838=4,0.75,IF(I838=3,0.5,IF(I838=2,0.25,0))))*Scoring!$C$8</f>
        <v>1</v>
      </c>
      <c r="O838" s="16" t="n">
        <f aca="false">IF(J838="Yes",0,Scoring!$C$6)</f>
        <v>2</v>
      </c>
      <c r="P838" s="16" t="n">
        <f aca="false">IF(L838="Yes",0,Scoring!$C$7)</f>
        <v>0.5</v>
      </c>
      <c r="Q838" s="8" t="n">
        <f aca="false">ROUND(SUM(M838:P838),2)</f>
        <v>7.4</v>
      </c>
      <c r="R838" s="8" t="str">
        <f aca="false">IF(Q838&gt;=Scoring!$C$10-0.000001,"Keep","Remove")</f>
        <v>Keep</v>
      </c>
      <c r="S838" s="8" t="s">
        <v>166</v>
      </c>
    </row>
    <row r="839" customFormat="false" ht="15" hidden="false" customHeight="false" outlineLevel="0" collapsed="false">
      <c r="A839" s="8" t="s">
        <v>5661</v>
      </c>
      <c r="B839" s="8" t="s">
        <v>5662</v>
      </c>
      <c r="C839" s="8" t="s">
        <v>178</v>
      </c>
      <c r="D839" s="8" t="s">
        <v>5609</v>
      </c>
      <c r="E839" s="8"/>
      <c r="F839" s="8" t="s">
        <v>88</v>
      </c>
      <c r="G839" s="8" t="n">
        <v>2</v>
      </c>
      <c r="H839" s="13" t="n">
        <v>4</v>
      </c>
      <c r="I839" s="8" t="n">
        <v>3</v>
      </c>
      <c r="J839" s="20" t="s">
        <v>259</v>
      </c>
      <c r="K839" s="8"/>
      <c r="L839" s="20" t="s">
        <v>259</v>
      </c>
      <c r="M839" s="16" t="n">
        <f aca="false">H839*Scoring!$C$5</f>
        <v>5.2</v>
      </c>
      <c r="N839" s="16" t="n">
        <f aca="false">IF(I839&gt;=5,1,IF(I839=4,0.75,IF(I839=3,0.5,IF(I839=2,0.25,0))))*Scoring!$C$8</f>
        <v>0.5</v>
      </c>
      <c r="O839" s="16" t="n">
        <f aca="false">IF(J839="Yes",0,Scoring!$C$6)</f>
        <v>2</v>
      </c>
      <c r="P839" s="16" t="n">
        <f aca="false">IF(L839="Yes",0,Scoring!$C$7)</f>
        <v>0.5</v>
      </c>
      <c r="Q839" s="8" t="n">
        <f aca="false">ROUND(SUM(M839:P839),2)</f>
        <v>8.2</v>
      </c>
      <c r="R839" s="8" t="str">
        <f aca="false">IF(Q839&gt;=Scoring!$C$10-0.000001,"Keep","Remove")</f>
        <v>Keep</v>
      </c>
      <c r="S839" s="8" t="s">
        <v>166</v>
      </c>
    </row>
    <row r="840" customFormat="false" ht="15" hidden="false" customHeight="false" outlineLevel="0" collapsed="false">
      <c r="A840" s="8" t="s">
        <v>5669</v>
      </c>
      <c r="B840" s="8" t="s">
        <v>5670</v>
      </c>
      <c r="C840" s="8" t="s">
        <v>178</v>
      </c>
      <c r="D840" s="8" t="s">
        <v>5609</v>
      </c>
      <c r="E840" s="8"/>
      <c r="F840" s="8" t="s">
        <v>79</v>
      </c>
      <c r="G840" s="8" t="n">
        <v>2</v>
      </c>
      <c r="H840" s="13" t="n">
        <v>3</v>
      </c>
      <c r="I840" s="8" t="n">
        <v>4</v>
      </c>
      <c r="J840" s="20" t="s">
        <v>259</v>
      </c>
      <c r="K840" s="8"/>
      <c r="L840" s="20" t="s">
        <v>259</v>
      </c>
      <c r="M840" s="16" t="n">
        <f aca="false">H840*Scoring!$C$5</f>
        <v>3.9</v>
      </c>
      <c r="N840" s="16" t="n">
        <f aca="false">IF(I840&gt;=5,1,IF(I840=4,0.75,IF(I840=3,0.5,IF(I840=2,0.25,0))))*Scoring!$C$8</f>
        <v>0.75</v>
      </c>
      <c r="O840" s="16" t="n">
        <f aca="false">IF(J840="Yes",0,Scoring!$C$6)</f>
        <v>2</v>
      </c>
      <c r="P840" s="16" t="n">
        <f aca="false">IF(L840="Yes",0,Scoring!$C$7)</f>
        <v>0.5</v>
      </c>
      <c r="Q840" s="8" t="n">
        <f aca="false">ROUND(SUM(M840:P840),2)</f>
        <v>7.15</v>
      </c>
      <c r="R840" s="8" t="str">
        <f aca="false">IF(Q840&gt;=Scoring!$C$10-0.000001,"Keep","Remove")</f>
        <v>Keep</v>
      </c>
      <c r="S840" s="8" t="s">
        <v>166</v>
      </c>
    </row>
    <row r="841" customFormat="false" ht="15" hidden="false" customHeight="false" outlineLevel="0" collapsed="false">
      <c r="A841" s="8" t="s">
        <v>5676</v>
      </c>
      <c r="B841" s="8" t="s">
        <v>5677</v>
      </c>
      <c r="C841" s="8" t="s">
        <v>178</v>
      </c>
      <c r="D841" s="8" t="s">
        <v>5609</v>
      </c>
      <c r="E841" s="8"/>
      <c r="F841" s="8" t="s">
        <v>82</v>
      </c>
      <c r="G841" s="8" t="n">
        <v>2</v>
      </c>
      <c r="H841" s="13" t="n">
        <v>3</v>
      </c>
      <c r="I841" s="8" t="n">
        <v>4</v>
      </c>
      <c r="J841" s="20" t="s">
        <v>259</v>
      </c>
      <c r="K841" s="8"/>
      <c r="L841" s="20" t="s">
        <v>259</v>
      </c>
      <c r="M841" s="16" t="n">
        <f aca="false">H841*Scoring!$C$5</f>
        <v>3.9</v>
      </c>
      <c r="N841" s="16" t="n">
        <f aca="false">IF(I841&gt;=5,1,IF(I841=4,0.75,IF(I841=3,0.5,IF(I841=2,0.25,0))))*Scoring!$C$8</f>
        <v>0.75</v>
      </c>
      <c r="O841" s="16" t="n">
        <f aca="false">IF(J841="Yes",0,Scoring!$C$6)</f>
        <v>2</v>
      </c>
      <c r="P841" s="16" t="n">
        <f aca="false">IF(L841="Yes",0,Scoring!$C$7)</f>
        <v>0.5</v>
      </c>
      <c r="Q841" s="8" t="n">
        <f aca="false">ROUND(SUM(M841:P841),2)</f>
        <v>7.15</v>
      </c>
      <c r="R841" s="8" t="str">
        <f aca="false">IF(Q841&gt;=Scoring!$C$10-0.000001,"Keep","Remove")</f>
        <v>Keep</v>
      </c>
      <c r="S841" s="8" t="s">
        <v>166</v>
      </c>
    </row>
    <row r="842" customFormat="false" ht="15" hidden="false" customHeight="false" outlineLevel="0" collapsed="false">
      <c r="A842" s="8" t="s">
        <v>5685</v>
      </c>
      <c r="B842" s="8" t="s">
        <v>5686</v>
      </c>
      <c r="C842" s="8" t="s">
        <v>178</v>
      </c>
      <c r="D842" s="8" t="s">
        <v>5687</v>
      </c>
      <c r="E842" s="8"/>
      <c r="F842" s="8" t="s">
        <v>82</v>
      </c>
      <c r="G842" s="8" t="n">
        <v>1</v>
      </c>
      <c r="H842" s="13" t="n">
        <v>4</v>
      </c>
      <c r="I842" s="8" t="n">
        <v>4</v>
      </c>
      <c r="J842" s="20" t="s">
        <v>259</v>
      </c>
      <c r="K842" s="8"/>
      <c r="L842" s="20" t="s">
        <v>259</v>
      </c>
      <c r="M842" s="16" t="n">
        <f aca="false">H842*Scoring!$C$5</f>
        <v>5.2</v>
      </c>
      <c r="N842" s="16" t="n">
        <f aca="false">IF(I842&gt;=5,1,IF(I842=4,0.75,IF(I842=3,0.5,IF(I842=2,0.25,0))))*Scoring!$C$8</f>
        <v>0.75</v>
      </c>
      <c r="O842" s="16" t="n">
        <f aca="false">IF(J842="Yes",0,Scoring!$C$6)</f>
        <v>2</v>
      </c>
      <c r="P842" s="16" t="n">
        <f aca="false">IF(L842="Yes",0,Scoring!$C$7)</f>
        <v>0.5</v>
      </c>
      <c r="Q842" s="8" t="n">
        <f aca="false">ROUND(SUM(M842:P842),2)</f>
        <v>8.45</v>
      </c>
      <c r="R842" s="8" t="str">
        <f aca="false">IF(Q842&gt;=Scoring!$C$10-0.000001,"Keep","Remove")</f>
        <v>Keep</v>
      </c>
      <c r="S842" s="8" t="s">
        <v>166</v>
      </c>
    </row>
    <row r="843" customFormat="false" ht="15" hidden="false" customHeight="false" outlineLevel="0" collapsed="false">
      <c r="A843" s="8" t="s">
        <v>7400</v>
      </c>
      <c r="B843" s="8" t="s">
        <v>7401</v>
      </c>
      <c r="C843" s="8" t="s">
        <v>178</v>
      </c>
      <c r="D843" s="8" t="s">
        <v>5687</v>
      </c>
      <c r="E843" s="8"/>
      <c r="F843" s="8" t="s">
        <v>81</v>
      </c>
      <c r="G843" s="8" t="n">
        <v>3</v>
      </c>
      <c r="H843" s="13" t="n">
        <v>2</v>
      </c>
      <c r="I843" s="8" t="n">
        <v>5</v>
      </c>
      <c r="J843" s="20" t="s">
        <v>259</v>
      </c>
      <c r="K843" s="8"/>
      <c r="L843" s="20" t="s">
        <v>259</v>
      </c>
      <c r="M843" s="16" t="n">
        <f aca="false">H843*Scoring!$C$5</f>
        <v>2.6</v>
      </c>
      <c r="N843" s="16" t="n">
        <f aca="false">IF(I843&gt;=5,1,IF(I843=4,0.75,IF(I843=3,0.5,IF(I843=2,0.25,0))))*Scoring!$C$8</f>
        <v>1</v>
      </c>
      <c r="O843" s="16" t="n">
        <f aca="false">IF(J843="Yes",0,Scoring!$C$6)</f>
        <v>2</v>
      </c>
      <c r="P843" s="16" t="n">
        <f aca="false">IF(L843="Yes",0,Scoring!$C$7)</f>
        <v>0.5</v>
      </c>
      <c r="Q843" s="8" t="n">
        <f aca="false">ROUND(SUM(M843:P843),2)</f>
        <v>6.1</v>
      </c>
      <c r="R843" s="8" t="str">
        <f aca="false">IF(Q843&gt;=Scoring!$C$10-0.000001,"Keep","Remove")</f>
        <v>Remove</v>
      </c>
      <c r="S843" s="8" t="s">
        <v>7243</v>
      </c>
    </row>
    <row r="844" customFormat="false" ht="15" hidden="false" customHeight="false" outlineLevel="0" collapsed="false">
      <c r="A844" s="8" t="s">
        <v>5697</v>
      </c>
      <c r="B844" s="8" t="s">
        <v>5698</v>
      </c>
      <c r="C844" s="8" t="s">
        <v>178</v>
      </c>
      <c r="D844" s="8" t="s">
        <v>5699</v>
      </c>
      <c r="E844" s="8"/>
      <c r="F844" s="8" t="s">
        <v>78</v>
      </c>
      <c r="G844" s="8" t="n">
        <v>2</v>
      </c>
      <c r="H844" s="13" t="n">
        <v>3</v>
      </c>
      <c r="I844" s="8" t="n">
        <v>5</v>
      </c>
      <c r="J844" s="20" t="s">
        <v>259</v>
      </c>
      <c r="K844" s="8"/>
      <c r="L844" s="20" t="s">
        <v>259</v>
      </c>
      <c r="M844" s="16" t="n">
        <f aca="false">H844*Scoring!$C$5</f>
        <v>3.9</v>
      </c>
      <c r="N844" s="16" t="n">
        <f aca="false">IF(I844&gt;=5,1,IF(I844=4,0.75,IF(I844=3,0.5,IF(I844=2,0.25,0))))*Scoring!$C$8</f>
        <v>1</v>
      </c>
      <c r="O844" s="16" t="n">
        <f aca="false">IF(J844="Yes",0,Scoring!$C$6)</f>
        <v>2</v>
      </c>
      <c r="P844" s="16" t="n">
        <f aca="false">IF(L844="Yes",0,Scoring!$C$7)</f>
        <v>0.5</v>
      </c>
      <c r="Q844" s="8" t="n">
        <f aca="false">ROUND(SUM(M844:P844),2)</f>
        <v>7.4</v>
      </c>
      <c r="R844" s="8" t="str">
        <f aca="false">IF(Q844&gt;=Scoring!$C$10-0.000001,"Keep","Remove")</f>
        <v>Keep</v>
      </c>
      <c r="S844" s="8" t="s">
        <v>166</v>
      </c>
    </row>
    <row r="845" customFormat="false" ht="15" hidden="false" customHeight="false" outlineLevel="0" collapsed="false">
      <c r="A845" s="8" t="s">
        <v>5705</v>
      </c>
      <c r="B845" s="8" t="s">
        <v>5706</v>
      </c>
      <c r="C845" s="8" t="s">
        <v>178</v>
      </c>
      <c r="D845" s="8" t="s">
        <v>5707</v>
      </c>
      <c r="E845" s="8"/>
      <c r="F845" s="8" t="s">
        <v>85</v>
      </c>
      <c r="G845" s="8" t="n">
        <v>2</v>
      </c>
      <c r="H845" s="13" t="n">
        <v>3</v>
      </c>
      <c r="I845" s="8" t="n">
        <v>6</v>
      </c>
      <c r="J845" s="20" t="s">
        <v>259</v>
      </c>
      <c r="K845" s="8"/>
      <c r="L845" s="20" t="s">
        <v>259</v>
      </c>
      <c r="M845" s="16" t="n">
        <f aca="false">H845*Scoring!$C$5</f>
        <v>3.9</v>
      </c>
      <c r="N845" s="16" t="n">
        <f aca="false">IF(I845&gt;=5,1,IF(I845=4,0.75,IF(I845=3,0.5,IF(I845=2,0.25,0))))*Scoring!$C$8</f>
        <v>1</v>
      </c>
      <c r="O845" s="16" t="n">
        <f aca="false">IF(J845="Yes",0,Scoring!$C$6)</f>
        <v>2</v>
      </c>
      <c r="P845" s="16" t="n">
        <f aca="false">IF(L845="Yes",0,Scoring!$C$7)</f>
        <v>0.5</v>
      </c>
      <c r="Q845" s="8" t="n">
        <f aca="false">ROUND(SUM(M845:P845),2)</f>
        <v>7.4</v>
      </c>
      <c r="R845" s="8" t="str">
        <f aca="false">IF(Q845&gt;=Scoring!$C$10-0.000001,"Keep","Remove")</f>
        <v>Keep</v>
      </c>
      <c r="S845" s="8" t="s">
        <v>166</v>
      </c>
    </row>
    <row r="846" customFormat="false" ht="15" hidden="false" customHeight="false" outlineLevel="0" collapsed="false">
      <c r="A846" s="8" t="s">
        <v>7590</v>
      </c>
      <c r="B846" s="8" t="s">
        <v>7591</v>
      </c>
      <c r="C846" s="8" t="s">
        <v>178</v>
      </c>
      <c r="D846" s="8" t="s">
        <v>5707</v>
      </c>
      <c r="E846" s="8"/>
      <c r="F846" s="8" t="s">
        <v>78</v>
      </c>
      <c r="G846" s="8" t="n">
        <v>3</v>
      </c>
      <c r="H846" s="13" t="n">
        <v>2</v>
      </c>
      <c r="I846" s="8" t="n">
        <v>4</v>
      </c>
      <c r="J846" s="20" t="s">
        <v>259</v>
      </c>
      <c r="K846" s="8"/>
      <c r="L846" s="20" t="s">
        <v>259</v>
      </c>
      <c r="M846" s="16" t="n">
        <f aca="false">H846*Scoring!$C$5</f>
        <v>2.6</v>
      </c>
      <c r="N846" s="16" t="n">
        <f aca="false">IF(I846&gt;=5,1,IF(I846=4,0.75,IF(I846=3,0.5,IF(I846=2,0.25,0))))*Scoring!$C$8</f>
        <v>0.75</v>
      </c>
      <c r="O846" s="16" t="n">
        <f aca="false">IF(J846="Yes",0,Scoring!$C$6)</f>
        <v>2</v>
      </c>
      <c r="P846" s="16" t="n">
        <f aca="false">IF(L846="Yes",0,Scoring!$C$7)</f>
        <v>0.5</v>
      </c>
      <c r="Q846" s="8" t="n">
        <f aca="false">ROUND(SUM(M846:P846),2)</f>
        <v>5.85</v>
      </c>
      <c r="R846" s="8" t="str">
        <f aca="false">IF(Q846&gt;=Scoring!$C$10-0.000001,"Keep","Remove")</f>
        <v>Remove</v>
      </c>
      <c r="S846" s="8" t="s">
        <v>7243</v>
      </c>
    </row>
    <row r="847" customFormat="false" ht="15" hidden="false" customHeight="false" outlineLevel="0" collapsed="false">
      <c r="A847" s="8" t="s">
        <v>5715</v>
      </c>
      <c r="B847" s="8" t="s">
        <v>5716</v>
      </c>
      <c r="C847" s="8" t="s">
        <v>178</v>
      </c>
      <c r="D847" s="8" t="s">
        <v>5707</v>
      </c>
      <c r="E847" s="8"/>
      <c r="F847" s="8" t="s">
        <v>80</v>
      </c>
      <c r="G847" s="8" t="n">
        <v>2</v>
      </c>
      <c r="H847" s="13" t="n">
        <v>3</v>
      </c>
      <c r="I847" s="8" t="n">
        <v>6</v>
      </c>
      <c r="J847" s="20" t="s">
        <v>259</v>
      </c>
      <c r="K847" s="8"/>
      <c r="L847" s="20" t="s">
        <v>259</v>
      </c>
      <c r="M847" s="16" t="n">
        <f aca="false">H847*Scoring!$C$5</f>
        <v>3.9</v>
      </c>
      <c r="N847" s="16" t="n">
        <f aca="false">IF(I847&gt;=5,1,IF(I847=4,0.75,IF(I847=3,0.5,IF(I847=2,0.25,0))))*Scoring!$C$8</f>
        <v>1</v>
      </c>
      <c r="O847" s="16" t="n">
        <f aca="false">IF(J847="Yes",0,Scoring!$C$6)</f>
        <v>2</v>
      </c>
      <c r="P847" s="16" t="n">
        <f aca="false">IF(L847="Yes",0,Scoring!$C$7)</f>
        <v>0.5</v>
      </c>
      <c r="Q847" s="8" t="n">
        <f aca="false">ROUND(SUM(M847:P847),2)</f>
        <v>7.4</v>
      </c>
      <c r="R847" s="8" t="str">
        <f aca="false">IF(Q847&gt;=Scoring!$C$10-0.000001,"Keep","Remove")</f>
        <v>Keep</v>
      </c>
      <c r="S847" s="8" t="s">
        <v>166</v>
      </c>
    </row>
    <row r="848" customFormat="false" ht="15" hidden="false" customHeight="false" outlineLevel="0" collapsed="false">
      <c r="A848" s="8" t="s">
        <v>5723</v>
      </c>
      <c r="B848" s="8" t="s">
        <v>5724</v>
      </c>
      <c r="C848" s="8" t="s">
        <v>178</v>
      </c>
      <c r="D848" s="8" t="s">
        <v>5725</v>
      </c>
      <c r="E848" s="8"/>
      <c r="F848" s="8" t="s">
        <v>85</v>
      </c>
      <c r="G848" s="8" t="n">
        <v>2</v>
      </c>
      <c r="H848" s="13" t="n">
        <v>3</v>
      </c>
      <c r="I848" s="8" t="n">
        <v>6</v>
      </c>
      <c r="J848" s="20" t="s">
        <v>259</v>
      </c>
      <c r="K848" s="8"/>
      <c r="L848" s="20" t="s">
        <v>259</v>
      </c>
      <c r="M848" s="16" t="n">
        <f aca="false">H848*Scoring!$C$5</f>
        <v>3.9</v>
      </c>
      <c r="N848" s="16" t="n">
        <f aca="false">IF(I848&gt;=5,1,IF(I848=4,0.75,IF(I848=3,0.5,IF(I848=2,0.25,0))))*Scoring!$C$8</f>
        <v>1</v>
      </c>
      <c r="O848" s="16" t="n">
        <f aca="false">IF(J848="Yes",0,Scoring!$C$6)</f>
        <v>2</v>
      </c>
      <c r="P848" s="16" t="n">
        <f aca="false">IF(L848="Yes",0,Scoring!$C$7)</f>
        <v>0.5</v>
      </c>
      <c r="Q848" s="8" t="n">
        <f aca="false">ROUND(SUM(M848:P848),2)</f>
        <v>7.4</v>
      </c>
      <c r="R848" s="8" t="str">
        <f aca="false">IF(Q848&gt;=Scoring!$C$10-0.000001,"Keep","Remove")</f>
        <v>Keep</v>
      </c>
      <c r="S848" s="8" t="s">
        <v>166</v>
      </c>
    </row>
    <row r="849" customFormat="false" ht="15" hidden="false" customHeight="false" outlineLevel="0" collapsed="false">
      <c r="A849" s="8" t="s">
        <v>7592</v>
      </c>
      <c r="B849" s="8" t="s">
        <v>7593</v>
      </c>
      <c r="C849" s="8" t="s">
        <v>178</v>
      </c>
      <c r="D849" s="8" t="s">
        <v>7404</v>
      </c>
      <c r="E849" s="8"/>
      <c r="F849" s="8" t="s">
        <v>85</v>
      </c>
      <c r="G849" s="8" t="n">
        <v>3</v>
      </c>
      <c r="H849" s="13" t="n">
        <v>2</v>
      </c>
      <c r="I849" s="8" t="n">
        <v>4</v>
      </c>
      <c r="J849" s="20" t="s">
        <v>259</v>
      </c>
      <c r="K849" s="8"/>
      <c r="L849" s="20" t="s">
        <v>259</v>
      </c>
      <c r="M849" s="16" t="n">
        <f aca="false">H849*Scoring!$C$5</f>
        <v>2.6</v>
      </c>
      <c r="N849" s="16" t="n">
        <f aca="false">IF(I849&gt;=5,1,IF(I849=4,0.75,IF(I849=3,0.5,IF(I849=2,0.25,0))))*Scoring!$C$8</f>
        <v>0.75</v>
      </c>
      <c r="O849" s="16" t="n">
        <f aca="false">IF(J849="Yes",0,Scoring!$C$6)</f>
        <v>2</v>
      </c>
      <c r="P849" s="16" t="n">
        <f aca="false">IF(L849="Yes",0,Scoring!$C$7)</f>
        <v>0.5</v>
      </c>
      <c r="Q849" s="8" t="n">
        <f aca="false">ROUND(SUM(M849:P849),2)</f>
        <v>5.85</v>
      </c>
      <c r="R849" s="8" t="str">
        <f aca="false">IF(Q849&gt;=Scoring!$C$10-0.000001,"Keep","Remove")</f>
        <v>Remove</v>
      </c>
      <c r="S849" s="8" t="s">
        <v>7243</v>
      </c>
    </row>
    <row r="850" customFormat="false" ht="15" hidden="false" customHeight="false" outlineLevel="0" collapsed="false">
      <c r="A850" s="8" t="s">
        <v>7402</v>
      </c>
      <c r="B850" s="8" t="s">
        <v>7403</v>
      </c>
      <c r="C850" s="8" t="s">
        <v>178</v>
      </c>
      <c r="D850" s="8" t="s">
        <v>7404</v>
      </c>
      <c r="E850" s="8"/>
      <c r="F850" s="8" t="s">
        <v>80</v>
      </c>
      <c r="G850" s="8" t="n">
        <v>3</v>
      </c>
      <c r="H850" s="13" t="n">
        <v>2</v>
      </c>
      <c r="I850" s="8" t="n">
        <v>5</v>
      </c>
      <c r="J850" s="20" t="s">
        <v>259</v>
      </c>
      <c r="K850" s="8"/>
      <c r="L850" s="20" t="s">
        <v>259</v>
      </c>
      <c r="M850" s="16" t="n">
        <f aca="false">H850*Scoring!$C$5</f>
        <v>2.6</v>
      </c>
      <c r="N850" s="16" t="n">
        <f aca="false">IF(I850&gt;=5,1,IF(I850=4,0.75,IF(I850=3,0.5,IF(I850=2,0.25,0))))*Scoring!$C$8</f>
        <v>1</v>
      </c>
      <c r="O850" s="16" t="n">
        <f aca="false">IF(J850="Yes",0,Scoring!$C$6)</f>
        <v>2</v>
      </c>
      <c r="P850" s="16" t="n">
        <f aca="false">IF(L850="Yes",0,Scoring!$C$7)</f>
        <v>0.5</v>
      </c>
      <c r="Q850" s="8" t="n">
        <f aca="false">ROUND(SUM(M850:P850),2)</f>
        <v>6.1</v>
      </c>
      <c r="R850" s="8" t="str">
        <f aca="false">IF(Q850&gt;=Scoring!$C$10-0.000001,"Keep","Remove")</f>
        <v>Remove</v>
      </c>
      <c r="S850" s="8" t="s">
        <v>7243</v>
      </c>
    </row>
    <row r="851" customFormat="false" ht="15" hidden="false" customHeight="false" outlineLevel="0" collapsed="false">
      <c r="A851" s="8" t="s">
        <v>7594</v>
      </c>
      <c r="B851" s="8" t="s">
        <v>7595</v>
      </c>
      <c r="C851" s="8" t="s">
        <v>178</v>
      </c>
      <c r="D851" s="8" t="s">
        <v>7404</v>
      </c>
      <c r="E851" s="8"/>
      <c r="F851" s="8" t="s">
        <v>78</v>
      </c>
      <c r="G851" s="8" t="n">
        <v>3</v>
      </c>
      <c r="H851" s="13" t="n">
        <v>2</v>
      </c>
      <c r="I851" s="8" t="n">
        <v>4</v>
      </c>
      <c r="J851" s="20" t="s">
        <v>259</v>
      </c>
      <c r="K851" s="8"/>
      <c r="L851" s="20" t="s">
        <v>259</v>
      </c>
      <c r="M851" s="16" t="n">
        <f aca="false">H851*Scoring!$C$5</f>
        <v>2.6</v>
      </c>
      <c r="N851" s="16" t="n">
        <f aca="false">IF(I851&gt;=5,1,IF(I851=4,0.75,IF(I851=3,0.5,IF(I851=2,0.25,0))))*Scoring!$C$8</f>
        <v>0.75</v>
      </c>
      <c r="O851" s="16" t="n">
        <f aca="false">IF(J851="Yes",0,Scoring!$C$6)</f>
        <v>2</v>
      </c>
      <c r="P851" s="16" t="n">
        <f aca="false">IF(L851="Yes",0,Scoring!$C$7)</f>
        <v>0.5</v>
      </c>
      <c r="Q851" s="8" t="n">
        <f aca="false">ROUND(SUM(M851:P851),2)</f>
        <v>5.85</v>
      </c>
      <c r="R851" s="8" t="str">
        <f aca="false">IF(Q851&gt;=Scoring!$C$10-0.000001,"Keep","Remove")</f>
        <v>Remove</v>
      </c>
      <c r="S851" s="8" t="s">
        <v>7243</v>
      </c>
    </row>
    <row r="852" customFormat="false" ht="15" hidden="false" customHeight="false" outlineLevel="0" collapsed="false">
      <c r="A852" s="8" t="s">
        <v>5734</v>
      </c>
      <c r="B852" s="8" t="s">
        <v>5735</v>
      </c>
      <c r="C852" s="8" t="s">
        <v>178</v>
      </c>
      <c r="D852" s="8" t="s">
        <v>5736</v>
      </c>
      <c r="E852" s="8"/>
      <c r="F852" s="8" t="s">
        <v>85</v>
      </c>
      <c r="G852" s="8" t="n">
        <v>2</v>
      </c>
      <c r="H852" s="13" t="n">
        <v>4</v>
      </c>
      <c r="I852" s="8" t="n">
        <v>6</v>
      </c>
      <c r="J852" s="20" t="s">
        <v>259</v>
      </c>
      <c r="K852" s="8"/>
      <c r="L852" s="20" t="s">
        <v>259</v>
      </c>
      <c r="M852" s="16" t="n">
        <f aca="false">H852*Scoring!$C$5</f>
        <v>5.2</v>
      </c>
      <c r="N852" s="16" t="n">
        <f aca="false">IF(I852&gt;=5,1,IF(I852=4,0.75,IF(I852=3,0.5,IF(I852=2,0.25,0))))*Scoring!$C$8</f>
        <v>1</v>
      </c>
      <c r="O852" s="16" t="n">
        <f aca="false">IF(J852="Yes",0,Scoring!$C$6)</f>
        <v>2</v>
      </c>
      <c r="P852" s="16" t="n">
        <f aca="false">IF(L852="Yes",0,Scoring!$C$7)</f>
        <v>0.5</v>
      </c>
      <c r="Q852" s="8" t="n">
        <f aca="false">ROUND(SUM(M852:P852),2)</f>
        <v>8.7</v>
      </c>
      <c r="R852" s="8" t="str">
        <f aca="false">IF(Q852&gt;=Scoring!$C$10-0.000001,"Keep","Remove")</f>
        <v>Keep</v>
      </c>
      <c r="S852" s="8" t="s">
        <v>166</v>
      </c>
    </row>
    <row r="853" customFormat="false" ht="15" hidden="false" customHeight="false" outlineLevel="0" collapsed="false">
      <c r="A853" s="8" t="s">
        <v>7405</v>
      </c>
      <c r="B853" s="8" t="s">
        <v>7406</v>
      </c>
      <c r="C853" s="8" t="s">
        <v>178</v>
      </c>
      <c r="D853" s="8" t="s">
        <v>5736</v>
      </c>
      <c r="E853" s="8"/>
      <c r="F853" s="8" t="s">
        <v>78</v>
      </c>
      <c r="G853" s="8" t="n">
        <v>3</v>
      </c>
      <c r="H853" s="13" t="n">
        <v>2</v>
      </c>
      <c r="I853" s="8" t="n">
        <v>5</v>
      </c>
      <c r="J853" s="20" t="s">
        <v>259</v>
      </c>
      <c r="K853" s="8"/>
      <c r="L853" s="20" t="s">
        <v>259</v>
      </c>
      <c r="M853" s="16" t="n">
        <f aca="false">H853*Scoring!$C$5</f>
        <v>2.6</v>
      </c>
      <c r="N853" s="16" t="n">
        <f aca="false">IF(I853&gt;=5,1,IF(I853=4,0.75,IF(I853=3,0.5,IF(I853=2,0.25,0))))*Scoring!$C$8</f>
        <v>1</v>
      </c>
      <c r="O853" s="16" t="n">
        <f aca="false">IF(J853="Yes",0,Scoring!$C$6)</f>
        <v>2</v>
      </c>
      <c r="P853" s="16" t="n">
        <f aca="false">IF(L853="Yes",0,Scoring!$C$7)</f>
        <v>0.5</v>
      </c>
      <c r="Q853" s="8" t="n">
        <f aca="false">ROUND(SUM(M853:P853),2)</f>
        <v>6.1</v>
      </c>
      <c r="R853" s="8" t="str">
        <f aca="false">IF(Q853&gt;=Scoring!$C$10-0.000001,"Keep","Remove")</f>
        <v>Remove</v>
      </c>
      <c r="S853" s="8" t="s">
        <v>7243</v>
      </c>
    </row>
    <row r="854" customFormat="false" ht="15" hidden="false" customHeight="false" outlineLevel="0" collapsed="false">
      <c r="A854" s="8" t="s">
        <v>7596</v>
      </c>
      <c r="B854" s="8" t="s">
        <v>7597</v>
      </c>
      <c r="C854" s="8" t="s">
        <v>178</v>
      </c>
      <c r="D854" s="8" t="s">
        <v>7598</v>
      </c>
      <c r="E854" s="8"/>
      <c r="F854" s="8" t="s">
        <v>78</v>
      </c>
      <c r="G854" s="8" t="n">
        <v>3</v>
      </c>
      <c r="H854" s="13" t="n">
        <v>2</v>
      </c>
      <c r="I854" s="8" t="n">
        <v>4</v>
      </c>
      <c r="J854" s="20" t="s">
        <v>259</v>
      </c>
      <c r="K854" s="8"/>
      <c r="L854" s="20" t="s">
        <v>259</v>
      </c>
      <c r="M854" s="16" t="n">
        <f aca="false">H854*Scoring!$C$5</f>
        <v>2.6</v>
      </c>
      <c r="N854" s="16" t="n">
        <f aca="false">IF(I854&gt;=5,1,IF(I854=4,0.75,IF(I854=3,0.5,IF(I854=2,0.25,0))))*Scoring!$C$8</f>
        <v>0.75</v>
      </c>
      <c r="O854" s="16" t="n">
        <f aca="false">IF(J854="Yes",0,Scoring!$C$6)</f>
        <v>2</v>
      </c>
      <c r="P854" s="16" t="n">
        <f aca="false">IF(L854="Yes",0,Scoring!$C$7)</f>
        <v>0.5</v>
      </c>
      <c r="Q854" s="8" t="n">
        <f aca="false">ROUND(SUM(M854:P854),2)</f>
        <v>5.85</v>
      </c>
      <c r="R854" s="8" t="str">
        <f aca="false">IF(Q854&gt;=Scoring!$C$10-0.000001,"Keep","Remove")</f>
        <v>Remove</v>
      </c>
      <c r="S854" s="8" t="s">
        <v>7243</v>
      </c>
    </row>
    <row r="855" customFormat="false" ht="15" hidden="false" customHeight="false" outlineLevel="0" collapsed="false">
      <c r="A855" s="8" t="s">
        <v>7866</v>
      </c>
      <c r="B855" s="8" t="s">
        <v>7867</v>
      </c>
      <c r="C855" s="8" t="s">
        <v>178</v>
      </c>
      <c r="D855" s="8" t="s">
        <v>7598</v>
      </c>
      <c r="E855" s="8"/>
      <c r="F855" s="8" t="s">
        <v>78</v>
      </c>
      <c r="G855" s="8" t="n">
        <v>3</v>
      </c>
      <c r="H855" s="13" t="n">
        <v>2</v>
      </c>
      <c r="I855" s="8" t="n">
        <v>5</v>
      </c>
      <c r="J855" s="20" t="s">
        <v>218</v>
      </c>
      <c r="K855" s="8" t="s">
        <v>8187</v>
      </c>
      <c r="L855" s="20" t="s">
        <v>259</v>
      </c>
      <c r="M855" s="16" t="n">
        <f aca="false">H855*Scoring!$C$5</f>
        <v>2.6</v>
      </c>
      <c r="N855" s="16" t="n">
        <f aca="false">IF(I855&gt;=5,1,IF(I855=4,0.75,IF(I855=3,0.5,IF(I855=2,0.25,0))))*Scoring!$C$8</f>
        <v>1</v>
      </c>
      <c r="O855" s="16" t="n">
        <f aca="false">IF(J855="Yes",0,Scoring!$C$6)</f>
        <v>0</v>
      </c>
      <c r="P855" s="16" t="n">
        <f aca="false">IF(L855="Yes",0,Scoring!$C$7)</f>
        <v>0.5</v>
      </c>
      <c r="Q855" s="8" t="n">
        <f aca="false">ROUND(SUM(M855:P855),2)</f>
        <v>4.1</v>
      </c>
      <c r="R855" s="8" t="str">
        <f aca="false">IF(Q855&gt;=Scoring!$C$10-0.000001,"Keep","Remove")</f>
        <v>Remove</v>
      </c>
      <c r="S855" s="8" t="s">
        <v>7868</v>
      </c>
    </row>
    <row r="856" customFormat="false" ht="15" hidden="false" customHeight="false" outlineLevel="0" collapsed="false">
      <c r="A856" s="8" t="s">
        <v>5745</v>
      </c>
      <c r="B856" s="8" t="s">
        <v>5746</v>
      </c>
      <c r="C856" s="8" t="s">
        <v>178</v>
      </c>
      <c r="D856" s="8" t="s">
        <v>5747</v>
      </c>
      <c r="E856" s="8"/>
      <c r="F856" s="8" t="s">
        <v>78</v>
      </c>
      <c r="G856" s="8" t="n">
        <v>2</v>
      </c>
      <c r="H856" s="13" t="n">
        <v>3</v>
      </c>
      <c r="I856" s="8" t="n">
        <v>5</v>
      </c>
      <c r="J856" s="20" t="s">
        <v>259</v>
      </c>
      <c r="K856" s="8"/>
      <c r="L856" s="20" t="s">
        <v>259</v>
      </c>
      <c r="M856" s="16" t="n">
        <f aca="false">H856*Scoring!$C$5</f>
        <v>3.9</v>
      </c>
      <c r="N856" s="16" t="n">
        <f aca="false">IF(I856&gt;=5,1,IF(I856=4,0.75,IF(I856=3,0.5,IF(I856=2,0.25,0))))*Scoring!$C$8</f>
        <v>1</v>
      </c>
      <c r="O856" s="16" t="n">
        <f aca="false">IF(J856="Yes",0,Scoring!$C$6)</f>
        <v>2</v>
      </c>
      <c r="P856" s="16" t="n">
        <f aca="false">IF(L856="Yes",0,Scoring!$C$7)</f>
        <v>0.5</v>
      </c>
      <c r="Q856" s="8" t="n">
        <f aca="false">ROUND(SUM(M856:P856),2)</f>
        <v>7.4</v>
      </c>
      <c r="R856" s="8" t="str">
        <f aca="false">IF(Q856&gt;=Scoring!$C$10-0.000001,"Keep","Remove")</f>
        <v>Keep</v>
      </c>
      <c r="S856" s="8" t="s">
        <v>166</v>
      </c>
    </row>
    <row r="857" customFormat="false" ht="15" hidden="false" customHeight="false" outlineLevel="0" collapsed="false">
      <c r="A857" s="8" t="s">
        <v>5753</v>
      </c>
      <c r="B857" s="8" t="s">
        <v>5754</v>
      </c>
      <c r="C857" s="8" t="s">
        <v>178</v>
      </c>
      <c r="D857" s="8" t="s">
        <v>5747</v>
      </c>
      <c r="E857" s="8"/>
      <c r="F857" s="8" t="s">
        <v>78</v>
      </c>
      <c r="G857" s="8" t="n">
        <v>2</v>
      </c>
      <c r="H857" s="13" t="n">
        <v>3</v>
      </c>
      <c r="I857" s="8" t="n">
        <v>4</v>
      </c>
      <c r="J857" s="20" t="s">
        <v>259</v>
      </c>
      <c r="K857" s="8"/>
      <c r="L857" s="20" t="s">
        <v>259</v>
      </c>
      <c r="M857" s="16" t="n">
        <f aca="false">H857*Scoring!$C$5</f>
        <v>3.9</v>
      </c>
      <c r="N857" s="16" t="n">
        <f aca="false">IF(I857&gt;=5,1,IF(I857=4,0.75,IF(I857=3,0.5,IF(I857=2,0.25,0))))*Scoring!$C$8</f>
        <v>0.75</v>
      </c>
      <c r="O857" s="16" t="n">
        <f aca="false">IF(J857="Yes",0,Scoring!$C$6)</f>
        <v>2</v>
      </c>
      <c r="P857" s="16" t="n">
        <f aca="false">IF(L857="Yes",0,Scoring!$C$7)</f>
        <v>0.5</v>
      </c>
      <c r="Q857" s="8" t="n">
        <f aca="false">ROUND(SUM(M857:P857),2)</f>
        <v>7.15</v>
      </c>
      <c r="R857" s="8" t="str">
        <f aca="false">IF(Q857&gt;=Scoring!$C$10-0.000001,"Keep","Remove")</f>
        <v>Keep</v>
      </c>
      <c r="S857" s="8" t="s">
        <v>166</v>
      </c>
    </row>
    <row r="858" customFormat="false" ht="15" hidden="false" customHeight="false" outlineLevel="0" collapsed="false">
      <c r="A858" s="8" t="s">
        <v>7407</v>
      </c>
      <c r="B858" s="8" t="s">
        <v>7408</v>
      </c>
      <c r="C858" s="8" t="s">
        <v>178</v>
      </c>
      <c r="D858" s="8" t="s">
        <v>5747</v>
      </c>
      <c r="E858" s="8"/>
      <c r="F858" s="8" t="s">
        <v>78</v>
      </c>
      <c r="G858" s="8" t="n">
        <v>2</v>
      </c>
      <c r="H858" s="13" t="n">
        <v>2</v>
      </c>
      <c r="I858" s="8" t="n">
        <v>5</v>
      </c>
      <c r="J858" s="20" t="s">
        <v>259</v>
      </c>
      <c r="K858" s="8"/>
      <c r="L858" s="20" t="s">
        <v>259</v>
      </c>
      <c r="M858" s="16" t="n">
        <f aca="false">H858*Scoring!$C$5</f>
        <v>2.6</v>
      </c>
      <c r="N858" s="16" t="n">
        <f aca="false">IF(I858&gt;=5,1,IF(I858=4,0.75,IF(I858=3,0.5,IF(I858=2,0.25,0))))*Scoring!$C$8</f>
        <v>1</v>
      </c>
      <c r="O858" s="16" t="n">
        <f aca="false">IF(J858="Yes",0,Scoring!$C$6)</f>
        <v>2</v>
      </c>
      <c r="P858" s="16" t="n">
        <f aca="false">IF(L858="Yes",0,Scoring!$C$7)</f>
        <v>0.5</v>
      </c>
      <c r="Q858" s="8" t="n">
        <f aca="false">ROUND(SUM(M858:P858),2)</f>
        <v>6.1</v>
      </c>
      <c r="R858" s="8" t="str">
        <f aca="false">IF(Q858&gt;=Scoring!$C$10-0.000001,"Keep","Remove")</f>
        <v>Remove</v>
      </c>
      <c r="S858" s="8" t="s">
        <v>7243</v>
      </c>
    </row>
    <row r="859" customFormat="false" ht="15" hidden="false" customHeight="false" outlineLevel="0" collapsed="false">
      <c r="A859" s="8" t="s">
        <v>7599</v>
      </c>
      <c r="B859" s="8" t="s">
        <v>7600</v>
      </c>
      <c r="C859" s="8" t="s">
        <v>178</v>
      </c>
      <c r="D859" s="8" t="s">
        <v>5747</v>
      </c>
      <c r="E859" s="8"/>
      <c r="F859" s="8" t="s">
        <v>85</v>
      </c>
      <c r="G859" s="8" t="n">
        <v>2</v>
      </c>
      <c r="H859" s="13" t="n">
        <v>2</v>
      </c>
      <c r="I859" s="8" t="n">
        <v>4</v>
      </c>
      <c r="J859" s="20" t="s">
        <v>259</v>
      </c>
      <c r="K859" s="8"/>
      <c r="L859" s="20" t="s">
        <v>259</v>
      </c>
      <c r="M859" s="16" t="n">
        <f aca="false">H859*Scoring!$C$5</f>
        <v>2.6</v>
      </c>
      <c r="N859" s="16" t="n">
        <f aca="false">IF(I859&gt;=5,1,IF(I859=4,0.75,IF(I859=3,0.5,IF(I859=2,0.25,0))))*Scoring!$C$8</f>
        <v>0.75</v>
      </c>
      <c r="O859" s="16" t="n">
        <f aca="false">IF(J859="Yes",0,Scoring!$C$6)</f>
        <v>2</v>
      </c>
      <c r="P859" s="16" t="n">
        <f aca="false">IF(L859="Yes",0,Scoring!$C$7)</f>
        <v>0.5</v>
      </c>
      <c r="Q859" s="8" t="n">
        <f aca="false">ROUND(SUM(M859:P859),2)</f>
        <v>5.85</v>
      </c>
      <c r="R859" s="8" t="str">
        <f aca="false">IF(Q859&gt;=Scoring!$C$10-0.000001,"Keep","Remove")</f>
        <v>Remove</v>
      </c>
      <c r="S859" s="8" t="s">
        <v>7243</v>
      </c>
    </row>
    <row r="860" customFormat="false" ht="15" hidden="false" customHeight="false" outlineLevel="0" collapsed="false">
      <c r="A860" s="8" t="s">
        <v>7601</v>
      </c>
      <c r="B860" s="8" t="s">
        <v>7602</v>
      </c>
      <c r="C860" s="8" t="s">
        <v>178</v>
      </c>
      <c r="D860" s="8" t="s">
        <v>5747</v>
      </c>
      <c r="E860" s="8"/>
      <c r="F860" s="8" t="s">
        <v>78</v>
      </c>
      <c r="G860" s="8" t="n">
        <v>3</v>
      </c>
      <c r="H860" s="13" t="n">
        <v>2</v>
      </c>
      <c r="I860" s="8" t="n">
        <v>4</v>
      </c>
      <c r="J860" s="20" t="s">
        <v>259</v>
      </c>
      <c r="K860" s="8"/>
      <c r="L860" s="20" t="s">
        <v>259</v>
      </c>
      <c r="M860" s="16" t="n">
        <f aca="false">H860*Scoring!$C$5</f>
        <v>2.6</v>
      </c>
      <c r="N860" s="16" t="n">
        <f aca="false">IF(I860&gt;=5,1,IF(I860=4,0.75,IF(I860=3,0.5,IF(I860=2,0.25,0))))*Scoring!$C$8</f>
        <v>0.75</v>
      </c>
      <c r="O860" s="16" t="n">
        <f aca="false">IF(J860="Yes",0,Scoring!$C$6)</f>
        <v>2</v>
      </c>
      <c r="P860" s="16" t="n">
        <f aca="false">IF(L860="Yes",0,Scoring!$C$7)</f>
        <v>0.5</v>
      </c>
      <c r="Q860" s="8" t="n">
        <f aca="false">ROUND(SUM(M860:P860),2)</f>
        <v>5.85</v>
      </c>
      <c r="R860" s="8" t="str">
        <f aca="false">IF(Q860&gt;=Scoring!$C$10-0.000001,"Keep","Remove")</f>
        <v>Remove</v>
      </c>
      <c r="S860" s="8" t="s">
        <v>7243</v>
      </c>
    </row>
    <row r="861" customFormat="false" ht="15" hidden="false" customHeight="false" outlineLevel="0" collapsed="false">
      <c r="A861" s="8" t="s">
        <v>7409</v>
      </c>
      <c r="B861" s="8" t="s">
        <v>7410</v>
      </c>
      <c r="C861" s="8" t="s">
        <v>178</v>
      </c>
      <c r="D861" s="8" t="s">
        <v>5747</v>
      </c>
      <c r="E861" s="8"/>
      <c r="F861" s="8" t="s">
        <v>83</v>
      </c>
      <c r="G861" s="8" t="n">
        <v>3</v>
      </c>
      <c r="H861" s="13" t="n">
        <v>2</v>
      </c>
      <c r="I861" s="8" t="n">
        <v>5</v>
      </c>
      <c r="J861" s="20" t="s">
        <v>259</v>
      </c>
      <c r="K861" s="8"/>
      <c r="L861" s="20" t="s">
        <v>259</v>
      </c>
      <c r="M861" s="16" t="n">
        <f aca="false">H861*Scoring!$C$5</f>
        <v>2.6</v>
      </c>
      <c r="N861" s="16" t="n">
        <f aca="false">IF(I861&gt;=5,1,IF(I861=4,0.75,IF(I861=3,0.5,IF(I861=2,0.25,0))))*Scoring!$C$8</f>
        <v>1</v>
      </c>
      <c r="O861" s="16" t="n">
        <f aca="false">IF(J861="Yes",0,Scoring!$C$6)</f>
        <v>2</v>
      </c>
      <c r="P861" s="16" t="n">
        <f aca="false">IF(L861="Yes",0,Scoring!$C$7)</f>
        <v>0.5</v>
      </c>
      <c r="Q861" s="8" t="n">
        <f aca="false">ROUND(SUM(M861:P861),2)</f>
        <v>6.1</v>
      </c>
      <c r="R861" s="8" t="str">
        <f aca="false">IF(Q861&gt;=Scoring!$C$10-0.000001,"Keep","Remove")</f>
        <v>Remove</v>
      </c>
      <c r="S861" s="8" t="s">
        <v>7243</v>
      </c>
    </row>
    <row r="862" customFormat="false" ht="15" hidden="false" customHeight="false" outlineLevel="0" collapsed="false">
      <c r="A862" s="8" t="s">
        <v>5763</v>
      </c>
      <c r="B862" s="8" t="s">
        <v>5764</v>
      </c>
      <c r="C862" s="8" t="s">
        <v>178</v>
      </c>
      <c r="D862" s="8" t="s">
        <v>5621</v>
      </c>
      <c r="E862" s="8"/>
      <c r="F862" s="8" t="s">
        <v>78</v>
      </c>
      <c r="G862" s="8" t="n">
        <v>1</v>
      </c>
      <c r="H862" s="13" t="n">
        <v>3</v>
      </c>
      <c r="I862" s="8" t="n">
        <v>6</v>
      </c>
      <c r="J862" s="20" t="s">
        <v>259</v>
      </c>
      <c r="K862" s="8"/>
      <c r="L862" s="20" t="s">
        <v>259</v>
      </c>
      <c r="M862" s="16" t="n">
        <f aca="false">H862*Scoring!$C$5</f>
        <v>3.9</v>
      </c>
      <c r="N862" s="16" t="n">
        <f aca="false">IF(I862&gt;=5,1,IF(I862=4,0.75,IF(I862=3,0.5,IF(I862=2,0.25,0))))*Scoring!$C$8</f>
        <v>1</v>
      </c>
      <c r="O862" s="16" t="n">
        <f aca="false">IF(J862="Yes",0,Scoring!$C$6)</f>
        <v>2</v>
      </c>
      <c r="P862" s="16" t="n">
        <f aca="false">IF(L862="Yes",0,Scoring!$C$7)</f>
        <v>0.5</v>
      </c>
      <c r="Q862" s="8" t="n">
        <f aca="false">ROUND(SUM(M862:P862),2)</f>
        <v>7.4</v>
      </c>
      <c r="R862" s="8" t="str">
        <f aca="false">IF(Q862&gt;=Scoring!$C$10-0.000001,"Keep","Remove")</f>
        <v>Keep</v>
      </c>
      <c r="S862" s="8" t="s">
        <v>166</v>
      </c>
    </row>
    <row r="863" customFormat="false" ht="15" hidden="false" customHeight="false" outlineLevel="0" collapsed="false">
      <c r="A863" s="8" t="s">
        <v>5772</v>
      </c>
      <c r="B863" s="8" t="s">
        <v>5773</v>
      </c>
      <c r="C863" s="8" t="s">
        <v>178</v>
      </c>
      <c r="D863" s="8" t="s">
        <v>5621</v>
      </c>
      <c r="E863" s="8"/>
      <c r="F863" s="8" t="s">
        <v>82</v>
      </c>
      <c r="G863" s="8" t="n">
        <v>2</v>
      </c>
      <c r="H863" s="13" t="n">
        <v>3</v>
      </c>
      <c r="I863" s="8" t="n">
        <v>2</v>
      </c>
      <c r="J863" s="20" t="s">
        <v>259</v>
      </c>
      <c r="K863" s="8"/>
      <c r="L863" s="20" t="s">
        <v>259</v>
      </c>
      <c r="M863" s="16" t="n">
        <f aca="false">H863*Scoring!$C$5</f>
        <v>3.9</v>
      </c>
      <c r="N863" s="16" t="n">
        <f aca="false">IF(I863&gt;=5,1,IF(I863=4,0.75,IF(I863=3,0.5,IF(I863=2,0.25,0))))*Scoring!$C$8</f>
        <v>0.25</v>
      </c>
      <c r="O863" s="16" t="n">
        <f aca="false">IF(J863="Yes",0,Scoring!$C$6)</f>
        <v>2</v>
      </c>
      <c r="P863" s="16" t="n">
        <f aca="false">IF(L863="Yes",0,Scoring!$C$7)</f>
        <v>0.5</v>
      </c>
      <c r="Q863" s="8" t="n">
        <f aca="false">ROUND(SUM(M863:P863),2)</f>
        <v>6.65</v>
      </c>
      <c r="R863" s="8" t="str">
        <f aca="false">IF(Q863&gt;=Scoring!$C$10-0.000001,"Keep","Remove")</f>
        <v>Keep</v>
      </c>
      <c r="S863" s="8" t="s">
        <v>166</v>
      </c>
    </row>
    <row r="864" customFormat="false" ht="15" hidden="false" customHeight="false" outlineLevel="0" collapsed="false">
      <c r="A864" s="8" t="s">
        <v>7735</v>
      </c>
      <c r="B864" s="8" t="s">
        <v>7736</v>
      </c>
      <c r="C864" s="8" t="s">
        <v>178</v>
      </c>
      <c r="D864" s="8" t="s">
        <v>5621</v>
      </c>
      <c r="E864" s="8"/>
      <c r="F864" s="8" t="s">
        <v>83</v>
      </c>
      <c r="G864" s="8" t="n">
        <v>3</v>
      </c>
      <c r="H864" s="13" t="n">
        <v>2</v>
      </c>
      <c r="I864" s="8" t="n">
        <v>3</v>
      </c>
      <c r="J864" s="20" t="s">
        <v>259</v>
      </c>
      <c r="K864" s="8"/>
      <c r="L864" s="20" t="s">
        <v>259</v>
      </c>
      <c r="M864" s="16" t="n">
        <f aca="false">H864*Scoring!$C$5</f>
        <v>2.6</v>
      </c>
      <c r="N864" s="16" t="n">
        <f aca="false">IF(I864&gt;=5,1,IF(I864=4,0.75,IF(I864=3,0.5,IF(I864=2,0.25,0))))*Scoring!$C$8</f>
        <v>0.5</v>
      </c>
      <c r="O864" s="16" t="n">
        <f aca="false">IF(J864="Yes",0,Scoring!$C$6)</f>
        <v>2</v>
      </c>
      <c r="P864" s="16" t="n">
        <f aca="false">IF(L864="Yes",0,Scoring!$C$7)</f>
        <v>0.5</v>
      </c>
      <c r="Q864" s="8" t="n">
        <f aca="false">ROUND(SUM(M864:P864),2)</f>
        <v>5.6</v>
      </c>
      <c r="R864" s="8" t="str">
        <f aca="false">IF(Q864&gt;=Scoring!$C$10-0.000001,"Keep","Remove")</f>
        <v>Remove</v>
      </c>
      <c r="S864" s="8" t="s">
        <v>7243</v>
      </c>
    </row>
    <row r="865" customFormat="false" ht="15" hidden="false" customHeight="false" outlineLevel="0" collapsed="false">
      <c r="A865" s="8" t="s">
        <v>7411</v>
      </c>
      <c r="B865" s="8" t="s">
        <v>7412</v>
      </c>
      <c r="C865" s="8" t="s">
        <v>178</v>
      </c>
      <c r="D865" s="8" t="s">
        <v>5621</v>
      </c>
      <c r="E865" s="8"/>
      <c r="F865" s="8" t="s">
        <v>80</v>
      </c>
      <c r="G865" s="8" t="n">
        <v>3</v>
      </c>
      <c r="H865" s="13" t="n">
        <v>2</v>
      </c>
      <c r="I865" s="8" t="n">
        <v>5</v>
      </c>
      <c r="J865" s="20" t="s">
        <v>259</v>
      </c>
      <c r="K865" s="8"/>
      <c r="L865" s="20" t="s">
        <v>259</v>
      </c>
      <c r="M865" s="16" t="n">
        <f aca="false">H865*Scoring!$C$5</f>
        <v>2.6</v>
      </c>
      <c r="N865" s="16" t="n">
        <f aca="false">IF(I865&gt;=5,1,IF(I865=4,0.75,IF(I865=3,0.5,IF(I865=2,0.25,0))))*Scoring!$C$8</f>
        <v>1</v>
      </c>
      <c r="O865" s="16" t="n">
        <f aca="false">IF(J865="Yes",0,Scoring!$C$6)</f>
        <v>2</v>
      </c>
      <c r="P865" s="16" t="n">
        <f aca="false">IF(L865="Yes",0,Scoring!$C$7)</f>
        <v>0.5</v>
      </c>
      <c r="Q865" s="8" t="n">
        <f aca="false">ROUND(SUM(M865:P865),2)</f>
        <v>6.1</v>
      </c>
      <c r="R865" s="8" t="str">
        <f aca="false">IF(Q865&gt;=Scoring!$C$10-0.000001,"Keep","Remove")</f>
        <v>Remove</v>
      </c>
      <c r="S865" s="8" t="s">
        <v>7243</v>
      </c>
    </row>
    <row r="866" customFormat="false" ht="15" hidden="false" customHeight="false" outlineLevel="0" collapsed="false">
      <c r="A866" s="8" t="s">
        <v>5781</v>
      </c>
      <c r="B866" s="8" t="s">
        <v>5782</v>
      </c>
      <c r="C866" s="8" t="s">
        <v>178</v>
      </c>
      <c r="D866" s="8" t="s">
        <v>5783</v>
      </c>
      <c r="E866" s="8"/>
      <c r="F866" s="8" t="s">
        <v>78</v>
      </c>
      <c r="G866" s="8" t="n">
        <v>1</v>
      </c>
      <c r="H866" s="13" t="n">
        <v>4</v>
      </c>
      <c r="I866" s="8" t="n">
        <v>5</v>
      </c>
      <c r="J866" s="20" t="s">
        <v>259</v>
      </c>
      <c r="K866" s="8"/>
      <c r="L866" s="20" t="s">
        <v>259</v>
      </c>
      <c r="M866" s="16" t="n">
        <f aca="false">H866*Scoring!$C$5</f>
        <v>5.2</v>
      </c>
      <c r="N866" s="16" t="n">
        <f aca="false">IF(I866&gt;=5,1,IF(I866=4,0.75,IF(I866=3,0.5,IF(I866=2,0.25,0))))*Scoring!$C$8</f>
        <v>1</v>
      </c>
      <c r="O866" s="16" t="n">
        <f aca="false">IF(J866="Yes",0,Scoring!$C$6)</f>
        <v>2</v>
      </c>
      <c r="P866" s="16" t="n">
        <f aca="false">IF(L866="Yes",0,Scoring!$C$7)</f>
        <v>0.5</v>
      </c>
      <c r="Q866" s="8" t="n">
        <f aca="false">ROUND(SUM(M866:P866),2)</f>
        <v>8.7</v>
      </c>
      <c r="R866" s="8" t="str">
        <f aca="false">IF(Q866&gt;=Scoring!$C$10-0.000001,"Keep","Remove")</f>
        <v>Keep</v>
      </c>
      <c r="S866" s="8" t="s">
        <v>166</v>
      </c>
    </row>
    <row r="867" customFormat="false" ht="15" hidden="false" customHeight="false" outlineLevel="0" collapsed="false">
      <c r="A867" s="8" t="s">
        <v>5791</v>
      </c>
      <c r="B867" s="8" t="s">
        <v>5792</v>
      </c>
      <c r="C867" s="8" t="s">
        <v>178</v>
      </c>
      <c r="D867" s="8" t="s">
        <v>5783</v>
      </c>
      <c r="E867" s="8"/>
      <c r="F867" s="8" t="s">
        <v>78</v>
      </c>
      <c r="G867" s="8" t="n">
        <v>1</v>
      </c>
      <c r="H867" s="13" t="n">
        <v>4</v>
      </c>
      <c r="I867" s="8" t="n">
        <v>5</v>
      </c>
      <c r="J867" s="20" t="s">
        <v>259</v>
      </c>
      <c r="K867" s="8"/>
      <c r="L867" s="20" t="s">
        <v>259</v>
      </c>
      <c r="M867" s="16" t="n">
        <f aca="false">H867*Scoring!$C$5</f>
        <v>5.2</v>
      </c>
      <c r="N867" s="16" t="n">
        <f aca="false">IF(I867&gt;=5,1,IF(I867=4,0.75,IF(I867=3,0.5,IF(I867=2,0.25,0))))*Scoring!$C$8</f>
        <v>1</v>
      </c>
      <c r="O867" s="16" t="n">
        <f aca="false">IF(J867="Yes",0,Scoring!$C$6)</f>
        <v>2</v>
      </c>
      <c r="P867" s="16" t="n">
        <f aca="false">IF(L867="Yes",0,Scoring!$C$7)</f>
        <v>0.5</v>
      </c>
      <c r="Q867" s="8" t="n">
        <f aca="false">ROUND(SUM(M867:P867),2)</f>
        <v>8.7</v>
      </c>
      <c r="R867" s="8" t="str">
        <f aca="false">IF(Q867&gt;=Scoring!$C$10-0.000001,"Keep","Remove")</f>
        <v>Keep</v>
      </c>
      <c r="S867" s="8" t="s">
        <v>166</v>
      </c>
    </row>
    <row r="868" customFormat="false" ht="15" hidden="false" customHeight="false" outlineLevel="0" collapsed="false">
      <c r="A868" s="8" t="s">
        <v>5801</v>
      </c>
      <c r="B868" s="8" t="s">
        <v>5802</v>
      </c>
      <c r="C868" s="8" t="s">
        <v>178</v>
      </c>
      <c r="D868" s="8" t="s">
        <v>5783</v>
      </c>
      <c r="E868" s="8"/>
      <c r="F868" s="8" t="s">
        <v>83</v>
      </c>
      <c r="G868" s="8" t="n">
        <v>2</v>
      </c>
      <c r="H868" s="13" t="n">
        <v>3</v>
      </c>
      <c r="I868" s="8" t="n">
        <v>6</v>
      </c>
      <c r="J868" s="20" t="s">
        <v>259</v>
      </c>
      <c r="K868" s="8"/>
      <c r="L868" s="20" t="s">
        <v>259</v>
      </c>
      <c r="M868" s="16" t="n">
        <f aca="false">H868*Scoring!$C$5</f>
        <v>3.9</v>
      </c>
      <c r="N868" s="16" t="n">
        <f aca="false">IF(I868&gt;=5,1,IF(I868=4,0.75,IF(I868=3,0.5,IF(I868=2,0.25,0))))*Scoring!$C$8</f>
        <v>1</v>
      </c>
      <c r="O868" s="16" t="n">
        <f aca="false">IF(J868="Yes",0,Scoring!$C$6)</f>
        <v>2</v>
      </c>
      <c r="P868" s="16" t="n">
        <f aca="false">IF(L868="Yes",0,Scoring!$C$7)</f>
        <v>0.5</v>
      </c>
      <c r="Q868" s="8" t="n">
        <f aca="false">ROUND(SUM(M868:P868),2)</f>
        <v>7.4</v>
      </c>
      <c r="R868" s="8" t="str">
        <f aca="false">IF(Q868&gt;=Scoring!$C$10-0.000001,"Keep","Remove")</f>
        <v>Keep</v>
      </c>
      <c r="S868" s="8" t="s">
        <v>166</v>
      </c>
    </row>
    <row r="869" customFormat="false" ht="15" hidden="false" customHeight="false" outlineLevel="0" collapsed="false">
      <c r="A869" s="8" t="s">
        <v>5807</v>
      </c>
      <c r="B869" s="8" t="s">
        <v>5808</v>
      </c>
      <c r="C869" s="8" t="s">
        <v>178</v>
      </c>
      <c r="D869" s="8" t="s">
        <v>5783</v>
      </c>
      <c r="E869" s="8"/>
      <c r="F869" s="8" t="s">
        <v>78</v>
      </c>
      <c r="G869" s="8" t="n">
        <v>2</v>
      </c>
      <c r="H869" s="13" t="n">
        <v>3</v>
      </c>
      <c r="I869" s="8" t="n">
        <v>5</v>
      </c>
      <c r="J869" s="20" t="s">
        <v>259</v>
      </c>
      <c r="K869" s="8"/>
      <c r="L869" s="20" t="s">
        <v>259</v>
      </c>
      <c r="M869" s="16" t="n">
        <f aca="false">H869*Scoring!$C$5</f>
        <v>3.9</v>
      </c>
      <c r="N869" s="16" t="n">
        <f aca="false">IF(I869&gt;=5,1,IF(I869=4,0.75,IF(I869=3,0.5,IF(I869=2,0.25,0))))*Scoring!$C$8</f>
        <v>1</v>
      </c>
      <c r="O869" s="16" t="n">
        <f aca="false">IF(J869="Yes",0,Scoring!$C$6)</f>
        <v>2</v>
      </c>
      <c r="P869" s="16" t="n">
        <f aca="false">IF(L869="Yes",0,Scoring!$C$7)</f>
        <v>0.5</v>
      </c>
      <c r="Q869" s="8" t="n">
        <f aca="false">ROUND(SUM(M869:P869),2)</f>
        <v>7.4</v>
      </c>
      <c r="R869" s="8" t="str">
        <f aca="false">IF(Q869&gt;=Scoring!$C$10-0.000001,"Keep","Remove")</f>
        <v>Keep</v>
      </c>
      <c r="S869" s="8" t="s">
        <v>166</v>
      </c>
    </row>
    <row r="870" customFormat="false" ht="15" hidden="false" customHeight="false" outlineLevel="0" collapsed="false">
      <c r="A870" s="8" t="s">
        <v>7413</v>
      </c>
      <c r="B870" s="8" t="s">
        <v>7414</v>
      </c>
      <c r="C870" s="8" t="s">
        <v>178</v>
      </c>
      <c r="D870" s="8" t="s">
        <v>5783</v>
      </c>
      <c r="E870" s="8"/>
      <c r="F870" s="8" t="s">
        <v>87</v>
      </c>
      <c r="G870" s="8" t="n">
        <v>3</v>
      </c>
      <c r="H870" s="13" t="n">
        <v>2</v>
      </c>
      <c r="I870" s="8" t="n">
        <v>5</v>
      </c>
      <c r="J870" s="20" t="s">
        <v>259</v>
      </c>
      <c r="K870" s="8"/>
      <c r="L870" s="20" t="s">
        <v>259</v>
      </c>
      <c r="M870" s="16" t="n">
        <f aca="false">H870*Scoring!$C$5</f>
        <v>2.6</v>
      </c>
      <c r="N870" s="16" t="n">
        <f aca="false">IF(I870&gt;=5,1,IF(I870=4,0.75,IF(I870=3,0.5,IF(I870=2,0.25,0))))*Scoring!$C$8</f>
        <v>1</v>
      </c>
      <c r="O870" s="16" t="n">
        <f aca="false">IF(J870="Yes",0,Scoring!$C$6)</f>
        <v>2</v>
      </c>
      <c r="P870" s="16" t="n">
        <f aca="false">IF(L870="Yes",0,Scoring!$C$7)</f>
        <v>0.5</v>
      </c>
      <c r="Q870" s="8" t="n">
        <f aca="false">ROUND(SUM(M870:P870),2)</f>
        <v>6.1</v>
      </c>
      <c r="R870" s="8" t="str">
        <f aca="false">IF(Q870&gt;=Scoring!$C$10-0.000001,"Keep","Remove")</f>
        <v>Remove</v>
      </c>
      <c r="S870" s="8" t="s">
        <v>7243</v>
      </c>
    </row>
    <row r="871" customFormat="false" ht="15" hidden="false" customHeight="false" outlineLevel="0" collapsed="false">
      <c r="A871" s="8" t="s">
        <v>7415</v>
      </c>
      <c r="B871" s="8" t="s">
        <v>7416</v>
      </c>
      <c r="C871" s="8" t="s">
        <v>178</v>
      </c>
      <c r="D871" s="8" t="s">
        <v>7417</v>
      </c>
      <c r="E871" s="8"/>
      <c r="F871" s="8" t="s">
        <v>79</v>
      </c>
      <c r="G871" s="8" t="n">
        <v>3</v>
      </c>
      <c r="H871" s="13" t="n">
        <v>2</v>
      </c>
      <c r="I871" s="8" t="n">
        <v>5</v>
      </c>
      <c r="J871" s="20" t="s">
        <v>259</v>
      </c>
      <c r="K871" s="8"/>
      <c r="L871" s="20" t="s">
        <v>259</v>
      </c>
      <c r="M871" s="16" t="n">
        <f aca="false">H871*Scoring!$C$5</f>
        <v>2.6</v>
      </c>
      <c r="N871" s="16" t="n">
        <f aca="false">IF(I871&gt;=5,1,IF(I871=4,0.75,IF(I871=3,0.5,IF(I871=2,0.25,0))))*Scoring!$C$8</f>
        <v>1</v>
      </c>
      <c r="O871" s="16" t="n">
        <f aca="false">IF(J871="Yes",0,Scoring!$C$6)</f>
        <v>2</v>
      </c>
      <c r="P871" s="16" t="n">
        <f aca="false">IF(L871="Yes",0,Scoring!$C$7)</f>
        <v>0.5</v>
      </c>
      <c r="Q871" s="8" t="n">
        <f aca="false">ROUND(SUM(M871:P871),2)</f>
        <v>6.1</v>
      </c>
      <c r="R871" s="8" t="str">
        <f aca="false">IF(Q871&gt;=Scoring!$C$10-0.000001,"Keep","Remove")</f>
        <v>Remove</v>
      </c>
      <c r="S871" s="8" t="s">
        <v>7243</v>
      </c>
    </row>
    <row r="872" customFormat="false" ht="15" hidden="false" customHeight="false" outlineLevel="0" collapsed="false">
      <c r="A872" s="8" t="s">
        <v>5815</v>
      </c>
      <c r="B872" s="8" t="s">
        <v>5816</v>
      </c>
      <c r="C872" s="8" t="s">
        <v>178</v>
      </c>
      <c r="D872" s="8" t="s">
        <v>5817</v>
      </c>
      <c r="E872" s="8"/>
      <c r="F872" s="8" t="s">
        <v>78</v>
      </c>
      <c r="G872" s="8" t="n">
        <v>1</v>
      </c>
      <c r="H872" s="13" t="n">
        <v>3</v>
      </c>
      <c r="I872" s="8" t="n">
        <v>5</v>
      </c>
      <c r="J872" s="20" t="s">
        <v>259</v>
      </c>
      <c r="K872" s="8"/>
      <c r="L872" s="20" t="s">
        <v>259</v>
      </c>
      <c r="M872" s="16" t="n">
        <f aca="false">H872*Scoring!$C$5</f>
        <v>3.9</v>
      </c>
      <c r="N872" s="16" t="n">
        <f aca="false">IF(I872&gt;=5,1,IF(I872=4,0.75,IF(I872=3,0.5,IF(I872=2,0.25,0))))*Scoring!$C$8</f>
        <v>1</v>
      </c>
      <c r="O872" s="16" t="n">
        <f aca="false">IF(J872="Yes",0,Scoring!$C$6)</f>
        <v>2</v>
      </c>
      <c r="P872" s="16" t="n">
        <f aca="false">IF(L872="Yes",0,Scoring!$C$7)</f>
        <v>0.5</v>
      </c>
      <c r="Q872" s="8" t="n">
        <f aca="false">ROUND(SUM(M872:P872),2)</f>
        <v>7.4</v>
      </c>
      <c r="R872" s="8" t="str">
        <f aca="false">IF(Q872&gt;=Scoring!$C$10-0.000001,"Keep","Remove")</f>
        <v>Keep</v>
      </c>
      <c r="S872" s="8" t="s">
        <v>166</v>
      </c>
    </row>
    <row r="873" customFormat="false" ht="15" hidden="false" customHeight="false" outlineLevel="0" collapsed="false">
      <c r="A873" s="8" t="s">
        <v>7737</v>
      </c>
      <c r="B873" s="8" t="s">
        <v>7738</v>
      </c>
      <c r="C873" s="8" t="s">
        <v>178</v>
      </c>
      <c r="D873" s="8" t="s">
        <v>5817</v>
      </c>
      <c r="E873" s="8"/>
      <c r="F873" s="8" t="s">
        <v>78</v>
      </c>
      <c r="G873" s="8" t="n">
        <v>3</v>
      </c>
      <c r="H873" s="13" t="n">
        <v>2</v>
      </c>
      <c r="I873" s="8" t="n">
        <v>3</v>
      </c>
      <c r="J873" s="20" t="s">
        <v>259</v>
      </c>
      <c r="K873" s="8"/>
      <c r="L873" s="20" t="s">
        <v>259</v>
      </c>
      <c r="M873" s="16" t="n">
        <f aca="false">H873*Scoring!$C$5</f>
        <v>2.6</v>
      </c>
      <c r="N873" s="16" t="n">
        <f aca="false">IF(I873&gt;=5,1,IF(I873=4,0.75,IF(I873=3,0.5,IF(I873=2,0.25,0))))*Scoring!$C$8</f>
        <v>0.5</v>
      </c>
      <c r="O873" s="16" t="n">
        <f aca="false">IF(J873="Yes",0,Scoring!$C$6)</f>
        <v>2</v>
      </c>
      <c r="P873" s="16" t="n">
        <f aca="false">IF(L873="Yes",0,Scoring!$C$7)</f>
        <v>0.5</v>
      </c>
      <c r="Q873" s="8" t="n">
        <f aca="false">ROUND(SUM(M873:P873),2)</f>
        <v>5.6</v>
      </c>
      <c r="R873" s="8" t="str">
        <f aca="false">IF(Q873&gt;=Scoring!$C$10-0.000001,"Keep","Remove")</f>
        <v>Remove</v>
      </c>
      <c r="S873" s="8" t="s">
        <v>7243</v>
      </c>
    </row>
    <row r="874" customFormat="false" ht="15" hidden="false" customHeight="false" outlineLevel="0" collapsed="false">
      <c r="A874" s="8" t="s">
        <v>7603</v>
      </c>
      <c r="B874" s="8" t="s">
        <v>7604</v>
      </c>
      <c r="C874" s="8" t="s">
        <v>178</v>
      </c>
      <c r="D874" s="8" t="s">
        <v>5817</v>
      </c>
      <c r="E874" s="8"/>
      <c r="F874" s="8" t="s">
        <v>78</v>
      </c>
      <c r="G874" s="8" t="n">
        <v>3</v>
      </c>
      <c r="H874" s="13" t="n">
        <v>2</v>
      </c>
      <c r="I874" s="8" t="n">
        <v>4</v>
      </c>
      <c r="J874" s="20" t="s">
        <v>259</v>
      </c>
      <c r="K874" s="8"/>
      <c r="L874" s="20" t="s">
        <v>259</v>
      </c>
      <c r="M874" s="16" t="n">
        <f aca="false">H874*Scoring!$C$5</f>
        <v>2.6</v>
      </c>
      <c r="N874" s="16" t="n">
        <f aca="false">IF(I874&gt;=5,1,IF(I874=4,0.75,IF(I874=3,0.5,IF(I874=2,0.25,0))))*Scoring!$C$8</f>
        <v>0.75</v>
      </c>
      <c r="O874" s="16" t="n">
        <f aca="false">IF(J874="Yes",0,Scoring!$C$6)</f>
        <v>2</v>
      </c>
      <c r="P874" s="16" t="n">
        <f aca="false">IF(L874="Yes",0,Scoring!$C$7)</f>
        <v>0.5</v>
      </c>
      <c r="Q874" s="8" t="n">
        <f aca="false">ROUND(SUM(M874:P874),2)</f>
        <v>5.85</v>
      </c>
      <c r="R874" s="8" t="str">
        <f aca="false">IF(Q874&gt;=Scoring!$C$10-0.000001,"Keep","Remove")</f>
        <v>Remove</v>
      </c>
      <c r="S874" s="8" t="s">
        <v>7243</v>
      </c>
    </row>
    <row r="875" customFormat="false" ht="15" hidden="false" customHeight="false" outlineLevel="0" collapsed="false">
      <c r="A875" s="8" t="s">
        <v>5827</v>
      </c>
      <c r="B875" s="8" t="s">
        <v>5828</v>
      </c>
      <c r="C875" s="8" t="s">
        <v>178</v>
      </c>
      <c r="D875" s="8" t="s">
        <v>5829</v>
      </c>
      <c r="E875" s="8"/>
      <c r="F875" s="8" t="s">
        <v>85</v>
      </c>
      <c r="G875" s="8" t="n">
        <v>1</v>
      </c>
      <c r="H875" s="13" t="n">
        <v>3</v>
      </c>
      <c r="I875" s="8" t="n">
        <v>5</v>
      </c>
      <c r="J875" s="20" t="s">
        <v>259</v>
      </c>
      <c r="K875" s="8"/>
      <c r="L875" s="20" t="s">
        <v>259</v>
      </c>
      <c r="M875" s="16" t="n">
        <f aca="false">H875*Scoring!$C$5</f>
        <v>3.9</v>
      </c>
      <c r="N875" s="16" t="n">
        <f aca="false">IF(I875&gt;=5,1,IF(I875=4,0.75,IF(I875=3,0.5,IF(I875=2,0.25,0))))*Scoring!$C$8</f>
        <v>1</v>
      </c>
      <c r="O875" s="16" t="n">
        <f aca="false">IF(J875="Yes",0,Scoring!$C$6)</f>
        <v>2</v>
      </c>
      <c r="P875" s="16" t="n">
        <f aca="false">IF(L875="Yes",0,Scoring!$C$7)</f>
        <v>0.5</v>
      </c>
      <c r="Q875" s="8" t="n">
        <f aca="false">ROUND(SUM(M875:P875),2)</f>
        <v>7.4</v>
      </c>
      <c r="R875" s="8" t="str">
        <f aca="false">IF(Q875&gt;=Scoring!$C$10-0.000001,"Keep","Remove")</f>
        <v>Keep</v>
      </c>
      <c r="S875" s="8" t="s">
        <v>166</v>
      </c>
    </row>
    <row r="876" customFormat="false" ht="15" hidden="false" customHeight="false" outlineLevel="0" collapsed="false">
      <c r="A876" s="8" t="s">
        <v>7605</v>
      </c>
      <c r="B876" s="8" t="s">
        <v>7606</v>
      </c>
      <c r="C876" s="8" t="s">
        <v>178</v>
      </c>
      <c r="D876" s="8" t="s">
        <v>5829</v>
      </c>
      <c r="E876" s="8"/>
      <c r="F876" s="8" t="s">
        <v>81</v>
      </c>
      <c r="G876" s="8" t="n">
        <v>2</v>
      </c>
      <c r="H876" s="13" t="n">
        <v>2</v>
      </c>
      <c r="I876" s="8" t="n">
        <v>4</v>
      </c>
      <c r="J876" s="20" t="s">
        <v>259</v>
      </c>
      <c r="K876" s="8"/>
      <c r="L876" s="20" t="s">
        <v>259</v>
      </c>
      <c r="M876" s="16" t="n">
        <f aca="false">H876*Scoring!$C$5</f>
        <v>2.6</v>
      </c>
      <c r="N876" s="16" t="n">
        <f aca="false">IF(I876&gt;=5,1,IF(I876=4,0.75,IF(I876=3,0.5,IF(I876=2,0.25,0))))*Scoring!$C$8</f>
        <v>0.75</v>
      </c>
      <c r="O876" s="16" t="n">
        <f aca="false">IF(J876="Yes",0,Scoring!$C$6)</f>
        <v>2</v>
      </c>
      <c r="P876" s="16" t="n">
        <f aca="false">IF(L876="Yes",0,Scoring!$C$7)</f>
        <v>0.5</v>
      </c>
      <c r="Q876" s="8" t="n">
        <f aca="false">ROUND(SUM(M876:P876),2)</f>
        <v>5.85</v>
      </c>
      <c r="R876" s="8" t="str">
        <f aca="false">IF(Q876&gt;=Scoring!$C$10-0.000001,"Keep","Remove")</f>
        <v>Remove</v>
      </c>
      <c r="S876" s="8" t="s">
        <v>7243</v>
      </c>
    </row>
    <row r="877" customFormat="false" ht="15" hidden="false" customHeight="false" outlineLevel="0" collapsed="false">
      <c r="A877" s="8" t="s">
        <v>5840</v>
      </c>
      <c r="B877" s="8" t="s">
        <v>5841</v>
      </c>
      <c r="C877" s="8" t="s">
        <v>178</v>
      </c>
      <c r="D877" s="8" t="s">
        <v>5829</v>
      </c>
      <c r="E877" s="8"/>
      <c r="F877" s="8" t="s">
        <v>83</v>
      </c>
      <c r="G877" s="8" t="n">
        <v>2</v>
      </c>
      <c r="H877" s="13" t="n">
        <v>3</v>
      </c>
      <c r="I877" s="8" t="n">
        <v>5</v>
      </c>
      <c r="J877" s="20" t="s">
        <v>259</v>
      </c>
      <c r="K877" s="8"/>
      <c r="L877" s="20" t="s">
        <v>259</v>
      </c>
      <c r="M877" s="16" t="n">
        <f aca="false">H877*Scoring!$C$5</f>
        <v>3.9</v>
      </c>
      <c r="N877" s="16" t="n">
        <f aca="false">IF(I877&gt;=5,1,IF(I877=4,0.75,IF(I877=3,0.5,IF(I877=2,0.25,0))))*Scoring!$C$8</f>
        <v>1</v>
      </c>
      <c r="O877" s="16" t="n">
        <f aca="false">IF(J877="Yes",0,Scoring!$C$6)</f>
        <v>2</v>
      </c>
      <c r="P877" s="16" t="n">
        <f aca="false">IF(L877="Yes",0,Scoring!$C$7)</f>
        <v>0.5</v>
      </c>
      <c r="Q877" s="8" t="n">
        <f aca="false">ROUND(SUM(M877:P877),2)</f>
        <v>7.4</v>
      </c>
      <c r="R877" s="8" t="str">
        <f aca="false">IF(Q877&gt;=Scoring!$C$10-0.000001,"Keep","Remove")</f>
        <v>Keep</v>
      </c>
      <c r="S877" s="8" t="s">
        <v>166</v>
      </c>
    </row>
    <row r="878" customFormat="false" ht="15" hidden="false" customHeight="false" outlineLevel="0" collapsed="false">
      <c r="A878" s="8" t="s">
        <v>7739</v>
      </c>
      <c r="B878" s="8" t="s">
        <v>7740</v>
      </c>
      <c r="C878" s="8" t="s">
        <v>178</v>
      </c>
      <c r="D878" s="8" t="s">
        <v>5829</v>
      </c>
      <c r="E878" s="8"/>
      <c r="F878" s="8" t="s">
        <v>86</v>
      </c>
      <c r="G878" s="8" t="n">
        <v>3</v>
      </c>
      <c r="H878" s="13" t="n">
        <v>2</v>
      </c>
      <c r="I878" s="8" t="n">
        <v>3</v>
      </c>
      <c r="J878" s="20" t="s">
        <v>259</v>
      </c>
      <c r="K878" s="8"/>
      <c r="L878" s="20" t="s">
        <v>259</v>
      </c>
      <c r="M878" s="16" t="n">
        <f aca="false">H878*Scoring!$C$5</f>
        <v>2.6</v>
      </c>
      <c r="N878" s="16" t="n">
        <f aca="false">IF(I878&gt;=5,1,IF(I878=4,0.75,IF(I878=3,0.5,IF(I878=2,0.25,0))))*Scoring!$C$8</f>
        <v>0.5</v>
      </c>
      <c r="O878" s="16" t="n">
        <f aca="false">IF(J878="Yes",0,Scoring!$C$6)</f>
        <v>2</v>
      </c>
      <c r="P878" s="16" t="n">
        <f aca="false">IF(L878="Yes",0,Scoring!$C$7)</f>
        <v>0.5</v>
      </c>
      <c r="Q878" s="8" t="n">
        <f aca="false">ROUND(SUM(M878:P878),2)</f>
        <v>5.6</v>
      </c>
      <c r="R878" s="8" t="str">
        <f aca="false">IF(Q878&gt;=Scoring!$C$10-0.000001,"Keep","Remove")</f>
        <v>Remove</v>
      </c>
      <c r="S878" s="8" t="s">
        <v>7243</v>
      </c>
    </row>
    <row r="879" customFormat="false" ht="15" hidden="false" customHeight="false" outlineLevel="0" collapsed="false">
      <c r="A879" s="8" t="s">
        <v>7741</v>
      </c>
      <c r="B879" s="8" t="s">
        <v>7742</v>
      </c>
      <c r="C879" s="8" t="s">
        <v>178</v>
      </c>
      <c r="D879" s="8" t="s">
        <v>5829</v>
      </c>
      <c r="E879" s="8"/>
      <c r="F879" s="8" t="s">
        <v>79</v>
      </c>
      <c r="G879" s="8" t="n">
        <v>3</v>
      </c>
      <c r="H879" s="13" t="n">
        <v>2</v>
      </c>
      <c r="I879" s="8" t="n">
        <v>3</v>
      </c>
      <c r="J879" s="20" t="s">
        <v>259</v>
      </c>
      <c r="K879" s="8"/>
      <c r="L879" s="20" t="s">
        <v>259</v>
      </c>
      <c r="M879" s="16" t="n">
        <f aca="false">H879*Scoring!$C$5</f>
        <v>2.6</v>
      </c>
      <c r="N879" s="16" t="n">
        <f aca="false">IF(I879&gt;=5,1,IF(I879=4,0.75,IF(I879=3,0.5,IF(I879=2,0.25,0))))*Scoring!$C$8</f>
        <v>0.5</v>
      </c>
      <c r="O879" s="16" t="n">
        <f aca="false">IF(J879="Yes",0,Scoring!$C$6)</f>
        <v>2</v>
      </c>
      <c r="P879" s="16" t="n">
        <f aca="false">IF(L879="Yes",0,Scoring!$C$7)</f>
        <v>0.5</v>
      </c>
      <c r="Q879" s="8" t="n">
        <f aca="false">ROUND(SUM(M879:P879),2)</f>
        <v>5.6</v>
      </c>
      <c r="R879" s="8" t="str">
        <f aca="false">IF(Q879&gt;=Scoring!$C$10-0.000001,"Keep","Remove")</f>
        <v>Remove</v>
      </c>
      <c r="S879" s="8" t="s">
        <v>7243</v>
      </c>
    </row>
    <row r="880" customFormat="false" ht="15" hidden="false" customHeight="false" outlineLevel="0" collapsed="false">
      <c r="A880" s="8" t="s">
        <v>7607</v>
      </c>
      <c r="B880" s="8" t="s">
        <v>7608</v>
      </c>
      <c r="C880" s="8" t="s">
        <v>178</v>
      </c>
      <c r="D880" s="8" t="s">
        <v>5829</v>
      </c>
      <c r="E880" s="8"/>
      <c r="F880" s="8" t="s">
        <v>86</v>
      </c>
      <c r="G880" s="8" t="n">
        <v>3</v>
      </c>
      <c r="H880" s="13" t="n">
        <v>2</v>
      </c>
      <c r="I880" s="8" t="n">
        <v>4</v>
      </c>
      <c r="J880" s="20" t="s">
        <v>259</v>
      </c>
      <c r="K880" s="8"/>
      <c r="L880" s="20" t="s">
        <v>259</v>
      </c>
      <c r="M880" s="16" t="n">
        <f aca="false">H880*Scoring!$C$5</f>
        <v>2.6</v>
      </c>
      <c r="N880" s="16" t="n">
        <f aca="false">IF(I880&gt;=5,1,IF(I880=4,0.75,IF(I880=3,0.5,IF(I880=2,0.25,0))))*Scoring!$C$8</f>
        <v>0.75</v>
      </c>
      <c r="O880" s="16" t="n">
        <f aca="false">IF(J880="Yes",0,Scoring!$C$6)</f>
        <v>2</v>
      </c>
      <c r="P880" s="16" t="n">
        <f aca="false">IF(L880="Yes",0,Scoring!$C$7)</f>
        <v>0.5</v>
      </c>
      <c r="Q880" s="8" t="n">
        <f aca="false">ROUND(SUM(M880:P880),2)</f>
        <v>5.85</v>
      </c>
      <c r="R880" s="8" t="str">
        <f aca="false">IF(Q880&gt;=Scoring!$C$10-0.000001,"Keep","Remove")</f>
        <v>Remove</v>
      </c>
      <c r="S880" s="8" t="s">
        <v>7243</v>
      </c>
    </row>
    <row r="881" customFormat="false" ht="15" hidden="false" customHeight="false" outlineLevel="0" collapsed="false">
      <c r="A881" s="8" t="s">
        <v>5850</v>
      </c>
      <c r="B881" s="8" t="s">
        <v>5851</v>
      </c>
      <c r="C881" s="8" t="s">
        <v>178</v>
      </c>
      <c r="D881" s="8" t="s">
        <v>5852</v>
      </c>
      <c r="E881" s="8"/>
      <c r="F881" s="8" t="s">
        <v>86</v>
      </c>
      <c r="G881" s="8" t="n">
        <v>2</v>
      </c>
      <c r="H881" s="13" t="n">
        <v>3</v>
      </c>
      <c r="I881" s="8" t="n">
        <v>4</v>
      </c>
      <c r="J881" s="20" t="s">
        <v>259</v>
      </c>
      <c r="K881" s="8"/>
      <c r="L881" s="20" t="s">
        <v>259</v>
      </c>
      <c r="M881" s="16" t="n">
        <f aca="false">H881*Scoring!$C$5</f>
        <v>3.9</v>
      </c>
      <c r="N881" s="16" t="n">
        <f aca="false">IF(I881&gt;=5,1,IF(I881=4,0.75,IF(I881=3,0.5,IF(I881=2,0.25,0))))*Scoring!$C$8</f>
        <v>0.75</v>
      </c>
      <c r="O881" s="16" t="n">
        <f aca="false">IF(J881="Yes",0,Scoring!$C$6)</f>
        <v>2</v>
      </c>
      <c r="P881" s="16" t="n">
        <f aca="false">IF(L881="Yes",0,Scoring!$C$7)</f>
        <v>0.5</v>
      </c>
      <c r="Q881" s="8" t="n">
        <f aca="false">ROUND(SUM(M881:P881),2)</f>
        <v>7.15</v>
      </c>
      <c r="R881" s="8" t="str">
        <f aca="false">IF(Q881&gt;=Scoring!$C$10-0.000001,"Keep","Remove")</f>
        <v>Keep</v>
      </c>
      <c r="S881" s="8" t="s">
        <v>166</v>
      </c>
    </row>
    <row r="882" customFormat="false" ht="15" hidden="false" customHeight="false" outlineLevel="0" collapsed="false">
      <c r="A882" s="8" t="s">
        <v>7743</v>
      </c>
      <c r="B882" s="8" t="s">
        <v>7744</v>
      </c>
      <c r="C882" s="8" t="s">
        <v>178</v>
      </c>
      <c r="D882" s="8" t="s">
        <v>5852</v>
      </c>
      <c r="E882" s="8"/>
      <c r="F882" s="8" t="s">
        <v>81</v>
      </c>
      <c r="G882" s="8" t="n">
        <v>3</v>
      </c>
      <c r="H882" s="13" t="n">
        <v>2</v>
      </c>
      <c r="I882" s="8" t="n">
        <v>3</v>
      </c>
      <c r="J882" s="20" t="s">
        <v>259</v>
      </c>
      <c r="K882" s="8"/>
      <c r="L882" s="20" t="s">
        <v>259</v>
      </c>
      <c r="M882" s="16" t="n">
        <f aca="false">H882*Scoring!$C$5</f>
        <v>2.6</v>
      </c>
      <c r="N882" s="16" t="n">
        <f aca="false">IF(I882&gt;=5,1,IF(I882=4,0.75,IF(I882=3,0.5,IF(I882=2,0.25,0))))*Scoring!$C$8</f>
        <v>0.5</v>
      </c>
      <c r="O882" s="16" t="n">
        <f aca="false">IF(J882="Yes",0,Scoring!$C$6)</f>
        <v>2</v>
      </c>
      <c r="P882" s="16" t="n">
        <f aca="false">IF(L882="Yes",0,Scoring!$C$7)</f>
        <v>0.5</v>
      </c>
      <c r="Q882" s="8" t="n">
        <f aca="false">ROUND(SUM(M882:P882),2)</f>
        <v>5.6</v>
      </c>
      <c r="R882" s="8" t="str">
        <f aca="false">IF(Q882&gt;=Scoring!$C$10-0.000001,"Keep","Remove")</f>
        <v>Remove</v>
      </c>
      <c r="S882" s="8" t="s">
        <v>7243</v>
      </c>
    </row>
    <row r="883" customFormat="false" ht="15" hidden="false" customHeight="false" outlineLevel="0" collapsed="false">
      <c r="A883" s="8" t="s">
        <v>7609</v>
      </c>
      <c r="B883" s="8" t="s">
        <v>7610</v>
      </c>
      <c r="C883" s="8" t="s">
        <v>178</v>
      </c>
      <c r="D883" s="8" t="s">
        <v>5852</v>
      </c>
      <c r="E883" s="8"/>
      <c r="F883" s="8" t="s">
        <v>85</v>
      </c>
      <c r="G883" s="8" t="n">
        <v>3</v>
      </c>
      <c r="H883" s="13" t="n">
        <v>2</v>
      </c>
      <c r="I883" s="8" t="n">
        <v>4</v>
      </c>
      <c r="J883" s="20" t="s">
        <v>259</v>
      </c>
      <c r="K883" s="8"/>
      <c r="L883" s="20" t="s">
        <v>259</v>
      </c>
      <c r="M883" s="16" t="n">
        <f aca="false">H883*Scoring!$C$5</f>
        <v>2.6</v>
      </c>
      <c r="N883" s="16" t="n">
        <f aca="false">IF(I883&gt;=5,1,IF(I883=4,0.75,IF(I883=3,0.5,IF(I883=2,0.25,0))))*Scoring!$C$8</f>
        <v>0.75</v>
      </c>
      <c r="O883" s="16" t="n">
        <f aca="false">IF(J883="Yes",0,Scoring!$C$6)</f>
        <v>2</v>
      </c>
      <c r="P883" s="16" t="n">
        <f aca="false">IF(L883="Yes",0,Scoring!$C$7)</f>
        <v>0.5</v>
      </c>
      <c r="Q883" s="8" t="n">
        <f aca="false">ROUND(SUM(M883:P883),2)</f>
        <v>5.85</v>
      </c>
      <c r="R883" s="8" t="str">
        <f aca="false">IF(Q883&gt;=Scoring!$C$10-0.000001,"Keep","Remove")</f>
        <v>Remove</v>
      </c>
      <c r="S883" s="8" t="s">
        <v>7243</v>
      </c>
    </row>
    <row r="884" customFormat="false" ht="15" hidden="false" customHeight="false" outlineLevel="0" collapsed="false">
      <c r="A884" s="8" t="s">
        <v>5860</v>
      </c>
      <c r="B884" s="8" t="s">
        <v>5861</v>
      </c>
      <c r="C884" s="8" t="s">
        <v>178</v>
      </c>
      <c r="D884" s="8" t="s">
        <v>5862</v>
      </c>
      <c r="E884" s="8"/>
      <c r="F884" s="8" t="s">
        <v>85</v>
      </c>
      <c r="G884" s="8" t="n">
        <v>2</v>
      </c>
      <c r="H884" s="13" t="n">
        <v>3</v>
      </c>
      <c r="I884" s="8" t="n">
        <v>6</v>
      </c>
      <c r="J884" s="20" t="s">
        <v>259</v>
      </c>
      <c r="K884" s="8"/>
      <c r="L884" s="20" t="s">
        <v>259</v>
      </c>
      <c r="M884" s="16" t="n">
        <f aca="false">H884*Scoring!$C$5</f>
        <v>3.9</v>
      </c>
      <c r="N884" s="16" t="n">
        <f aca="false">IF(I884&gt;=5,1,IF(I884=4,0.75,IF(I884=3,0.5,IF(I884=2,0.25,0))))*Scoring!$C$8</f>
        <v>1</v>
      </c>
      <c r="O884" s="16" t="n">
        <f aca="false">IF(J884="Yes",0,Scoring!$C$6)</f>
        <v>2</v>
      </c>
      <c r="P884" s="16" t="n">
        <f aca="false">IF(L884="Yes",0,Scoring!$C$7)</f>
        <v>0.5</v>
      </c>
      <c r="Q884" s="8" t="n">
        <f aca="false">ROUND(SUM(M884:P884),2)</f>
        <v>7.4</v>
      </c>
      <c r="R884" s="8" t="str">
        <f aca="false">IF(Q884&gt;=Scoring!$C$10-0.000001,"Keep","Remove")</f>
        <v>Keep</v>
      </c>
      <c r="S884" s="8" t="s">
        <v>166</v>
      </c>
    </row>
    <row r="885" customFormat="false" ht="15" hidden="false" customHeight="false" outlineLevel="0" collapsed="false">
      <c r="A885" s="8" t="s">
        <v>7418</v>
      </c>
      <c r="B885" s="8" t="s">
        <v>7419</v>
      </c>
      <c r="C885" s="8" t="s">
        <v>178</v>
      </c>
      <c r="D885" s="8" t="s">
        <v>5862</v>
      </c>
      <c r="E885" s="8"/>
      <c r="F885" s="8" t="s">
        <v>78</v>
      </c>
      <c r="G885" s="8" t="n">
        <v>3</v>
      </c>
      <c r="H885" s="13" t="n">
        <v>2</v>
      </c>
      <c r="I885" s="8" t="n">
        <v>5</v>
      </c>
      <c r="J885" s="20" t="s">
        <v>259</v>
      </c>
      <c r="K885" s="8"/>
      <c r="L885" s="20" t="s">
        <v>259</v>
      </c>
      <c r="M885" s="16" t="n">
        <f aca="false">H885*Scoring!$C$5</f>
        <v>2.6</v>
      </c>
      <c r="N885" s="16" t="n">
        <f aca="false">IF(I885&gt;=5,1,IF(I885=4,0.75,IF(I885=3,0.5,IF(I885=2,0.25,0))))*Scoring!$C$8</f>
        <v>1</v>
      </c>
      <c r="O885" s="16" t="n">
        <f aca="false">IF(J885="Yes",0,Scoring!$C$6)</f>
        <v>2</v>
      </c>
      <c r="P885" s="16" t="n">
        <f aca="false">IF(L885="Yes",0,Scoring!$C$7)</f>
        <v>0.5</v>
      </c>
      <c r="Q885" s="8" t="n">
        <f aca="false">ROUND(SUM(M885:P885),2)</f>
        <v>6.1</v>
      </c>
      <c r="R885" s="8" t="str">
        <f aca="false">IF(Q885&gt;=Scoring!$C$10-0.000001,"Keep","Remove")</f>
        <v>Remove</v>
      </c>
      <c r="S885" s="8" t="s">
        <v>7243</v>
      </c>
    </row>
    <row r="886" customFormat="false" ht="15" hidden="false" customHeight="false" outlineLevel="0" collapsed="false">
      <c r="A886" s="8" t="s">
        <v>7420</v>
      </c>
      <c r="B886" s="8" t="s">
        <v>7421</v>
      </c>
      <c r="C886" s="8" t="s">
        <v>178</v>
      </c>
      <c r="D886" s="8" t="s">
        <v>5862</v>
      </c>
      <c r="E886" s="8"/>
      <c r="F886" s="8" t="s">
        <v>78</v>
      </c>
      <c r="G886" s="8" t="n">
        <v>3</v>
      </c>
      <c r="H886" s="13" t="n">
        <v>2</v>
      </c>
      <c r="I886" s="8" t="n">
        <v>5</v>
      </c>
      <c r="J886" s="20" t="s">
        <v>259</v>
      </c>
      <c r="K886" s="8"/>
      <c r="L886" s="20" t="s">
        <v>259</v>
      </c>
      <c r="M886" s="16" t="n">
        <f aca="false">H886*Scoring!$C$5</f>
        <v>2.6</v>
      </c>
      <c r="N886" s="16" t="n">
        <f aca="false">IF(I886&gt;=5,1,IF(I886=4,0.75,IF(I886=3,0.5,IF(I886=2,0.25,0))))*Scoring!$C$8</f>
        <v>1</v>
      </c>
      <c r="O886" s="16" t="n">
        <f aca="false">IF(J886="Yes",0,Scoring!$C$6)</f>
        <v>2</v>
      </c>
      <c r="P886" s="16" t="n">
        <f aca="false">IF(L886="Yes",0,Scoring!$C$7)</f>
        <v>0.5</v>
      </c>
      <c r="Q886" s="8" t="n">
        <f aca="false">ROUND(SUM(M886:P886),2)</f>
        <v>6.1</v>
      </c>
      <c r="R886" s="8" t="str">
        <f aca="false">IF(Q886&gt;=Scoring!$C$10-0.000001,"Keep","Remove")</f>
        <v>Remove</v>
      </c>
      <c r="S886" s="8" t="s">
        <v>7243</v>
      </c>
    </row>
    <row r="887" customFormat="false" ht="15" hidden="false" customHeight="false" outlineLevel="0" collapsed="false">
      <c r="A887" s="8" t="s">
        <v>5870</v>
      </c>
      <c r="B887" s="8" t="s">
        <v>5871</v>
      </c>
      <c r="C887" s="8" t="s">
        <v>178</v>
      </c>
      <c r="D887" s="8" t="s">
        <v>5872</v>
      </c>
      <c r="E887" s="8"/>
      <c r="F887" s="8" t="s">
        <v>78</v>
      </c>
      <c r="G887" s="8" t="n">
        <v>2</v>
      </c>
      <c r="H887" s="13" t="n">
        <v>3</v>
      </c>
      <c r="I887" s="8" t="n">
        <v>5</v>
      </c>
      <c r="J887" s="20" t="s">
        <v>259</v>
      </c>
      <c r="K887" s="8"/>
      <c r="L887" s="20" t="s">
        <v>259</v>
      </c>
      <c r="M887" s="16" t="n">
        <f aca="false">H887*Scoring!$C$5</f>
        <v>3.9</v>
      </c>
      <c r="N887" s="16" t="n">
        <f aca="false">IF(I887&gt;=5,1,IF(I887=4,0.75,IF(I887=3,0.5,IF(I887=2,0.25,0))))*Scoring!$C$8</f>
        <v>1</v>
      </c>
      <c r="O887" s="16" t="n">
        <f aca="false">IF(J887="Yes",0,Scoring!$C$6)</f>
        <v>2</v>
      </c>
      <c r="P887" s="16" t="n">
        <f aca="false">IF(L887="Yes",0,Scoring!$C$7)</f>
        <v>0.5</v>
      </c>
      <c r="Q887" s="8" t="n">
        <f aca="false">ROUND(SUM(M887:P887),2)</f>
        <v>7.4</v>
      </c>
      <c r="R887" s="8" t="str">
        <f aca="false">IF(Q887&gt;=Scoring!$C$10-0.000001,"Keep","Remove")</f>
        <v>Keep</v>
      </c>
      <c r="S887" s="8" t="s">
        <v>166</v>
      </c>
    </row>
    <row r="888" customFormat="false" ht="15" hidden="false" customHeight="false" outlineLevel="0" collapsed="false">
      <c r="A888" s="8" t="s">
        <v>5882</v>
      </c>
      <c r="B888" s="8" t="s">
        <v>5883</v>
      </c>
      <c r="C888" s="8" t="s">
        <v>178</v>
      </c>
      <c r="D888" s="8" t="s">
        <v>5872</v>
      </c>
      <c r="E888" s="8"/>
      <c r="F888" s="8" t="s">
        <v>81</v>
      </c>
      <c r="G888" s="8" t="n">
        <v>2</v>
      </c>
      <c r="H888" s="13" t="n">
        <v>3</v>
      </c>
      <c r="I888" s="8" t="n">
        <v>6</v>
      </c>
      <c r="J888" s="20" t="s">
        <v>259</v>
      </c>
      <c r="K888" s="8"/>
      <c r="L888" s="20" t="s">
        <v>259</v>
      </c>
      <c r="M888" s="16" t="n">
        <f aca="false">H888*Scoring!$C$5</f>
        <v>3.9</v>
      </c>
      <c r="N888" s="16" t="n">
        <f aca="false">IF(I888&gt;=5,1,IF(I888=4,0.75,IF(I888=3,0.5,IF(I888=2,0.25,0))))*Scoring!$C$8</f>
        <v>1</v>
      </c>
      <c r="O888" s="16" t="n">
        <f aca="false">IF(J888="Yes",0,Scoring!$C$6)</f>
        <v>2</v>
      </c>
      <c r="P888" s="16" t="n">
        <f aca="false">IF(L888="Yes",0,Scoring!$C$7)</f>
        <v>0.5</v>
      </c>
      <c r="Q888" s="8" t="n">
        <f aca="false">ROUND(SUM(M888:P888),2)</f>
        <v>7.4</v>
      </c>
      <c r="R888" s="8" t="str">
        <f aca="false">IF(Q888&gt;=Scoring!$C$10-0.000001,"Keep","Remove")</f>
        <v>Keep</v>
      </c>
      <c r="S888" s="8" t="s">
        <v>166</v>
      </c>
    </row>
    <row r="889" customFormat="false" ht="15" hidden="false" customHeight="false" outlineLevel="0" collapsed="false">
      <c r="A889" s="8" t="s">
        <v>5892</v>
      </c>
      <c r="B889" s="8" t="s">
        <v>5893</v>
      </c>
      <c r="C889" s="8" t="s">
        <v>178</v>
      </c>
      <c r="D889" s="8" t="s">
        <v>5872</v>
      </c>
      <c r="E889" s="8"/>
      <c r="F889" s="8" t="s">
        <v>79</v>
      </c>
      <c r="G889" s="8" t="n">
        <v>2</v>
      </c>
      <c r="H889" s="13" t="n">
        <v>3</v>
      </c>
      <c r="I889" s="8" t="n">
        <v>4</v>
      </c>
      <c r="J889" s="20" t="s">
        <v>259</v>
      </c>
      <c r="K889" s="8"/>
      <c r="L889" s="20" t="s">
        <v>259</v>
      </c>
      <c r="M889" s="16" t="n">
        <f aca="false">H889*Scoring!$C$5</f>
        <v>3.9</v>
      </c>
      <c r="N889" s="16" t="n">
        <f aca="false">IF(I889&gt;=5,1,IF(I889=4,0.75,IF(I889=3,0.5,IF(I889=2,0.25,0))))*Scoring!$C$8</f>
        <v>0.75</v>
      </c>
      <c r="O889" s="16" t="n">
        <f aca="false">IF(J889="Yes",0,Scoring!$C$6)</f>
        <v>2</v>
      </c>
      <c r="P889" s="16" t="n">
        <f aca="false">IF(L889="Yes",0,Scoring!$C$7)</f>
        <v>0.5</v>
      </c>
      <c r="Q889" s="8" t="n">
        <f aca="false">ROUND(SUM(M889:P889),2)</f>
        <v>7.15</v>
      </c>
      <c r="R889" s="8" t="str">
        <f aca="false">IF(Q889&gt;=Scoring!$C$10-0.000001,"Keep","Remove")</f>
        <v>Keep</v>
      </c>
      <c r="S889" s="8" t="s">
        <v>166</v>
      </c>
    </row>
    <row r="890" customFormat="false" ht="15" hidden="false" customHeight="false" outlineLevel="0" collapsed="false">
      <c r="A890" s="8" t="s">
        <v>7422</v>
      </c>
      <c r="B890" s="8" t="s">
        <v>7423</v>
      </c>
      <c r="C890" s="8" t="s">
        <v>178</v>
      </c>
      <c r="D890" s="8" t="s">
        <v>5872</v>
      </c>
      <c r="E890" s="8"/>
      <c r="F890" s="8" t="s">
        <v>78</v>
      </c>
      <c r="G890" s="8" t="n">
        <v>3</v>
      </c>
      <c r="H890" s="13" t="n">
        <v>2</v>
      </c>
      <c r="I890" s="8" t="n">
        <v>5</v>
      </c>
      <c r="J890" s="20" t="s">
        <v>259</v>
      </c>
      <c r="K890" s="8"/>
      <c r="L890" s="20" t="s">
        <v>259</v>
      </c>
      <c r="M890" s="16" t="n">
        <f aca="false">H890*Scoring!$C$5</f>
        <v>2.6</v>
      </c>
      <c r="N890" s="16" t="n">
        <f aca="false">IF(I890&gt;=5,1,IF(I890=4,0.75,IF(I890=3,0.5,IF(I890=2,0.25,0))))*Scoring!$C$8</f>
        <v>1</v>
      </c>
      <c r="O890" s="16" t="n">
        <f aca="false">IF(J890="Yes",0,Scoring!$C$6)</f>
        <v>2</v>
      </c>
      <c r="P890" s="16" t="n">
        <f aca="false">IF(L890="Yes",0,Scoring!$C$7)</f>
        <v>0.5</v>
      </c>
      <c r="Q890" s="8" t="n">
        <f aca="false">ROUND(SUM(M890:P890),2)</f>
        <v>6.1</v>
      </c>
      <c r="R890" s="8" t="str">
        <f aca="false">IF(Q890&gt;=Scoring!$C$10-0.000001,"Keep","Remove")</f>
        <v>Remove</v>
      </c>
      <c r="S890" s="8" t="s">
        <v>7243</v>
      </c>
    </row>
    <row r="891" customFormat="false" ht="15" hidden="false" customHeight="false" outlineLevel="0" collapsed="false">
      <c r="A891" s="8" t="s">
        <v>7611</v>
      </c>
      <c r="B891" s="8" t="s">
        <v>7612</v>
      </c>
      <c r="C891" s="8" t="s">
        <v>178</v>
      </c>
      <c r="D891" s="8" t="s">
        <v>5872</v>
      </c>
      <c r="E891" s="8"/>
      <c r="F891" s="8" t="s">
        <v>80</v>
      </c>
      <c r="G891" s="8" t="n">
        <v>3</v>
      </c>
      <c r="H891" s="13" t="n">
        <v>2</v>
      </c>
      <c r="I891" s="8" t="n">
        <v>4</v>
      </c>
      <c r="J891" s="20" t="s">
        <v>259</v>
      </c>
      <c r="K891" s="8"/>
      <c r="L891" s="20" t="s">
        <v>259</v>
      </c>
      <c r="M891" s="16" t="n">
        <f aca="false">H891*Scoring!$C$5</f>
        <v>2.6</v>
      </c>
      <c r="N891" s="16" t="n">
        <f aca="false">IF(I891&gt;=5,1,IF(I891=4,0.75,IF(I891=3,0.5,IF(I891=2,0.25,0))))*Scoring!$C$8</f>
        <v>0.75</v>
      </c>
      <c r="O891" s="16" t="n">
        <f aca="false">IF(J891="Yes",0,Scoring!$C$6)</f>
        <v>2</v>
      </c>
      <c r="P891" s="16" t="n">
        <f aca="false">IF(L891="Yes",0,Scoring!$C$7)</f>
        <v>0.5</v>
      </c>
      <c r="Q891" s="8" t="n">
        <f aca="false">ROUND(SUM(M891:P891),2)</f>
        <v>5.85</v>
      </c>
      <c r="R891" s="8" t="str">
        <f aca="false">IF(Q891&gt;=Scoring!$C$10-0.000001,"Keep","Remove")</f>
        <v>Remove</v>
      </c>
      <c r="S891" s="8" t="s">
        <v>7243</v>
      </c>
    </row>
    <row r="892" customFormat="false" ht="15" hidden="false" customHeight="false" outlineLevel="0" collapsed="false">
      <c r="A892" s="8" t="s">
        <v>7613</v>
      </c>
      <c r="B892" s="8" t="s">
        <v>7614</v>
      </c>
      <c r="C892" s="8" t="s">
        <v>178</v>
      </c>
      <c r="D892" s="8" t="s">
        <v>5872</v>
      </c>
      <c r="E892" s="8"/>
      <c r="F892" s="8" t="s">
        <v>86</v>
      </c>
      <c r="G892" s="8" t="n">
        <v>3</v>
      </c>
      <c r="H892" s="13" t="n">
        <v>2</v>
      </c>
      <c r="I892" s="8" t="n">
        <v>4</v>
      </c>
      <c r="J892" s="20" t="s">
        <v>259</v>
      </c>
      <c r="K892" s="8"/>
      <c r="L892" s="20" t="s">
        <v>259</v>
      </c>
      <c r="M892" s="16" t="n">
        <f aca="false">H892*Scoring!$C$5</f>
        <v>2.6</v>
      </c>
      <c r="N892" s="16" t="n">
        <f aca="false">IF(I892&gt;=5,1,IF(I892=4,0.75,IF(I892=3,0.5,IF(I892=2,0.25,0))))*Scoring!$C$8</f>
        <v>0.75</v>
      </c>
      <c r="O892" s="16" t="n">
        <f aca="false">IF(J892="Yes",0,Scoring!$C$6)</f>
        <v>2</v>
      </c>
      <c r="P892" s="16" t="n">
        <f aca="false">IF(L892="Yes",0,Scoring!$C$7)</f>
        <v>0.5</v>
      </c>
      <c r="Q892" s="8" t="n">
        <f aca="false">ROUND(SUM(M892:P892),2)</f>
        <v>5.85</v>
      </c>
      <c r="R892" s="8" t="str">
        <f aca="false">IF(Q892&gt;=Scoring!$C$10-0.000001,"Keep","Remove")</f>
        <v>Remove</v>
      </c>
      <c r="S892" s="8" t="s">
        <v>7243</v>
      </c>
    </row>
    <row r="893" customFormat="false" ht="15" hidden="false" customHeight="false" outlineLevel="0" collapsed="false">
      <c r="A893" s="8" t="s">
        <v>7803</v>
      </c>
      <c r="B893" s="8" t="s">
        <v>7804</v>
      </c>
      <c r="C893" s="8" t="s">
        <v>178</v>
      </c>
      <c r="D893" s="8" t="s">
        <v>5903</v>
      </c>
      <c r="E893" s="8"/>
      <c r="F893" s="8" t="s">
        <v>86</v>
      </c>
      <c r="G893" s="8" t="n">
        <v>2</v>
      </c>
      <c r="H893" s="13" t="n">
        <v>2</v>
      </c>
      <c r="I893" s="8" t="n">
        <v>2</v>
      </c>
      <c r="J893" s="20" t="s">
        <v>259</v>
      </c>
      <c r="K893" s="8"/>
      <c r="L893" s="20" t="s">
        <v>259</v>
      </c>
      <c r="M893" s="16" t="n">
        <f aca="false">H893*Scoring!$C$5</f>
        <v>2.6</v>
      </c>
      <c r="N893" s="16" t="n">
        <f aca="false">IF(I893&gt;=5,1,IF(I893=4,0.75,IF(I893=3,0.5,IF(I893=2,0.25,0))))*Scoring!$C$8</f>
        <v>0.25</v>
      </c>
      <c r="O893" s="16" t="n">
        <f aca="false">IF(J893="Yes",0,Scoring!$C$6)</f>
        <v>2</v>
      </c>
      <c r="P893" s="16" t="n">
        <f aca="false">IF(L893="Yes",0,Scoring!$C$7)</f>
        <v>0.5</v>
      </c>
      <c r="Q893" s="8" t="n">
        <f aca="false">ROUND(SUM(M893:P893),2)</f>
        <v>5.35</v>
      </c>
      <c r="R893" s="8" t="str">
        <f aca="false">IF(Q893&gt;=Scoring!$C$10-0.000001,"Keep","Remove")</f>
        <v>Remove</v>
      </c>
      <c r="S893" s="8" t="s">
        <v>7243</v>
      </c>
    </row>
    <row r="894" customFormat="false" ht="15" hidden="false" customHeight="false" outlineLevel="0" collapsed="false">
      <c r="A894" s="8" t="s">
        <v>5901</v>
      </c>
      <c r="B894" s="8" t="s">
        <v>5902</v>
      </c>
      <c r="C894" s="8" t="s">
        <v>178</v>
      </c>
      <c r="D894" s="8" t="s">
        <v>5903</v>
      </c>
      <c r="E894" s="8"/>
      <c r="F894" s="8" t="s">
        <v>78</v>
      </c>
      <c r="G894" s="8" t="n">
        <v>2</v>
      </c>
      <c r="H894" s="13" t="n">
        <v>3</v>
      </c>
      <c r="I894" s="8" t="n">
        <v>4</v>
      </c>
      <c r="J894" s="20" t="s">
        <v>259</v>
      </c>
      <c r="K894" s="8"/>
      <c r="L894" s="20" t="s">
        <v>259</v>
      </c>
      <c r="M894" s="16" t="n">
        <f aca="false">H894*Scoring!$C$5</f>
        <v>3.9</v>
      </c>
      <c r="N894" s="16" t="n">
        <f aca="false">IF(I894&gt;=5,1,IF(I894=4,0.75,IF(I894=3,0.5,IF(I894=2,0.25,0))))*Scoring!$C$8</f>
        <v>0.75</v>
      </c>
      <c r="O894" s="16" t="n">
        <f aca="false">IF(J894="Yes",0,Scoring!$C$6)</f>
        <v>2</v>
      </c>
      <c r="P894" s="16" t="n">
        <f aca="false">IF(L894="Yes",0,Scoring!$C$7)</f>
        <v>0.5</v>
      </c>
      <c r="Q894" s="8" t="n">
        <f aca="false">ROUND(SUM(M894:P894),2)</f>
        <v>7.15</v>
      </c>
      <c r="R894" s="8" t="str">
        <f aca="false">IF(Q894&gt;=Scoring!$C$10-0.000001,"Keep","Remove")</f>
        <v>Keep</v>
      </c>
      <c r="S894" s="8" t="s">
        <v>166</v>
      </c>
    </row>
    <row r="895" customFormat="false" ht="15" hidden="false" customHeight="false" outlineLevel="0" collapsed="false">
      <c r="A895" s="8" t="s">
        <v>7805</v>
      </c>
      <c r="B895" s="8" t="s">
        <v>7806</v>
      </c>
      <c r="C895" s="8" t="s">
        <v>178</v>
      </c>
      <c r="D895" s="8" t="s">
        <v>5903</v>
      </c>
      <c r="E895" s="8"/>
      <c r="F895" s="8" t="s">
        <v>86</v>
      </c>
      <c r="G895" s="8" t="n">
        <v>3</v>
      </c>
      <c r="H895" s="13" t="n">
        <v>2</v>
      </c>
      <c r="I895" s="8" t="n">
        <v>2</v>
      </c>
      <c r="J895" s="20" t="s">
        <v>259</v>
      </c>
      <c r="K895" s="8"/>
      <c r="L895" s="20" t="s">
        <v>259</v>
      </c>
      <c r="M895" s="16" t="n">
        <f aca="false">H895*Scoring!$C$5</f>
        <v>2.6</v>
      </c>
      <c r="N895" s="16" t="n">
        <f aca="false">IF(I895&gt;=5,1,IF(I895=4,0.75,IF(I895=3,0.5,IF(I895=2,0.25,0))))*Scoring!$C$8</f>
        <v>0.25</v>
      </c>
      <c r="O895" s="16" t="n">
        <f aca="false">IF(J895="Yes",0,Scoring!$C$6)</f>
        <v>2</v>
      </c>
      <c r="P895" s="16" t="n">
        <f aca="false">IF(L895="Yes",0,Scoring!$C$7)</f>
        <v>0.5</v>
      </c>
      <c r="Q895" s="8" t="n">
        <f aca="false">ROUND(SUM(M895:P895),2)</f>
        <v>5.35</v>
      </c>
      <c r="R895" s="8" t="str">
        <f aca="false">IF(Q895&gt;=Scoring!$C$10-0.000001,"Keep","Remove")</f>
        <v>Remove</v>
      </c>
      <c r="S895" s="8" t="s">
        <v>7243</v>
      </c>
    </row>
    <row r="896" customFormat="false" ht="15" hidden="false" customHeight="false" outlineLevel="0" collapsed="false">
      <c r="A896" s="8" t="s">
        <v>7615</v>
      </c>
      <c r="B896" s="8" t="s">
        <v>7616</v>
      </c>
      <c r="C896" s="8" t="s">
        <v>178</v>
      </c>
      <c r="D896" s="8" t="s">
        <v>7617</v>
      </c>
      <c r="E896" s="8"/>
      <c r="F896" s="8" t="s">
        <v>85</v>
      </c>
      <c r="G896" s="8" t="n">
        <v>3</v>
      </c>
      <c r="H896" s="13" t="n">
        <v>2</v>
      </c>
      <c r="I896" s="8" t="n">
        <v>4</v>
      </c>
      <c r="J896" s="20" t="s">
        <v>259</v>
      </c>
      <c r="K896" s="8"/>
      <c r="L896" s="20" t="s">
        <v>259</v>
      </c>
      <c r="M896" s="16" t="n">
        <f aca="false">H896*Scoring!$C$5</f>
        <v>2.6</v>
      </c>
      <c r="N896" s="16" t="n">
        <f aca="false">IF(I896&gt;=5,1,IF(I896=4,0.75,IF(I896=3,0.5,IF(I896=2,0.25,0))))*Scoring!$C$8</f>
        <v>0.75</v>
      </c>
      <c r="O896" s="16" t="n">
        <f aca="false">IF(J896="Yes",0,Scoring!$C$6)</f>
        <v>2</v>
      </c>
      <c r="P896" s="16" t="n">
        <f aca="false">IF(L896="Yes",0,Scoring!$C$7)</f>
        <v>0.5</v>
      </c>
      <c r="Q896" s="8" t="n">
        <f aca="false">ROUND(SUM(M896:P896),2)</f>
        <v>5.85</v>
      </c>
      <c r="R896" s="8" t="str">
        <f aca="false">IF(Q896&gt;=Scoring!$C$10-0.000001,"Keep","Remove")</f>
        <v>Remove</v>
      </c>
      <c r="S896" s="8" t="s">
        <v>7243</v>
      </c>
    </row>
    <row r="897" customFormat="false" ht="15" hidden="false" customHeight="false" outlineLevel="0" collapsed="false">
      <c r="A897" s="8" t="s">
        <v>7618</v>
      </c>
      <c r="B897" s="8" t="s">
        <v>7619</v>
      </c>
      <c r="C897" s="8" t="s">
        <v>178</v>
      </c>
      <c r="D897" s="8" t="s">
        <v>7620</v>
      </c>
      <c r="E897" s="8"/>
      <c r="F897" s="8" t="s">
        <v>81</v>
      </c>
      <c r="G897" s="8" t="n">
        <v>3</v>
      </c>
      <c r="H897" s="13" t="n">
        <v>2</v>
      </c>
      <c r="I897" s="8" t="n">
        <v>4</v>
      </c>
      <c r="J897" s="20" t="s">
        <v>259</v>
      </c>
      <c r="K897" s="8"/>
      <c r="L897" s="20" t="s">
        <v>259</v>
      </c>
      <c r="M897" s="16" t="n">
        <f aca="false">H897*Scoring!$C$5</f>
        <v>2.6</v>
      </c>
      <c r="N897" s="16" t="n">
        <f aca="false">IF(I897&gt;=5,1,IF(I897=4,0.75,IF(I897=3,0.5,IF(I897=2,0.25,0))))*Scoring!$C$8</f>
        <v>0.75</v>
      </c>
      <c r="O897" s="16" t="n">
        <f aca="false">IF(J897="Yes",0,Scoring!$C$6)</f>
        <v>2</v>
      </c>
      <c r="P897" s="16" t="n">
        <f aca="false">IF(L897="Yes",0,Scoring!$C$7)</f>
        <v>0.5</v>
      </c>
      <c r="Q897" s="8" t="n">
        <f aca="false">ROUND(SUM(M897:P897),2)</f>
        <v>5.85</v>
      </c>
      <c r="R897" s="8" t="str">
        <f aca="false">IF(Q897&gt;=Scoring!$C$10-0.000001,"Keep","Remove")</f>
        <v>Remove</v>
      </c>
      <c r="S897" s="8" t="s">
        <v>7243</v>
      </c>
    </row>
    <row r="898" customFormat="false" ht="15" hidden="false" customHeight="false" outlineLevel="0" collapsed="false">
      <c r="A898" s="8" t="s">
        <v>7621</v>
      </c>
      <c r="B898" s="8" t="s">
        <v>7622</v>
      </c>
      <c r="C898" s="8" t="s">
        <v>178</v>
      </c>
      <c r="D898" s="8" t="s">
        <v>7623</v>
      </c>
      <c r="E898" s="8"/>
      <c r="F898" s="8" t="s">
        <v>78</v>
      </c>
      <c r="G898" s="8" t="n">
        <v>3</v>
      </c>
      <c r="H898" s="13" t="n">
        <v>2</v>
      </c>
      <c r="I898" s="8" t="n">
        <v>4</v>
      </c>
      <c r="J898" s="20" t="s">
        <v>259</v>
      </c>
      <c r="K898" s="8"/>
      <c r="L898" s="20" t="s">
        <v>259</v>
      </c>
      <c r="M898" s="16" t="n">
        <f aca="false">H898*Scoring!$C$5</f>
        <v>2.6</v>
      </c>
      <c r="N898" s="16" t="n">
        <f aca="false">IF(I898&gt;=5,1,IF(I898=4,0.75,IF(I898=3,0.5,IF(I898=2,0.25,0))))*Scoring!$C$8</f>
        <v>0.75</v>
      </c>
      <c r="O898" s="16" t="n">
        <f aca="false">IF(J898="Yes",0,Scoring!$C$6)</f>
        <v>2</v>
      </c>
      <c r="P898" s="16" t="n">
        <f aca="false">IF(L898="Yes",0,Scoring!$C$7)</f>
        <v>0.5</v>
      </c>
      <c r="Q898" s="8" t="n">
        <f aca="false">ROUND(SUM(M898:P898),2)</f>
        <v>5.85</v>
      </c>
      <c r="R898" s="8" t="str">
        <f aca="false">IF(Q898&gt;=Scoring!$C$10-0.000001,"Keep","Remove")</f>
        <v>Remove</v>
      </c>
      <c r="S898" s="8" t="s">
        <v>7243</v>
      </c>
    </row>
    <row r="899" customFormat="false" ht="15" hidden="false" customHeight="false" outlineLevel="0" collapsed="false">
      <c r="A899" s="8" t="s">
        <v>7624</v>
      </c>
      <c r="B899" s="8" t="s">
        <v>7625</v>
      </c>
      <c r="C899" s="8" t="s">
        <v>178</v>
      </c>
      <c r="D899" s="8" t="s">
        <v>7626</v>
      </c>
      <c r="E899" s="8"/>
      <c r="F899" s="8" t="s">
        <v>78</v>
      </c>
      <c r="G899" s="8" t="n">
        <v>3</v>
      </c>
      <c r="H899" s="13" t="n">
        <v>2</v>
      </c>
      <c r="I899" s="8" t="n">
        <v>4</v>
      </c>
      <c r="J899" s="20" t="s">
        <v>259</v>
      </c>
      <c r="K899" s="8"/>
      <c r="L899" s="20" t="s">
        <v>259</v>
      </c>
      <c r="M899" s="16" t="n">
        <f aca="false">H899*Scoring!$C$5</f>
        <v>2.6</v>
      </c>
      <c r="N899" s="16" t="n">
        <f aca="false">IF(I899&gt;=5,1,IF(I899=4,0.75,IF(I899=3,0.5,IF(I899=2,0.25,0))))*Scoring!$C$8</f>
        <v>0.75</v>
      </c>
      <c r="O899" s="16" t="n">
        <f aca="false">IF(J899="Yes",0,Scoring!$C$6)</f>
        <v>2</v>
      </c>
      <c r="P899" s="16" t="n">
        <f aca="false">IF(L899="Yes",0,Scoring!$C$7)</f>
        <v>0.5</v>
      </c>
      <c r="Q899" s="8" t="n">
        <f aca="false">ROUND(SUM(M899:P899),2)</f>
        <v>5.85</v>
      </c>
      <c r="R899" s="8" t="str">
        <f aca="false">IF(Q899&gt;=Scoring!$C$10-0.000001,"Keep","Remove")</f>
        <v>Remove</v>
      </c>
      <c r="S899" s="8" t="s">
        <v>7243</v>
      </c>
    </row>
    <row r="900" customFormat="false" ht="15" hidden="false" customHeight="false" outlineLevel="0" collapsed="false">
      <c r="A900" s="8" t="s">
        <v>5913</v>
      </c>
      <c r="B900" s="8" t="s">
        <v>5914</v>
      </c>
      <c r="C900" s="8" t="s">
        <v>178</v>
      </c>
      <c r="D900" s="8" t="s">
        <v>5915</v>
      </c>
      <c r="E900" s="8"/>
      <c r="F900" s="8" t="s">
        <v>79</v>
      </c>
      <c r="G900" s="8" t="n">
        <v>1</v>
      </c>
      <c r="H900" s="13" t="n">
        <v>3</v>
      </c>
      <c r="I900" s="8" t="n">
        <v>4</v>
      </c>
      <c r="J900" s="20" t="s">
        <v>259</v>
      </c>
      <c r="K900" s="8"/>
      <c r="L900" s="20" t="s">
        <v>259</v>
      </c>
      <c r="M900" s="16" t="n">
        <f aca="false">H900*Scoring!$C$5</f>
        <v>3.9</v>
      </c>
      <c r="N900" s="16" t="n">
        <f aca="false">IF(I900&gt;=5,1,IF(I900=4,0.75,IF(I900=3,0.5,IF(I900=2,0.25,0))))*Scoring!$C$8</f>
        <v>0.75</v>
      </c>
      <c r="O900" s="16" t="n">
        <f aca="false">IF(J900="Yes",0,Scoring!$C$6)</f>
        <v>2</v>
      </c>
      <c r="P900" s="16" t="n">
        <f aca="false">IF(L900="Yes",0,Scoring!$C$7)</f>
        <v>0.5</v>
      </c>
      <c r="Q900" s="8" t="n">
        <f aca="false">ROUND(SUM(M900:P900),2)</f>
        <v>7.15</v>
      </c>
      <c r="R900" s="8" t="str">
        <f aca="false">IF(Q900&gt;=Scoring!$C$10-0.000001,"Keep","Remove")</f>
        <v>Keep</v>
      </c>
      <c r="S900" s="8" t="s">
        <v>166</v>
      </c>
    </row>
    <row r="901" customFormat="false" ht="15" hidden="false" customHeight="false" outlineLevel="0" collapsed="false">
      <c r="A901" s="8" t="s">
        <v>5924</v>
      </c>
      <c r="B901" s="8" t="s">
        <v>5925</v>
      </c>
      <c r="C901" s="8" t="s">
        <v>178</v>
      </c>
      <c r="D901" s="8" t="s">
        <v>5926</v>
      </c>
      <c r="E901" s="8"/>
      <c r="F901" s="8" t="s">
        <v>80</v>
      </c>
      <c r="G901" s="8" t="n">
        <v>1</v>
      </c>
      <c r="H901" s="13" t="n">
        <v>4</v>
      </c>
      <c r="I901" s="8" t="n">
        <v>4</v>
      </c>
      <c r="J901" s="20" t="s">
        <v>259</v>
      </c>
      <c r="K901" s="8"/>
      <c r="L901" s="20" t="s">
        <v>259</v>
      </c>
      <c r="M901" s="16" t="n">
        <f aca="false">H901*Scoring!$C$5</f>
        <v>5.2</v>
      </c>
      <c r="N901" s="16" t="n">
        <f aca="false">IF(I901&gt;=5,1,IF(I901=4,0.75,IF(I901=3,0.5,IF(I901=2,0.25,0))))*Scoring!$C$8</f>
        <v>0.75</v>
      </c>
      <c r="O901" s="16" t="n">
        <f aca="false">IF(J901="Yes",0,Scoring!$C$6)</f>
        <v>2</v>
      </c>
      <c r="P901" s="16" t="n">
        <f aca="false">IF(L901="Yes",0,Scoring!$C$7)</f>
        <v>0.5</v>
      </c>
      <c r="Q901" s="8" t="n">
        <f aca="false">ROUND(SUM(M901:P901),2)</f>
        <v>8.45</v>
      </c>
      <c r="R901" s="8" t="str">
        <f aca="false">IF(Q901&gt;=Scoring!$C$10-0.000001,"Keep","Remove")</f>
        <v>Keep</v>
      </c>
      <c r="S901" s="8" t="s">
        <v>166</v>
      </c>
    </row>
    <row r="902" customFormat="false" ht="15" hidden="false" customHeight="false" outlineLevel="0" collapsed="false">
      <c r="A902" s="8" t="s">
        <v>5933</v>
      </c>
      <c r="B902" s="8" t="s">
        <v>5934</v>
      </c>
      <c r="C902" s="8" t="s">
        <v>178</v>
      </c>
      <c r="D902" s="8" t="s">
        <v>5915</v>
      </c>
      <c r="E902" s="8"/>
      <c r="F902" s="8" t="s">
        <v>80</v>
      </c>
      <c r="G902" s="8" t="n">
        <v>2</v>
      </c>
      <c r="H902" s="13" t="n">
        <v>3</v>
      </c>
      <c r="I902" s="8" t="n">
        <v>4</v>
      </c>
      <c r="J902" s="20" t="s">
        <v>259</v>
      </c>
      <c r="K902" s="8"/>
      <c r="L902" s="20" t="s">
        <v>259</v>
      </c>
      <c r="M902" s="16" t="n">
        <f aca="false">H902*Scoring!$C$5</f>
        <v>3.9</v>
      </c>
      <c r="N902" s="16" t="n">
        <f aca="false">IF(I902&gt;=5,1,IF(I902=4,0.75,IF(I902=3,0.5,IF(I902=2,0.25,0))))*Scoring!$C$8</f>
        <v>0.75</v>
      </c>
      <c r="O902" s="16" t="n">
        <f aca="false">IF(J902="Yes",0,Scoring!$C$6)</f>
        <v>2</v>
      </c>
      <c r="P902" s="16" t="n">
        <f aca="false">IF(L902="Yes",0,Scoring!$C$7)</f>
        <v>0.5</v>
      </c>
      <c r="Q902" s="8" t="n">
        <f aca="false">ROUND(SUM(M902:P902),2)</f>
        <v>7.15</v>
      </c>
      <c r="R902" s="8" t="str">
        <f aca="false">IF(Q902&gt;=Scoring!$C$10-0.000001,"Keep","Remove")</f>
        <v>Keep</v>
      </c>
      <c r="S902" s="8" t="s">
        <v>166</v>
      </c>
    </row>
    <row r="903" customFormat="false" ht="15" hidden="false" customHeight="false" outlineLevel="0" collapsed="false">
      <c r="A903" s="8" t="s">
        <v>5940</v>
      </c>
      <c r="B903" s="8" t="s">
        <v>5941</v>
      </c>
      <c r="C903" s="8" t="s">
        <v>178</v>
      </c>
      <c r="D903" s="8" t="s">
        <v>5915</v>
      </c>
      <c r="E903" s="8"/>
      <c r="F903" s="8" t="s">
        <v>82</v>
      </c>
      <c r="G903" s="8" t="n">
        <v>2</v>
      </c>
      <c r="H903" s="13" t="n">
        <v>3</v>
      </c>
      <c r="I903" s="8" t="n">
        <v>3</v>
      </c>
      <c r="J903" s="20" t="s">
        <v>259</v>
      </c>
      <c r="K903" s="8"/>
      <c r="L903" s="20" t="s">
        <v>259</v>
      </c>
      <c r="M903" s="16" t="n">
        <f aca="false">H903*Scoring!$C$5</f>
        <v>3.9</v>
      </c>
      <c r="N903" s="16" t="n">
        <f aca="false">IF(I903&gt;=5,1,IF(I903=4,0.75,IF(I903=3,0.5,IF(I903=2,0.25,0))))*Scoring!$C$8</f>
        <v>0.5</v>
      </c>
      <c r="O903" s="16" t="n">
        <f aca="false">IF(J903="Yes",0,Scoring!$C$6)</f>
        <v>2</v>
      </c>
      <c r="P903" s="16" t="n">
        <f aca="false">IF(L903="Yes",0,Scoring!$C$7)</f>
        <v>0.5</v>
      </c>
      <c r="Q903" s="8" t="n">
        <f aca="false">ROUND(SUM(M903:P903),2)</f>
        <v>6.9</v>
      </c>
      <c r="R903" s="8" t="str">
        <f aca="false">IF(Q903&gt;=Scoring!$C$10-0.000001,"Keep","Remove")</f>
        <v>Keep</v>
      </c>
      <c r="S903" s="8" t="s">
        <v>166</v>
      </c>
    </row>
    <row r="904" customFormat="false" ht="15" hidden="false" customHeight="false" outlineLevel="0" collapsed="false">
      <c r="A904" s="8" t="s">
        <v>7627</v>
      </c>
      <c r="B904" s="8" t="s">
        <v>7628</v>
      </c>
      <c r="C904" s="8" t="s">
        <v>178</v>
      </c>
      <c r="D904" s="8" t="s">
        <v>5915</v>
      </c>
      <c r="E904" s="8"/>
      <c r="F904" s="8" t="s">
        <v>80</v>
      </c>
      <c r="G904" s="8" t="n">
        <v>3</v>
      </c>
      <c r="H904" s="13" t="n">
        <v>2</v>
      </c>
      <c r="I904" s="8" t="n">
        <v>4</v>
      </c>
      <c r="J904" s="20" t="s">
        <v>259</v>
      </c>
      <c r="K904" s="8"/>
      <c r="L904" s="20" t="s">
        <v>259</v>
      </c>
      <c r="M904" s="16" t="n">
        <f aca="false">H904*Scoring!$C$5</f>
        <v>2.6</v>
      </c>
      <c r="N904" s="16" t="n">
        <f aca="false">IF(I904&gt;=5,1,IF(I904=4,0.75,IF(I904=3,0.5,IF(I904=2,0.25,0))))*Scoring!$C$8</f>
        <v>0.75</v>
      </c>
      <c r="O904" s="16" t="n">
        <f aca="false">IF(J904="Yes",0,Scoring!$C$6)</f>
        <v>2</v>
      </c>
      <c r="P904" s="16" t="n">
        <f aca="false">IF(L904="Yes",0,Scoring!$C$7)</f>
        <v>0.5</v>
      </c>
      <c r="Q904" s="8" t="n">
        <f aca="false">ROUND(SUM(M904:P904),2)</f>
        <v>5.85</v>
      </c>
      <c r="R904" s="8" t="str">
        <f aca="false">IF(Q904&gt;=Scoring!$C$10-0.000001,"Keep","Remove")</f>
        <v>Remove</v>
      </c>
      <c r="S904" s="8" t="s">
        <v>7243</v>
      </c>
    </row>
    <row r="905" customFormat="false" ht="15" hidden="false" customHeight="false" outlineLevel="0" collapsed="false">
      <c r="A905" s="8" t="s">
        <v>7629</v>
      </c>
      <c r="B905" s="8" t="s">
        <v>7630</v>
      </c>
      <c r="C905" s="8" t="s">
        <v>178</v>
      </c>
      <c r="D905" s="8" t="s">
        <v>5915</v>
      </c>
      <c r="E905" s="8"/>
      <c r="F905" s="8" t="s">
        <v>79</v>
      </c>
      <c r="G905" s="8" t="n">
        <v>3</v>
      </c>
      <c r="H905" s="13" t="n">
        <v>2</v>
      </c>
      <c r="I905" s="8" t="n">
        <v>4</v>
      </c>
      <c r="J905" s="20" t="s">
        <v>259</v>
      </c>
      <c r="K905" s="8"/>
      <c r="L905" s="20" t="s">
        <v>259</v>
      </c>
      <c r="M905" s="16" t="n">
        <f aca="false">H905*Scoring!$C$5</f>
        <v>2.6</v>
      </c>
      <c r="N905" s="16" t="n">
        <f aca="false">IF(I905&gt;=5,1,IF(I905=4,0.75,IF(I905=3,0.5,IF(I905=2,0.25,0))))*Scoring!$C$8</f>
        <v>0.75</v>
      </c>
      <c r="O905" s="16" t="n">
        <f aca="false">IF(J905="Yes",0,Scoring!$C$6)</f>
        <v>2</v>
      </c>
      <c r="P905" s="16" t="n">
        <f aca="false">IF(L905="Yes",0,Scoring!$C$7)</f>
        <v>0.5</v>
      </c>
      <c r="Q905" s="8" t="n">
        <f aca="false">ROUND(SUM(M905:P905),2)</f>
        <v>5.85</v>
      </c>
      <c r="R905" s="8" t="str">
        <f aca="false">IF(Q905&gt;=Scoring!$C$10-0.000001,"Keep","Remove")</f>
        <v>Remove</v>
      </c>
      <c r="S905" s="8" t="s">
        <v>7243</v>
      </c>
    </row>
    <row r="906" customFormat="false" ht="15" hidden="false" customHeight="false" outlineLevel="0" collapsed="false">
      <c r="A906" s="8" t="s">
        <v>7631</v>
      </c>
      <c r="B906" s="8" t="s">
        <v>7632</v>
      </c>
      <c r="C906" s="8" t="s">
        <v>178</v>
      </c>
      <c r="D906" s="8" t="s">
        <v>5915</v>
      </c>
      <c r="E906" s="8"/>
      <c r="F906" s="8" t="s">
        <v>78</v>
      </c>
      <c r="G906" s="8" t="n">
        <v>3</v>
      </c>
      <c r="H906" s="13" t="n">
        <v>2</v>
      </c>
      <c r="I906" s="8" t="n">
        <v>4</v>
      </c>
      <c r="J906" s="20" t="s">
        <v>259</v>
      </c>
      <c r="K906" s="8"/>
      <c r="L906" s="20" t="s">
        <v>259</v>
      </c>
      <c r="M906" s="16" t="n">
        <f aca="false">H906*Scoring!$C$5</f>
        <v>2.6</v>
      </c>
      <c r="N906" s="16" t="n">
        <f aca="false">IF(I906&gt;=5,1,IF(I906=4,0.75,IF(I906=3,0.5,IF(I906=2,0.25,0))))*Scoring!$C$8</f>
        <v>0.75</v>
      </c>
      <c r="O906" s="16" t="n">
        <f aca="false">IF(J906="Yes",0,Scoring!$C$6)</f>
        <v>2</v>
      </c>
      <c r="P906" s="16" t="n">
        <f aca="false">IF(L906="Yes",0,Scoring!$C$7)</f>
        <v>0.5</v>
      </c>
      <c r="Q906" s="8" t="n">
        <f aca="false">ROUND(SUM(M906:P906),2)</f>
        <v>5.85</v>
      </c>
      <c r="R906" s="8" t="str">
        <f aca="false">IF(Q906&gt;=Scoring!$C$10-0.000001,"Keep","Remove")</f>
        <v>Remove</v>
      </c>
      <c r="S906" s="8" t="s">
        <v>7243</v>
      </c>
    </row>
    <row r="907" customFormat="false" ht="15" hidden="false" customHeight="false" outlineLevel="0" collapsed="false">
      <c r="A907" s="8" t="s">
        <v>7424</v>
      </c>
      <c r="B907" s="8" t="s">
        <v>7425</v>
      </c>
      <c r="C907" s="8" t="s">
        <v>178</v>
      </c>
      <c r="D907" s="8" t="s">
        <v>5926</v>
      </c>
      <c r="E907" s="8"/>
      <c r="F907" s="8" t="s">
        <v>78</v>
      </c>
      <c r="G907" s="8" t="n">
        <v>3</v>
      </c>
      <c r="H907" s="13" t="n">
        <v>2</v>
      </c>
      <c r="I907" s="8" t="n">
        <v>5</v>
      </c>
      <c r="J907" s="20" t="s">
        <v>259</v>
      </c>
      <c r="K907" s="8"/>
      <c r="L907" s="20" t="s">
        <v>259</v>
      </c>
      <c r="M907" s="16" t="n">
        <f aca="false">H907*Scoring!$C$5</f>
        <v>2.6</v>
      </c>
      <c r="N907" s="16" t="n">
        <f aca="false">IF(I907&gt;=5,1,IF(I907=4,0.75,IF(I907=3,0.5,IF(I907=2,0.25,0))))*Scoring!$C$8</f>
        <v>1</v>
      </c>
      <c r="O907" s="16" t="n">
        <f aca="false">IF(J907="Yes",0,Scoring!$C$6)</f>
        <v>2</v>
      </c>
      <c r="P907" s="16" t="n">
        <f aca="false">IF(L907="Yes",0,Scoring!$C$7)</f>
        <v>0.5</v>
      </c>
      <c r="Q907" s="8" t="n">
        <f aca="false">ROUND(SUM(M907:P907),2)</f>
        <v>6.1</v>
      </c>
      <c r="R907" s="8" t="str">
        <f aca="false">IF(Q907&gt;=Scoring!$C$10-0.000001,"Keep","Remove")</f>
        <v>Remove</v>
      </c>
      <c r="S907" s="8" t="s">
        <v>7243</v>
      </c>
    </row>
    <row r="908" customFormat="false" ht="15" hidden="false" customHeight="false" outlineLevel="0" collapsed="false">
      <c r="A908" s="8" t="s">
        <v>7745</v>
      </c>
      <c r="B908" s="8" t="s">
        <v>7746</v>
      </c>
      <c r="C908" s="8" t="s">
        <v>178</v>
      </c>
      <c r="D908" s="8" t="s">
        <v>5926</v>
      </c>
      <c r="E908" s="8"/>
      <c r="F908" s="8" t="s">
        <v>80</v>
      </c>
      <c r="G908" s="8" t="n">
        <v>3</v>
      </c>
      <c r="H908" s="13" t="n">
        <v>2</v>
      </c>
      <c r="I908" s="8" t="n">
        <v>3</v>
      </c>
      <c r="J908" s="20" t="s">
        <v>259</v>
      </c>
      <c r="K908" s="8"/>
      <c r="L908" s="20" t="s">
        <v>259</v>
      </c>
      <c r="M908" s="16" t="n">
        <f aca="false">H908*Scoring!$C$5</f>
        <v>2.6</v>
      </c>
      <c r="N908" s="16" t="n">
        <f aca="false">IF(I908&gt;=5,1,IF(I908=4,0.75,IF(I908=3,0.5,IF(I908=2,0.25,0))))*Scoring!$C$8</f>
        <v>0.5</v>
      </c>
      <c r="O908" s="16" t="n">
        <f aca="false">IF(J908="Yes",0,Scoring!$C$6)</f>
        <v>2</v>
      </c>
      <c r="P908" s="16" t="n">
        <f aca="false">IF(L908="Yes",0,Scoring!$C$7)</f>
        <v>0.5</v>
      </c>
      <c r="Q908" s="8" t="n">
        <f aca="false">ROUND(SUM(M908:P908),2)</f>
        <v>5.6</v>
      </c>
      <c r="R908" s="8" t="str">
        <f aca="false">IF(Q908&gt;=Scoring!$C$10-0.000001,"Keep","Remove")</f>
        <v>Remove</v>
      </c>
      <c r="S908" s="8" t="s">
        <v>7243</v>
      </c>
    </row>
    <row r="909" customFormat="false" ht="15" hidden="false" customHeight="false" outlineLevel="0" collapsed="false">
      <c r="A909" s="8" t="s">
        <v>7633</v>
      </c>
      <c r="B909" s="8" t="s">
        <v>7634</v>
      </c>
      <c r="C909" s="8" t="s">
        <v>178</v>
      </c>
      <c r="D909" s="8" t="s">
        <v>7635</v>
      </c>
      <c r="E909" s="8"/>
      <c r="F909" s="8" t="s">
        <v>79</v>
      </c>
      <c r="G909" s="8" t="n">
        <v>3</v>
      </c>
      <c r="H909" s="13" t="n">
        <v>2</v>
      </c>
      <c r="I909" s="8" t="n">
        <v>4</v>
      </c>
      <c r="J909" s="20" t="s">
        <v>259</v>
      </c>
      <c r="K909" s="8"/>
      <c r="L909" s="20" t="s">
        <v>259</v>
      </c>
      <c r="M909" s="16" t="n">
        <f aca="false">H909*Scoring!$C$5</f>
        <v>2.6</v>
      </c>
      <c r="N909" s="16" t="n">
        <f aca="false">IF(I909&gt;=5,1,IF(I909=4,0.75,IF(I909=3,0.5,IF(I909=2,0.25,0))))*Scoring!$C$8</f>
        <v>0.75</v>
      </c>
      <c r="O909" s="16" t="n">
        <f aca="false">IF(J909="Yes",0,Scoring!$C$6)</f>
        <v>2</v>
      </c>
      <c r="P909" s="16" t="n">
        <f aca="false">IF(L909="Yes",0,Scoring!$C$7)</f>
        <v>0.5</v>
      </c>
      <c r="Q909" s="8" t="n">
        <f aca="false">ROUND(SUM(M909:P909),2)</f>
        <v>5.85</v>
      </c>
      <c r="R909" s="8" t="str">
        <f aca="false">IF(Q909&gt;=Scoring!$C$10-0.000001,"Keep","Remove")</f>
        <v>Remove</v>
      </c>
      <c r="S909" s="8" t="s">
        <v>7243</v>
      </c>
    </row>
    <row r="910" customFormat="false" ht="15" hidden="false" customHeight="false" outlineLevel="0" collapsed="false">
      <c r="A910" s="8" t="s">
        <v>5948</v>
      </c>
      <c r="B910" s="8" t="s">
        <v>5949</v>
      </c>
      <c r="C910" s="8" t="s">
        <v>178</v>
      </c>
      <c r="D910" s="8" t="s">
        <v>5046</v>
      </c>
      <c r="E910" s="8"/>
      <c r="F910" s="8" t="s">
        <v>85</v>
      </c>
      <c r="G910" s="8" t="n">
        <v>2</v>
      </c>
      <c r="H910" s="13" t="n">
        <v>4</v>
      </c>
      <c r="I910" s="8" t="n">
        <v>5</v>
      </c>
      <c r="J910" s="20" t="s">
        <v>259</v>
      </c>
      <c r="K910" s="8"/>
      <c r="L910" s="20" t="s">
        <v>259</v>
      </c>
      <c r="M910" s="16" t="n">
        <f aca="false">H910*Scoring!$C$5</f>
        <v>5.2</v>
      </c>
      <c r="N910" s="16" t="n">
        <f aca="false">IF(I910&gt;=5,1,IF(I910=4,0.75,IF(I910=3,0.5,IF(I910=2,0.25,0))))*Scoring!$C$8</f>
        <v>1</v>
      </c>
      <c r="O910" s="16" t="n">
        <f aca="false">IF(J910="Yes",0,Scoring!$C$6)</f>
        <v>2</v>
      </c>
      <c r="P910" s="16" t="n">
        <f aca="false">IF(L910="Yes",0,Scoring!$C$7)</f>
        <v>0.5</v>
      </c>
      <c r="Q910" s="8" t="n">
        <f aca="false">ROUND(SUM(M910:P910),2)</f>
        <v>8.7</v>
      </c>
      <c r="R910" s="8" t="str">
        <f aca="false">IF(Q910&gt;=Scoring!$C$10-0.000001,"Keep","Remove")</f>
        <v>Keep</v>
      </c>
      <c r="S910" s="8" t="s">
        <v>166</v>
      </c>
    </row>
    <row r="911" customFormat="false" ht="15" hidden="false" customHeight="false" outlineLevel="0" collapsed="false">
      <c r="A911" s="8" t="s">
        <v>7426</v>
      </c>
      <c r="B911" s="8" t="s">
        <v>7427</v>
      </c>
      <c r="C911" s="8" t="s">
        <v>178</v>
      </c>
      <c r="D911" s="8" t="s">
        <v>5046</v>
      </c>
      <c r="E911" s="8"/>
      <c r="F911" s="8" t="s">
        <v>78</v>
      </c>
      <c r="G911" s="8" t="n">
        <v>3</v>
      </c>
      <c r="H911" s="13" t="n">
        <v>2</v>
      </c>
      <c r="I911" s="8" t="n">
        <v>5</v>
      </c>
      <c r="J911" s="20" t="s">
        <v>259</v>
      </c>
      <c r="K911" s="8"/>
      <c r="L911" s="20" t="s">
        <v>259</v>
      </c>
      <c r="M911" s="16" t="n">
        <f aca="false">H911*Scoring!$C$5</f>
        <v>2.6</v>
      </c>
      <c r="N911" s="16" t="n">
        <f aca="false">IF(I911&gt;=5,1,IF(I911=4,0.75,IF(I911=3,0.5,IF(I911=2,0.25,0))))*Scoring!$C$8</f>
        <v>1</v>
      </c>
      <c r="O911" s="16" t="n">
        <f aca="false">IF(J911="Yes",0,Scoring!$C$6)</f>
        <v>2</v>
      </c>
      <c r="P911" s="16" t="n">
        <f aca="false">IF(L911="Yes",0,Scoring!$C$7)</f>
        <v>0.5</v>
      </c>
      <c r="Q911" s="8" t="n">
        <f aca="false">ROUND(SUM(M911:P911),2)</f>
        <v>6.1</v>
      </c>
      <c r="R911" s="8" t="str">
        <f aca="false">IF(Q911&gt;=Scoring!$C$10-0.000001,"Keep","Remove")</f>
        <v>Remove</v>
      </c>
      <c r="S911" s="8" t="s">
        <v>7243</v>
      </c>
    </row>
    <row r="912" customFormat="false" ht="15" hidden="false" customHeight="false" outlineLevel="0" collapsed="false">
      <c r="A912" s="8" t="s">
        <v>7428</v>
      </c>
      <c r="B912" s="8" t="s">
        <v>7429</v>
      </c>
      <c r="C912" s="8" t="s">
        <v>178</v>
      </c>
      <c r="D912" s="8" t="s">
        <v>5046</v>
      </c>
      <c r="E912" s="8"/>
      <c r="F912" s="8" t="s">
        <v>79</v>
      </c>
      <c r="G912" s="8" t="n">
        <v>3</v>
      </c>
      <c r="H912" s="13" t="n">
        <v>2</v>
      </c>
      <c r="I912" s="8" t="n">
        <v>5</v>
      </c>
      <c r="J912" s="20" t="s">
        <v>259</v>
      </c>
      <c r="K912" s="8"/>
      <c r="L912" s="20" t="s">
        <v>259</v>
      </c>
      <c r="M912" s="16" t="n">
        <f aca="false">H912*Scoring!$C$5</f>
        <v>2.6</v>
      </c>
      <c r="N912" s="16" t="n">
        <f aca="false">IF(I912&gt;=5,1,IF(I912=4,0.75,IF(I912=3,0.5,IF(I912=2,0.25,0))))*Scoring!$C$8</f>
        <v>1</v>
      </c>
      <c r="O912" s="16" t="n">
        <f aca="false">IF(J912="Yes",0,Scoring!$C$6)</f>
        <v>2</v>
      </c>
      <c r="P912" s="16" t="n">
        <f aca="false">IF(L912="Yes",0,Scoring!$C$7)</f>
        <v>0.5</v>
      </c>
      <c r="Q912" s="8" t="n">
        <f aca="false">ROUND(SUM(M912:P912),2)</f>
        <v>6.1</v>
      </c>
      <c r="R912" s="8" t="str">
        <f aca="false">IF(Q912&gt;=Scoring!$C$10-0.000001,"Keep","Remove")</f>
        <v>Remove</v>
      </c>
      <c r="S912" s="8" t="s">
        <v>7243</v>
      </c>
    </row>
    <row r="913" customFormat="false" ht="15" hidden="false" customHeight="false" outlineLevel="0" collapsed="false">
      <c r="A913" s="8" t="s">
        <v>5961</v>
      </c>
      <c r="B913" s="8" t="s">
        <v>5962</v>
      </c>
      <c r="C913" s="8" t="s">
        <v>5958</v>
      </c>
      <c r="D913" s="8" t="s">
        <v>5425</v>
      </c>
      <c r="E913" s="8"/>
      <c r="F913" s="8" t="s">
        <v>92</v>
      </c>
      <c r="G913" s="8" t="n">
        <v>1</v>
      </c>
      <c r="H913" s="13" t="n">
        <v>5</v>
      </c>
      <c r="I913" s="8" t="n">
        <v>4</v>
      </c>
      <c r="J913" s="20" t="s">
        <v>259</v>
      </c>
      <c r="K913" s="8"/>
      <c r="L913" s="20" t="s">
        <v>259</v>
      </c>
      <c r="M913" s="16" t="n">
        <f aca="false">H913*Scoring!$C$5</f>
        <v>6.5</v>
      </c>
      <c r="N913" s="16" t="n">
        <f aca="false">IF(I913&gt;=5,1,IF(I913=4,0.75,IF(I913=3,0.5,IF(I913=2,0.25,0))))*Scoring!$C$8</f>
        <v>0.75</v>
      </c>
      <c r="O913" s="16" t="n">
        <f aca="false">IF(J913="Yes",0,Scoring!$C$6)</f>
        <v>2</v>
      </c>
      <c r="P913" s="16" t="n">
        <f aca="false">IF(L913="Yes",0,Scoring!$C$7)</f>
        <v>0.5</v>
      </c>
      <c r="Q913" s="8" t="n">
        <f aca="false">ROUND(SUM(M913:P913),2)</f>
        <v>9.75</v>
      </c>
      <c r="R913" s="8" t="str">
        <f aca="false">IF(Q913&gt;=Scoring!$C$10-0.000001,"Keep","Remove")</f>
        <v>Keep</v>
      </c>
      <c r="S913" s="8" t="s">
        <v>166</v>
      </c>
    </row>
    <row r="914" customFormat="false" ht="15" hidden="false" customHeight="false" outlineLevel="0" collapsed="false">
      <c r="A914" s="8" t="s">
        <v>5973</v>
      </c>
      <c r="B914" s="8" t="s">
        <v>5974</v>
      </c>
      <c r="C914" s="8" t="s">
        <v>5958</v>
      </c>
      <c r="D914" s="8" t="s">
        <v>5207</v>
      </c>
      <c r="E914" s="8"/>
      <c r="F914" s="8" t="s">
        <v>92</v>
      </c>
      <c r="G914" s="8" t="n">
        <v>1</v>
      </c>
      <c r="H914" s="13" t="n">
        <v>5</v>
      </c>
      <c r="I914" s="8" t="n">
        <v>4</v>
      </c>
      <c r="J914" s="20" t="s">
        <v>259</v>
      </c>
      <c r="K914" s="8"/>
      <c r="L914" s="20" t="s">
        <v>259</v>
      </c>
      <c r="M914" s="16" t="n">
        <f aca="false">H914*Scoring!$C$5</f>
        <v>6.5</v>
      </c>
      <c r="N914" s="16" t="n">
        <f aca="false">IF(I914&gt;=5,1,IF(I914=4,0.75,IF(I914=3,0.5,IF(I914=2,0.25,0))))*Scoring!$C$8</f>
        <v>0.75</v>
      </c>
      <c r="O914" s="16" t="n">
        <f aca="false">IF(J914="Yes",0,Scoring!$C$6)</f>
        <v>2</v>
      </c>
      <c r="P914" s="16" t="n">
        <f aca="false">IF(L914="Yes",0,Scoring!$C$7)</f>
        <v>0.5</v>
      </c>
      <c r="Q914" s="8" t="n">
        <f aca="false">ROUND(SUM(M914:P914),2)</f>
        <v>9.75</v>
      </c>
      <c r="R914" s="8" t="str">
        <f aca="false">IF(Q914&gt;=Scoring!$C$10-0.000001,"Keep","Remove")</f>
        <v>Keep</v>
      </c>
      <c r="S914" s="8" t="s">
        <v>166</v>
      </c>
    </row>
    <row r="915" customFormat="false" ht="15" hidden="false" customHeight="false" outlineLevel="0" collapsed="false">
      <c r="A915" s="8" t="s">
        <v>5983</v>
      </c>
      <c r="B915" s="8" t="s">
        <v>5984</v>
      </c>
      <c r="C915" s="8" t="s">
        <v>5958</v>
      </c>
      <c r="D915" s="8" t="s">
        <v>5985</v>
      </c>
      <c r="E915" s="8"/>
      <c r="F915" s="8" t="s">
        <v>92</v>
      </c>
      <c r="G915" s="8" t="n">
        <v>1</v>
      </c>
      <c r="H915" s="13" t="n">
        <v>5</v>
      </c>
      <c r="I915" s="8" t="n">
        <v>4</v>
      </c>
      <c r="J915" s="20" t="s">
        <v>259</v>
      </c>
      <c r="K915" s="8"/>
      <c r="L915" s="20" t="s">
        <v>259</v>
      </c>
      <c r="M915" s="16" t="n">
        <f aca="false">H915*Scoring!$C$5</f>
        <v>6.5</v>
      </c>
      <c r="N915" s="16" t="n">
        <f aca="false">IF(I915&gt;=5,1,IF(I915=4,0.75,IF(I915=3,0.5,IF(I915=2,0.25,0))))*Scoring!$C$8</f>
        <v>0.75</v>
      </c>
      <c r="O915" s="16" t="n">
        <f aca="false">IF(J915="Yes",0,Scoring!$C$6)</f>
        <v>2</v>
      </c>
      <c r="P915" s="16" t="n">
        <f aca="false">IF(L915="Yes",0,Scoring!$C$7)</f>
        <v>0.5</v>
      </c>
      <c r="Q915" s="8" t="n">
        <f aca="false">ROUND(SUM(M915:P915),2)</f>
        <v>9.75</v>
      </c>
      <c r="R915" s="8" t="str">
        <f aca="false">IF(Q915&gt;=Scoring!$C$10-0.000001,"Keep","Remove")</f>
        <v>Keep</v>
      </c>
      <c r="S915" s="8" t="s">
        <v>166</v>
      </c>
    </row>
    <row r="916" customFormat="false" ht="15" hidden="false" customHeight="false" outlineLevel="0" collapsed="false">
      <c r="A916" s="8" t="s">
        <v>5994</v>
      </c>
      <c r="B916" s="8" t="s">
        <v>5995</v>
      </c>
      <c r="C916" s="8" t="s">
        <v>5958</v>
      </c>
      <c r="D916" s="8" t="s">
        <v>5046</v>
      </c>
      <c r="E916" s="8"/>
      <c r="F916" s="8" t="s">
        <v>92</v>
      </c>
      <c r="G916" s="8" t="n">
        <v>1</v>
      </c>
      <c r="H916" s="13" t="n">
        <v>4</v>
      </c>
      <c r="I916" s="8" t="n">
        <v>3</v>
      </c>
      <c r="J916" s="20" t="s">
        <v>259</v>
      </c>
      <c r="K916" s="8"/>
      <c r="L916" s="20" t="s">
        <v>259</v>
      </c>
      <c r="M916" s="16" t="n">
        <f aca="false">H916*Scoring!$C$5</f>
        <v>5.2</v>
      </c>
      <c r="N916" s="16" t="n">
        <f aca="false">IF(I916&gt;=5,1,IF(I916=4,0.75,IF(I916=3,0.5,IF(I916=2,0.25,0))))*Scoring!$C$8</f>
        <v>0.5</v>
      </c>
      <c r="O916" s="16" t="n">
        <f aca="false">IF(J916="Yes",0,Scoring!$C$6)</f>
        <v>2</v>
      </c>
      <c r="P916" s="16" t="n">
        <f aca="false">IF(L916="Yes",0,Scoring!$C$7)</f>
        <v>0.5</v>
      </c>
      <c r="Q916" s="8" t="n">
        <f aca="false">ROUND(SUM(M916:P916),2)</f>
        <v>8.2</v>
      </c>
      <c r="R916" s="8" t="str">
        <f aca="false">IF(Q916&gt;=Scoring!$C$10-0.000001,"Keep","Remove")</f>
        <v>Keep</v>
      </c>
      <c r="S916" s="8" t="s">
        <v>166</v>
      </c>
    </row>
    <row r="917" customFormat="false" ht="15" hidden="false" customHeight="false" outlineLevel="0" collapsed="false">
      <c r="A917" s="8" t="s">
        <v>6004</v>
      </c>
      <c r="B917" s="8" t="s">
        <v>6005</v>
      </c>
      <c r="C917" s="8" t="s">
        <v>5958</v>
      </c>
      <c r="D917" s="8" t="s">
        <v>5046</v>
      </c>
      <c r="E917" s="8"/>
      <c r="F917" s="8" t="s">
        <v>92</v>
      </c>
      <c r="G917" s="8" t="n">
        <v>1</v>
      </c>
      <c r="H917" s="13" t="n">
        <v>4</v>
      </c>
      <c r="I917" s="8" t="n">
        <v>4</v>
      </c>
      <c r="J917" s="20" t="s">
        <v>259</v>
      </c>
      <c r="K917" s="8"/>
      <c r="L917" s="20" t="s">
        <v>259</v>
      </c>
      <c r="M917" s="16" t="n">
        <f aca="false">H917*Scoring!$C$5</f>
        <v>5.2</v>
      </c>
      <c r="N917" s="16" t="n">
        <f aca="false">IF(I917&gt;=5,1,IF(I917=4,0.75,IF(I917=3,0.5,IF(I917=2,0.25,0))))*Scoring!$C$8</f>
        <v>0.75</v>
      </c>
      <c r="O917" s="16" t="n">
        <f aca="false">IF(J917="Yes",0,Scoring!$C$6)</f>
        <v>2</v>
      </c>
      <c r="P917" s="16" t="n">
        <f aca="false">IF(L917="Yes",0,Scoring!$C$7)</f>
        <v>0.5</v>
      </c>
      <c r="Q917" s="8" t="n">
        <f aca="false">ROUND(SUM(M917:P917),2)</f>
        <v>8.45</v>
      </c>
      <c r="R917" s="8" t="str">
        <f aca="false">IF(Q917&gt;=Scoring!$C$10-0.000001,"Keep","Remove")</f>
        <v>Keep</v>
      </c>
      <c r="S917" s="8" t="s">
        <v>166</v>
      </c>
    </row>
    <row r="918" customFormat="false" ht="15" hidden="false" customHeight="false" outlineLevel="0" collapsed="false">
      <c r="A918" s="8" t="s">
        <v>6015</v>
      </c>
      <c r="B918" s="8" t="s">
        <v>6016</v>
      </c>
      <c r="C918" s="8" t="s">
        <v>5958</v>
      </c>
      <c r="D918" s="8" t="s">
        <v>3828</v>
      </c>
      <c r="E918" s="8"/>
      <c r="F918" s="8" t="s">
        <v>92</v>
      </c>
      <c r="G918" s="8" t="n">
        <v>1</v>
      </c>
      <c r="H918" s="13" t="n">
        <v>4</v>
      </c>
      <c r="I918" s="8" t="n">
        <v>4</v>
      </c>
      <c r="J918" s="20" t="s">
        <v>259</v>
      </c>
      <c r="K918" s="8"/>
      <c r="L918" s="20" t="s">
        <v>259</v>
      </c>
      <c r="M918" s="16" t="n">
        <f aca="false">H918*Scoring!$C$5</f>
        <v>5.2</v>
      </c>
      <c r="N918" s="16" t="n">
        <f aca="false">IF(I918&gt;=5,1,IF(I918=4,0.75,IF(I918=3,0.5,IF(I918=2,0.25,0))))*Scoring!$C$8</f>
        <v>0.75</v>
      </c>
      <c r="O918" s="16" t="n">
        <f aca="false">IF(J918="Yes",0,Scoring!$C$6)</f>
        <v>2</v>
      </c>
      <c r="P918" s="16" t="n">
        <f aca="false">IF(L918="Yes",0,Scoring!$C$7)</f>
        <v>0.5</v>
      </c>
      <c r="Q918" s="8" t="n">
        <f aca="false">ROUND(SUM(M918:P918),2)</f>
        <v>8.45</v>
      </c>
      <c r="R918" s="8" t="str">
        <f aca="false">IF(Q918&gt;=Scoring!$C$10-0.000001,"Keep","Remove")</f>
        <v>Keep</v>
      </c>
      <c r="S918" s="8" t="s">
        <v>166</v>
      </c>
    </row>
    <row r="919" customFormat="false" ht="15" hidden="false" customHeight="false" outlineLevel="0" collapsed="false">
      <c r="A919" s="8" t="s">
        <v>6024</v>
      </c>
      <c r="B919" s="8" t="s">
        <v>6025</v>
      </c>
      <c r="C919" s="8" t="s">
        <v>5958</v>
      </c>
      <c r="D919" s="8" t="s">
        <v>5046</v>
      </c>
      <c r="E919" s="8"/>
      <c r="F919" s="8" t="s">
        <v>92</v>
      </c>
      <c r="G919" s="8" t="n">
        <v>1</v>
      </c>
      <c r="H919" s="13" t="n">
        <v>4</v>
      </c>
      <c r="I919" s="8" t="n">
        <v>4</v>
      </c>
      <c r="J919" s="20" t="s">
        <v>259</v>
      </c>
      <c r="K919" s="8"/>
      <c r="L919" s="20" t="s">
        <v>259</v>
      </c>
      <c r="M919" s="16" t="n">
        <f aca="false">H919*Scoring!$C$5</f>
        <v>5.2</v>
      </c>
      <c r="N919" s="16" t="n">
        <f aca="false">IF(I919&gt;=5,1,IF(I919=4,0.75,IF(I919=3,0.5,IF(I919=2,0.25,0))))*Scoring!$C$8</f>
        <v>0.75</v>
      </c>
      <c r="O919" s="16" t="n">
        <f aca="false">IF(J919="Yes",0,Scoring!$C$6)</f>
        <v>2</v>
      </c>
      <c r="P919" s="16" t="n">
        <f aca="false">IF(L919="Yes",0,Scoring!$C$7)</f>
        <v>0.5</v>
      </c>
      <c r="Q919" s="8" t="n">
        <f aca="false">ROUND(SUM(M919:P919),2)</f>
        <v>8.45</v>
      </c>
      <c r="R919" s="8" t="str">
        <f aca="false">IF(Q919&gt;=Scoring!$C$10-0.000001,"Keep","Remove")</f>
        <v>Keep</v>
      </c>
      <c r="S919" s="8" t="s">
        <v>166</v>
      </c>
    </row>
    <row r="920" customFormat="false" ht="15" hidden="false" customHeight="false" outlineLevel="0" collapsed="false">
      <c r="A920" s="8" t="s">
        <v>6033</v>
      </c>
      <c r="B920" s="8" t="s">
        <v>6034</v>
      </c>
      <c r="C920" s="8" t="s">
        <v>5958</v>
      </c>
      <c r="D920" s="8" t="s">
        <v>5425</v>
      </c>
      <c r="E920" s="8"/>
      <c r="F920" s="8" t="s">
        <v>92</v>
      </c>
      <c r="G920" s="8" t="n">
        <v>1</v>
      </c>
      <c r="H920" s="13" t="n">
        <v>4</v>
      </c>
      <c r="I920" s="8" t="n">
        <v>3</v>
      </c>
      <c r="J920" s="20" t="s">
        <v>259</v>
      </c>
      <c r="K920" s="8"/>
      <c r="L920" s="20" t="s">
        <v>259</v>
      </c>
      <c r="M920" s="16" t="n">
        <f aca="false">H920*Scoring!$C$5</f>
        <v>5.2</v>
      </c>
      <c r="N920" s="16" t="n">
        <f aca="false">IF(I920&gt;=5,1,IF(I920=4,0.75,IF(I920=3,0.5,IF(I920=2,0.25,0))))*Scoring!$C$8</f>
        <v>0.5</v>
      </c>
      <c r="O920" s="16" t="n">
        <f aca="false">IF(J920="Yes",0,Scoring!$C$6)</f>
        <v>2</v>
      </c>
      <c r="P920" s="16" t="n">
        <f aca="false">IF(L920="Yes",0,Scoring!$C$7)</f>
        <v>0.5</v>
      </c>
      <c r="Q920" s="8" t="n">
        <f aca="false">ROUND(SUM(M920:P920),2)</f>
        <v>8.2</v>
      </c>
      <c r="R920" s="8" t="str">
        <f aca="false">IF(Q920&gt;=Scoring!$C$10-0.000001,"Keep","Remove")</f>
        <v>Keep</v>
      </c>
      <c r="S920" s="8" t="s">
        <v>166</v>
      </c>
    </row>
    <row r="921" customFormat="false" ht="15" hidden="false" customHeight="false" outlineLevel="0" collapsed="false">
      <c r="A921" s="8" t="s">
        <v>6045</v>
      </c>
      <c r="B921" s="8" t="s">
        <v>6046</v>
      </c>
      <c r="C921" s="8" t="s">
        <v>5958</v>
      </c>
      <c r="D921" s="8" t="s">
        <v>5046</v>
      </c>
      <c r="E921" s="8"/>
      <c r="F921" s="8" t="s">
        <v>92</v>
      </c>
      <c r="G921" s="8" t="n">
        <v>1</v>
      </c>
      <c r="H921" s="13" t="n">
        <v>4</v>
      </c>
      <c r="I921" s="8" t="n">
        <v>4</v>
      </c>
      <c r="J921" s="20" t="s">
        <v>259</v>
      </c>
      <c r="K921" s="8"/>
      <c r="L921" s="20" t="s">
        <v>259</v>
      </c>
      <c r="M921" s="16" t="n">
        <f aca="false">H921*Scoring!$C$5</f>
        <v>5.2</v>
      </c>
      <c r="N921" s="16" t="n">
        <f aca="false">IF(I921&gt;=5,1,IF(I921=4,0.75,IF(I921=3,0.5,IF(I921=2,0.25,0))))*Scoring!$C$8</f>
        <v>0.75</v>
      </c>
      <c r="O921" s="16" t="n">
        <f aca="false">IF(J921="Yes",0,Scoring!$C$6)</f>
        <v>2</v>
      </c>
      <c r="P921" s="16" t="n">
        <f aca="false">IF(L921="Yes",0,Scoring!$C$7)</f>
        <v>0.5</v>
      </c>
      <c r="Q921" s="8" t="n">
        <f aca="false">ROUND(SUM(M921:P921),2)</f>
        <v>8.45</v>
      </c>
      <c r="R921" s="8" t="str">
        <f aca="false">IF(Q921&gt;=Scoring!$C$10-0.000001,"Keep","Remove")</f>
        <v>Keep</v>
      </c>
      <c r="S921" s="8" t="s">
        <v>166</v>
      </c>
    </row>
    <row r="922" customFormat="false" ht="15" hidden="false" customHeight="false" outlineLevel="0" collapsed="false">
      <c r="A922" s="8" t="s">
        <v>6055</v>
      </c>
      <c r="B922" s="8" t="s">
        <v>6056</v>
      </c>
      <c r="C922" s="8" t="s">
        <v>5958</v>
      </c>
      <c r="D922" s="8" t="s">
        <v>4081</v>
      </c>
      <c r="E922" s="8"/>
      <c r="F922" s="8" t="s">
        <v>92</v>
      </c>
      <c r="G922" s="8" t="n">
        <v>1</v>
      </c>
      <c r="H922" s="13" t="n">
        <v>4</v>
      </c>
      <c r="I922" s="8" t="n">
        <v>5</v>
      </c>
      <c r="J922" s="20" t="s">
        <v>259</v>
      </c>
      <c r="K922" s="8"/>
      <c r="L922" s="20" t="s">
        <v>259</v>
      </c>
      <c r="M922" s="16" t="n">
        <f aca="false">H922*Scoring!$C$5</f>
        <v>5.2</v>
      </c>
      <c r="N922" s="16" t="n">
        <f aca="false">IF(I922&gt;=5,1,IF(I922=4,0.75,IF(I922=3,0.5,IF(I922=2,0.25,0))))*Scoring!$C$8</f>
        <v>1</v>
      </c>
      <c r="O922" s="16" t="n">
        <f aca="false">IF(J922="Yes",0,Scoring!$C$6)</f>
        <v>2</v>
      </c>
      <c r="P922" s="16" t="n">
        <f aca="false">IF(L922="Yes",0,Scoring!$C$7)</f>
        <v>0.5</v>
      </c>
      <c r="Q922" s="8" t="n">
        <f aca="false">ROUND(SUM(M922:P922),2)</f>
        <v>8.7</v>
      </c>
      <c r="R922" s="8" t="str">
        <f aca="false">IF(Q922&gt;=Scoring!$C$10-0.000001,"Keep","Remove")</f>
        <v>Keep</v>
      </c>
      <c r="S922" s="8" t="s">
        <v>166</v>
      </c>
    </row>
    <row r="923" customFormat="false" ht="15" hidden="false" customHeight="false" outlineLevel="0" collapsed="false">
      <c r="A923" s="8" t="s">
        <v>6066</v>
      </c>
      <c r="B923" s="8" t="s">
        <v>6067</v>
      </c>
      <c r="C923" s="8" t="s">
        <v>5958</v>
      </c>
      <c r="D923" s="8" t="s">
        <v>5046</v>
      </c>
      <c r="E923" s="8"/>
      <c r="F923" s="8" t="s">
        <v>92</v>
      </c>
      <c r="G923" s="8" t="n">
        <v>1</v>
      </c>
      <c r="H923" s="13" t="n">
        <v>4</v>
      </c>
      <c r="I923" s="8" t="n">
        <v>4</v>
      </c>
      <c r="J923" s="20" t="s">
        <v>259</v>
      </c>
      <c r="K923" s="8"/>
      <c r="L923" s="20" t="s">
        <v>259</v>
      </c>
      <c r="M923" s="16" t="n">
        <f aca="false">H923*Scoring!$C$5</f>
        <v>5.2</v>
      </c>
      <c r="N923" s="16" t="n">
        <f aca="false">IF(I923&gt;=5,1,IF(I923=4,0.75,IF(I923=3,0.5,IF(I923=2,0.25,0))))*Scoring!$C$8</f>
        <v>0.75</v>
      </c>
      <c r="O923" s="16" t="n">
        <f aca="false">IF(J923="Yes",0,Scoring!$C$6)</f>
        <v>2</v>
      </c>
      <c r="P923" s="16" t="n">
        <f aca="false">IF(L923="Yes",0,Scoring!$C$7)</f>
        <v>0.5</v>
      </c>
      <c r="Q923" s="8" t="n">
        <f aca="false">ROUND(SUM(M923:P923),2)</f>
        <v>8.45</v>
      </c>
      <c r="R923" s="8" t="str">
        <f aca="false">IF(Q923&gt;=Scoring!$C$10-0.000001,"Keep","Remove")</f>
        <v>Keep</v>
      </c>
      <c r="S923" s="8" t="s">
        <v>166</v>
      </c>
    </row>
    <row r="924" customFormat="false" ht="15" hidden="false" customHeight="false" outlineLevel="0" collapsed="false">
      <c r="A924" s="8" t="s">
        <v>6078</v>
      </c>
      <c r="B924" s="8" t="s">
        <v>6079</v>
      </c>
      <c r="C924" s="8" t="s">
        <v>5958</v>
      </c>
      <c r="D924" s="8" t="s">
        <v>5046</v>
      </c>
      <c r="E924" s="8"/>
      <c r="F924" s="8" t="s">
        <v>92</v>
      </c>
      <c r="G924" s="8" t="n">
        <v>1</v>
      </c>
      <c r="H924" s="13" t="n">
        <v>4</v>
      </c>
      <c r="I924" s="8" t="n">
        <v>3</v>
      </c>
      <c r="J924" s="20" t="s">
        <v>259</v>
      </c>
      <c r="K924" s="8"/>
      <c r="L924" s="20" t="s">
        <v>259</v>
      </c>
      <c r="M924" s="16" t="n">
        <f aca="false">H924*Scoring!$C$5</f>
        <v>5.2</v>
      </c>
      <c r="N924" s="16" t="n">
        <f aca="false">IF(I924&gt;=5,1,IF(I924=4,0.75,IF(I924=3,0.5,IF(I924=2,0.25,0))))*Scoring!$C$8</f>
        <v>0.5</v>
      </c>
      <c r="O924" s="16" t="n">
        <f aca="false">IF(J924="Yes",0,Scoring!$C$6)</f>
        <v>2</v>
      </c>
      <c r="P924" s="16" t="n">
        <f aca="false">IF(L924="Yes",0,Scoring!$C$7)</f>
        <v>0.5</v>
      </c>
      <c r="Q924" s="8" t="n">
        <f aca="false">ROUND(SUM(M924:P924),2)</f>
        <v>8.2</v>
      </c>
      <c r="R924" s="8" t="str">
        <f aca="false">IF(Q924&gt;=Scoring!$C$10-0.000001,"Keep","Remove")</f>
        <v>Keep</v>
      </c>
      <c r="S924" s="8" t="s">
        <v>166</v>
      </c>
    </row>
    <row r="925" customFormat="false" ht="15" hidden="false" customHeight="false" outlineLevel="0" collapsed="false">
      <c r="A925" s="8" t="s">
        <v>6089</v>
      </c>
      <c r="B925" s="8" t="s">
        <v>6090</v>
      </c>
      <c r="C925" s="8" t="s">
        <v>5958</v>
      </c>
      <c r="D925" s="8" t="s">
        <v>5046</v>
      </c>
      <c r="E925" s="8"/>
      <c r="F925" s="8" t="s">
        <v>92</v>
      </c>
      <c r="G925" s="8" t="n">
        <v>2</v>
      </c>
      <c r="H925" s="13" t="n">
        <v>3</v>
      </c>
      <c r="I925" s="8" t="n">
        <v>4</v>
      </c>
      <c r="J925" s="20" t="s">
        <v>259</v>
      </c>
      <c r="K925" s="8"/>
      <c r="L925" s="20" t="s">
        <v>259</v>
      </c>
      <c r="M925" s="16" t="n">
        <f aca="false">H925*Scoring!$C$5</f>
        <v>3.9</v>
      </c>
      <c r="N925" s="16" t="n">
        <f aca="false">IF(I925&gt;=5,1,IF(I925=4,0.75,IF(I925=3,0.5,IF(I925=2,0.25,0))))*Scoring!$C$8</f>
        <v>0.75</v>
      </c>
      <c r="O925" s="16" t="n">
        <f aca="false">IF(J925="Yes",0,Scoring!$C$6)</f>
        <v>2</v>
      </c>
      <c r="P925" s="16" t="n">
        <f aca="false">IF(L925="Yes",0,Scoring!$C$7)</f>
        <v>0.5</v>
      </c>
      <c r="Q925" s="8" t="n">
        <f aca="false">ROUND(SUM(M925:P925),2)</f>
        <v>7.15</v>
      </c>
      <c r="R925" s="8" t="str">
        <f aca="false">IF(Q925&gt;=Scoring!$C$10-0.000001,"Keep","Remove")</f>
        <v>Keep</v>
      </c>
      <c r="S925" s="8" t="s">
        <v>166</v>
      </c>
    </row>
    <row r="926" customFormat="false" ht="15" hidden="false" customHeight="false" outlineLevel="0" collapsed="false">
      <c r="A926" s="8" t="s">
        <v>6100</v>
      </c>
      <c r="B926" s="8" t="s">
        <v>6101</v>
      </c>
      <c r="C926" s="8" t="s">
        <v>5958</v>
      </c>
      <c r="D926" s="8" t="s">
        <v>5046</v>
      </c>
      <c r="E926" s="8"/>
      <c r="F926" s="8" t="s">
        <v>92</v>
      </c>
      <c r="G926" s="8" t="n">
        <v>1</v>
      </c>
      <c r="H926" s="13" t="n">
        <v>5</v>
      </c>
      <c r="I926" s="8" t="n">
        <v>6</v>
      </c>
      <c r="J926" s="20" t="s">
        <v>259</v>
      </c>
      <c r="K926" s="8"/>
      <c r="L926" s="20" t="s">
        <v>259</v>
      </c>
      <c r="M926" s="16" t="n">
        <f aca="false">H926*Scoring!$C$5</f>
        <v>6.5</v>
      </c>
      <c r="N926" s="16" t="n">
        <f aca="false">IF(I926&gt;=5,1,IF(I926=4,0.75,IF(I926=3,0.5,IF(I926=2,0.25,0))))*Scoring!$C$8</f>
        <v>1</v>
      </c>
      <c r="O926" s="16" t="n">
        <f aca="false">IF(J926="Yes",0,Scoring!$C$6)</f>
        <v>2</v>
      </c>
      <c r="P926" s="16" t="n">
        <f aca="false">IF(L926="Yes",0,Scoring!$C$7)</f>
        <v>0.5</v>
      </c>
      <c r="Q926" s="8" t="n">
        <f aca="false">ROUND(SUM(M926:P926),2)</f>
        <v>10</v>
      </c>
      <c r="R926" s="8" t="str">
        <f aca="false">IF(Q926&gt;=Scoring!$C$10-0.000001,"Keep","Remove")</f>
        <v>Keep</v>
      </c>
      <c r="S926" s="8" t="s">
        <v>166</v>
      </c>
    </row>
    <row r="927" customFormat="false" ht="15" hidden="false" customHeight="false" outlineLevel="0" collapsed="false">
      <c r="A927" s="8" t="s">
        <v>6110</v>
      </c>
      <c r="B927" s="8" t="s">
        <v>6111</v>
      </c>
      <c r="C927" s="8" t="s">
        <v>5958</v>
      </c>
      <c r="D927" s="8" t="s">
        <v>3828</v>
      </c>
      <c r="E927" s="8"/>
      <c r="F927" s="8" t="s">
        <v>92</v>
      </c>
      <c r="G927" s="8" t="n">
        <v>1</v>
      </c>
      <c r="H927" s="13" t="n">
        <v>4</v>
      </c>
      <c r="I927" s="8" t="n">
        <v>4</v>
      </c>
      <c r="J927" s="20" t="s">
        <v>259</v>
      </c>
      <c r="K927" s="8"/>
      <c r="L927" s="20" t="s">
        <v>259</v>
      </c>
      <c r="M927" s="16" t="n">
        <f aca="false">H927*Scoring!$C$5</f>
        <v>5.2</v>
      </c>
      <c r="N927" s="16" t="n">
        <f aca="false">IF(I927&gt;=5,1,IF(I927=4,0.75,IF(I927=3,0.5,IF(I927=2,0.25,0))))*Scoring!$C$8</f>
        <v>0.75</v>
      </c>
      <c r="O927" s="16" t="n">
        <f aca="false">IF(J927="Yes",0,Scoring!$C$6)</f>
        <v>2</v>
      </c>
      <c r="P927" s="16" t="n">
        <f aca="false">IF(L927="Yes",0,Scoring!$C$7)</f>
        <v>0.5</v>
      </c>
      <c r="Q927" s="8" t="n">
        <f aca="false">ROUND(SUM(M927:P927),2)</f>
        <v>8.45</v>
      </c>
      <c r="R927" s="8" t="str">
        <f aca="false">IF(Q927&gt;=Scoring!$C$10-0.000001,"Keep","Remove")</f>
        <v>Keep</v>
      </c>
      <c r="S927" s="8" t="s">
        <v>166</v>
      </c>
    </row>
    <row r="928" customFormat="false" ht="15" hidden="false" customHeight="false" outlineLevel="0" collapsed="false">
      <c r="A928" s="8" t="s">
        <v>6122</v>
      </c>
      <c r="B928" s="8" t="s">
        <v>6123</v>
      </c>
      <c r="C928" s="8" t="s">
        <v>5958</v>
      </c>
      <c r="D928" s="8" t="s">
        <v>5478</v>
      </c>
      <c r="E928" s="8"/>
      <c r="F928" s="8" t="s">
        <v>92</v>
      </c>
      <c r="G928" s="8" t="n">
        <v>1</v>
      </c>
      <c r="H928" s="13" t="n">
        <v>4</v>
      </c>
      <c r="I928" s="8" t="n">
        <v>2</v>
      </c>
      <c r="J928" s="20" t="s">
        <v>259</v>
      </c>
      <c r="K928" s="8"/>
      <c r="L928" s="20" t="s">
        <v>259</v>
      </c>
      <c r="M928" s="16" t="n">
        <f aca="false">H928*Scoring!$C$5</f>
        <v>5.2</v>
      </c>
      <c r="N928" s="16" t="n">
        <f aca="false">IF(I928&gt;=5,1,IF(I928=4,0.75,IF(I928=3,0.5,IF(I928=2,0.25,0))))*Scoring!$C$8</f>
        <v>0.25</v>
      </c>
      <c r="O928" s="16" t="n">
        <f aca="false">IF(J928="Yes",0,Scoring!$C$6)</f>
        <v>2</v>
      </c>
      <c r="P928" s="16" t="n">
        <f aca="false">IF(L928="Yes",0,Scoring!$C$7)</f>
        <v>0.5</v>
      </c>
      <c r="Q928" s="8" t="n">
        <f aca="false">ROUND(SUM(M928:P928),2)</f>
        <v>7.95</v>
      </c>
      <c r="R928" s="8" t="str">
        <f aca="false">IF(Q928&gt;=Scoring!$C$10-0.000001,"Keep","Remove")</f>
        <v>Keep</v>
      </c>
      <c r="S928" s="8" t="s">
        <v>166</v>
      </c>
    </row>
    <row r="929" customFormat="false" ht="15" hidden="false" customHeight="false" outlineLevel="0" collapsed="false">
      <c r="A929" s="8" t="s">
        <v>6133</v>
      </c>
      <c r="B929" s="8" t="s">
        <v>6134</v>
      </c>
      <c r="C929" s="8" t="s">
        <v>5958</v>
      </c>
      <c r="D929" s="8" t="s">
        <v>5446</v>
      </c>
      <c r="E929" s="8"/>
      <c r="F929" s="8" t="s">
        <v>92</v>
      </c>
      <c r="G929" s="8" t="n">
        <v>2</v>
      </c>
      <c r="H929" s="13" t="n">
        <v>3</v>
      </c>
      <c r="I929" s="8" t="n">
        <v>4</v>
      </c>
      <c r="J929" s="20" t="s">
        <v>259</v>
      </c>
      <c r="K929" s="8"/>
      <c r="L929" s="20" t="s">
        <v>259</v>
      </c>
      <c r="M929" s="16" t="n">
        <f aca="false">H929*Scoring!$C$5</f>
        <v>3.9</v>
      </c>
      <c r="N929" s="16" t="n">
        <f aca="false">IF(I929&gt;=5,1,IF(I929=4,0.75,IF(I929=3,0.5,IF(I929=2,0.25,0))))*Scoring!$C$8</f>
        <v>0.75</v>
      </c>
      <c r="O929" s="16" t="n">
        <f aca="false">IF(J929="Yes",0,Scoring!$C$6)</f>
        <v>2</v>
      </c>
      <c r="P929" s="16" t="n">
        <f aca="false">IF(L929="Yes",0,Scoring!$C$7)</f>
        <v>0.5</v>
      </c>
      <c r="Q929" s="8" t="n">
        <f aca="false">ROUND(SUM(M929:P929),2)</f>
        <v>7.15</v>
      </c>
      <c r="R929" s="8" t="str">
        <f aca="false">IF(Q929&gt;=Scoring!$C$10-0.000001,"Keep","Remove")</f>
        <v>Keep</v>
      </c>
      <c r="S929" s="8" t="s">
        <v>166</v>
      </c>
    </row>
    <row r="930" customFormat="false" ht="15" hidden="false" customHeight="false" outlineLevel="0" collapsed="false">
      <c r="A930" s="8" t="s">
        <v>6142</v>
      </c>
      <c r="B930" s="8" t="s">
        <v>6143</v>
      </c>
      <c r="C930" s="8" t="s">
        <v>5958</v>
      </c>
      <c r="D930" s="8" t="s">
        <v>4448</v>
      </c>
      <c r="E930" s="8"/>
      <c r="F930" s="8" t="s">
        <v>92</v>
      </c>
      <c r="G930" s="8" t="n">
        <v>1</v>
      </c>
      <c r="H930" s="13" t="n">
        <v>4</v>
      </c>
      <c r="I930" s="8" t="n">
        <v>3</v>
      </c>
      <c r="J930" s="20" t="s">
        <v>259</v>
      </c>
      <c r="K930" s="8"/>
      <c r="L930" s="20" t="s">
        <v>259</v>
      </c>
      <c r="M930" s="16" t="n">
        <f aca="false">H930*Scoring!$C$5</f>
        <v>5.2</v>
      </c>
      <c r="N930" s="16" t="n">
        <f aca="false">IF(I930&gt;=5,1,IF(I930=4,0.75,IF(I930=3,0.5,IF(I930=2,0.25,0))))*Scoring!$C$8</f>
        <v>0.5</v>
      </c>
      <c r="O930" s="16" t="n">
        <f aca="false">IF(J930="Yes",0,Scoring!$C$6)</f>
        <v>2</v>
      </c>
      <c r="P930" s="16" t="n">
        <f aca="false">IF(L930="Yes",0,Scoring!$C$7)</f>
        <v>0.5</v>
      </c>
      <c r="Q930" s="8" t="n">
        <f aca="false">ROUND(SUM(M930:P930),2)</f>
        <v>8.2</v>
      </c>
      <c r="R930" s="8" t="str">
        <f aca="false">IF(Q930&gt;=Scoring!$C$10-0.000001,"Keep","Remove")</f>
        <v>Keep</v>
      </c>
      <c r="S930" s="8" t="s">
        <v>166</v>
      </c>
    </row>
    <row r="931" customFormat="false" ht="15" hidden="false" customHeight="false" outlineLevel="0" collapsed="false">
      <c r="A931" s="8" t="s">
        <v>6152</v>
      </c>
      <c r="B931" s="8" t="s">
        <v>6153</v>
      </c>
      <c r="C931" s="8" t="s">
        <v>5958</v>
      </c>
      <c r="D931" s="8" t="s">
        <v>4448</v>
      </c>
      <c r="E931" s="8"/>
      <c r="F931" s="8" t="s">
        <v>92</v>
      </c>
      <c r="G931" s="8" t="n">
        <v>1</v>
      </c>
      <c r="H931" s="13" t="n">
        <v>5</v>
      </c>
      <c r="I931" s="8" t="n">
        <v>4</v>
      </c>
      <c r="J931" s="20" t="s">
        <v>259</v>
      </c>
      <c r="K931" s="8"/>
      <c r="L931" s="20" t="s">
        <v>259</v>
      </c>
      <c r="M931" s="16" t="n">
        <f aca="false">H931*Scoring!$C$5</f>
        <v>6.5</v>
      </c>
      <c r="N931" s="16" t="n">
        <f aca="false">IF(I931&gt;=5,1,IF(I931=4,0.75,IF(I931=3,0.5,IF(I931=2,0.25,0))))*Scoring!$C$8</f>
        <v>0.75</v>
      </c>
      <c r="O931" s="16" t="n">
        <f aca="false">IF(J931="Yes",0,Scoring!$C$6)</f>
        <v>2</v>
      </c>
      <c r="P931" s="16" t="n">
        <f aca="false">IF(L931="Yes",0,Scoring!$C$7)</f>
        <v>0.5</v>
      </c>
      <c r="Q931" s="8" t="n">
        <f aca="false">ROUND(SUM(M931:P931),2)</f>
        <v>9.75</v>
      </c>
      <c r="R931" s="8" t="str">
        <f aca="false">IF(Q931&gt;=Scoring!$C$10-0.000001,"Keep","Remove")</f>
        <v>Keep</v>
      </c>
      <c r="S931" s="8" t="s">
        <v>166</v>
      </c>
    </row>
    <row r="932" customFormat="false" ht="15" hidden="false" customHeight="false" outlineLevel="0" collapsed="false">
      <c r="A932" s="8" t="s">
        <v>6160</v>
      </c>
      <c r="B932" s="8" t="s">
        <v>6161</v>
      </c>
      <c r="C932" s="8" t="s">
        <v>5958</v>
      </c>
      <c r="D932" s="8" t="s">
        <v>5046</v>
      </c>
      <c r="E932" s="8"/>
      <c r="F932" s="8" t="s">
        <v>92</v>
      </c>
      <c r="G932" s="8" t="n">
        <v>2</v>
      </c>
      <c r="H932" s="13" t="n">
        <v>3</v>
      </c>
      <c r="I932" s="8" t="n">
        <v>3</v>
      </c>
      <c r="J932" s="20" t="s">
        <v>259</v>
      </c>
      <c r="K932" s="8"/>
      <c r="L932" s="20" t="s">
        <v>259</v>
      </c>
      <c r="M932" s="16" t="n">
        <f aca="false">H932*Scoring!$C$5</f>
        <v>3.9</v>
      </c>
      <c r="N932" s="16" t="n">
        <f aca="false">IF(I932&gt;=5,1,IF(I932=4,0.75,IF(I932=3,0.5,IF(I932=2,0.25,0))))*Scoring!$C$8</f>
        <v>0.5</v>
      </c>
      <c r="O932" s="16" t="n">
        <f aca="false">IF(J932="Yes",0,Scoring!$C$6)</f>
        <v>2</v>
      </c>
      <c r="P932" s="16" t="n">
        <f aca="false">IF(L932="Yes",0,Scoring!$C$7)</f>
        <v>0.5</v>
      </c>
      <c r="Q932" s="8" t="n">
        <f aca="false">ROUND(SUM(M932:P932),2)</f>
        <v>6.9</v>
      </c>
      <c r="R932" s="8" t="str">
        <f aca="false">IF(Q932&gt;=Scoring!$C$10-0.000001,"Keep","Remove")</f>
        <v>Keep</v>
      </c>
      <c r="S932" s="8" t="s">
        <v>166</v>
      </c>
    </row>
    <row r="933" customFormat="false" ht="15" hidden="false" customHeight="false" outlineLevel="0" collapsed="false">
      <c r="A933" s="8" t="s">
        <v>6168</v>
      </c>
      <c r="B933" s="8" t="s">
        <v>6169</v>
      </c>
      <c r="C933" s="8" t="s">
        <v>5958</v>
      </c>
      <c r="D933" s="8" t="s">
        <v>5046</v>
      </c>
      <c r="E933" s="8"/>
      <c r="F933" s="8" t="s">
        <v>92</v>
      </c>
      <c r="G933" s="8" t="n">
        <v>2</v>
      </c>
      <c r="H933" s="13" t="n">
        <v>3</v>
      </c>
      <c r="I933" s="8" t="n">
        <v>4</v>
      </c>
      <c r="J933" s="20" t="s">
        <v>259</v>
      </c>
      <c r="K933" s="8"/>
      <c r="L933" s="20" t="s">
        <v>259</v>
      </c>
      <c r="M933" s="16" t="n">
        <f aca="false">H933*Scoring!$C$5</f>
        <v>3.9</v>
      </c>
      <c r="N933" s="16" t="n">
        <f aca="false">IF(I933&gt;=5,1,IF(I933=4,0.75,IF(I933=3,0.5,IF(I933=2,0.25,0))))*Scoring!$C$8</f>
        <v>0.75</v>
      </c>
      <c r="O933" s="16" t="n">
        <f aca="false">IF(J933="Yes",0,Scoring!$C$6)</f>
        <v>2</v>
      </c>
      <c r="P933" s="16" t="n">
        <f aca="false">IF(L933="Yes",0,Scoring!$C$7)</f>
        <v>0.5</v>
      </c>
      <c r="Q933" s="8" t="n">
        <f aca="false">ROUND(SUM(M933:P933),2)</f>
        <v>7.15</v>
      </c>
      <c r="R933" s="8" t="str">
        <f aca="false">IF(Q933&gt;=Scoring!$C$10-0.000001,"Keep","Remove")</f>
        <v>Keep</v>
      </c>
      <c r="S933" s="8" t="s">
        <v>166</v>
      </c>
    </row>
    <row r="934" customFormat="false" ht="15" hidden="false" customHeight="false" outlineLevel="0" collapsed="false">
      <c r="A934" s="8" t="s">
        <v>6178</v>
      </c>
      <c r="B934" s="8" t="s">
        <v>6179</v>
      </c>
      <c r="C934" s="8" t="s">
        <v>5958</v>
      </c>
      <c r="D934" s="8" t="s">
        <v>5046</v>
      </c>
      <c r="E934" s="8"/>
      <c r="F934" s="8" t="s">
        <v>92</v>
      </c>
      <c r="G934" s="8" t="n">
        <v>1</v>
      </c>
      <c r="H934" s="13" t="n">
        <v>4</v>
      </c>
      <c r="I934" s="8" t="n">
        <v>4</v>
      </c>
      <c r="J934" s="20" t="s">
        <v>259</v>
      </c>
      <c r="K934" s="8"/>
      <c r="L934" s="20" t="s">
        <v>259</v>
      </c>
      <c r="M934" s="16" t="n">
        <f aca="false">H934*Scoring!$C$5</f>
        <v>5.2</v>
      </c>
      <c r="N934" s="16" t="n">
        <f aca="false">IF(I934&gt;=5,1,IF(I934=4,0.75,IF(I934=3,0.5,IF(I934=2,0.25,0))))*Scoring!$C$8</f>
        <v>0.75</v>
      </c>
      <c r="O934" s="16" t="n">
        <f aca="false">IF(J934="Yes",0,Scoring!$C$6)</f>
        <v>2</v>
      </c>
      <c r="P934" s="16" t="n">
        <f aca="false">IF(L934="Yes",0,Scoring!$C$7)</f>
        <v>0.5</v>
      </c>
      <c r="Q934" s="8" t="n">
        <f aca="false">ROUND(SUM(M934:P934),2)</f>
        <v>8.45</v>
      </c>
      <c r="R934" s="8" t="str">
        <f aca="false">IF(Q934&gt;=Scoring!$C$10-0.000001,"Keep","Remove")</f>
        <v>Keep</v>
      </c>
      <c r="S934" s="8" t="s">
        <v>166</v>
      </c>
    </row>
    <row r="935" customFormat="false" ht="15" hidden="false" customHeight="false" outlineLevel="0" collapsed="false">
      <c r="A935" s="8" t="s">
        <v>6185</v>
      </c>
      <c r="B935" s="8" t="s">
        <v>6186</v>
      </c>
      <c r="C935" s="8" t="s">
        <v>5958</v>
      </c>
      <c r="D935" s="8" t="s">
        <v>3828</v>
      </c>
      <c r="E935" s="8"/>
      <c r="F935" s="8" t="s">
        <v>92</v>
      </c>
      <c r="G935" s="8" t="n">
        <v>2</v>
      </c>
      <c r="H935" s="13" t="n">
        <v>3</v>
      </c>
      <c r="I935" s="8" t="n">
        <v>4</v>
      </c>
      <c r="J935" s="20" t="s">
        <v>259</v>
      </c>
      <c r="K935" s="8"/>
      <c r="L935" s="20" t="s">
        <v>259</v>
      </c>
      <c r="M935" s="16" t="n">
        <f aca="false">H935*Scoring!$C$5</f>
        <v>3.9</v>
      </c>
      <c r="N935" s="16" t="n">
        <f aca="false">IF(I935&gt;=5,1,IF(I935=4,0.75,IF(I935=3,0.5,IF(I935=2,0.25,0))))*Scoring!$C$8</f>
        <v>0.75</v>
      </c>
      <c r="O935" s="16" t="n">
        <f aca="false">IF(J935="Yes",0,Scoring!$C$6)</f>
        <v>2</v>
      </c>
      <c r="P935" s="16" t="n">
        <f aca="false">IF(L935="Yes",0,Scoring!$C$7)</f>
        <v>0.5</v>
      </c>
      <c r="Q935" s="8" t="n">
        <f aca="false">ROUND(SUM(M935:P935),2)</f>
        <v>7.15</v>
      </c>
      <c r="R935" s="8" t="str">
        <f aca="false">IF(Q935&gt;=Scoring!$C$10-0.000001,"Keep","Remove")</f>
        <v>Keep</v>
      </c>
      <c r="S935" s="8" t="s">
        <v>166</v>
      </c>
    </row>
    <row r="936" customFormat="false" ht="15" hidden="false" customHeight="false" outlineLevel="0" collapsed="false">
      <c r="A936" s="8" t="s">
        <v>6195</v>
      </c>
      <c r="B936" s="8" t="s">
        <v>6196</v>
      </c>
      <c r="C936" s="8" t="s">
        <v>5958</v>
      </c>
      <c r="D936" s="8" t="s">
        <v>4081</v>
      </c>
      <c r="E936" s="8"/>
      <c r="F936" s="8" t="s">
        <v>92</v>
      </c>
      <c r="G936" s="8" t="n">
        <v>1</v>
      </c>
      <c r="H936" s="13" t="n">
        <v>4</v>
      </c>
      <c r="I936" s="8" t="n">
        <v>4</v>
      </c>
      <c r="J936" s="20" t="s">
        <v>259</v>
      </c>
      <c r="K936" s="8"/>
      <c r="L936" s="20" t="s">
        <v>259</v>
      </c>
      <c r="M936" s="16" t="n">
        <f aca="false">H936*Scoring!$C$5</f>
        <v>5.2</v>
      </c>
      <c r="N936" s="16" t="n">
        <f aca="false">IF(I936&gt;=5,1,IF(I936=4,0.75,IF(I936=3,0.5,IF(I936=2,0.25,0))))*Scoring!$C$8</f>
        <v>0.75</v>
      </c>
      <c r="O936" s="16" t="n">
        <f aca="false">IF(J936="Yes",0,Scoring!$C$6)</f>
        <v>2</v>
      </c>
      <c r="P936" s="16" t="n">
        <f aca="false">IF(L936="Yes",0,Scoring!$C$7)</f>
        <v>0.5</v>
      </c>
      <c r="Q936" s="8" t="n">
        <f aca="false">ROUND(SUM(M936:P936),2)</f>
        <v>8.45</v>
      </c>
      <c r="R936" s="8" t="str">
        <f aca="false">IF(Q936&gt;=Scoring!$C$10-0.000001,"Keep","Remove")</f>
        <v>Keep</v>
      </c>
      <c r="S936" s="8" t="s">
        <v>166</v>
      </c>
    </row>
    <row r="937" customFormat="false" ht="15" hidden="false" customHeight="false" outlineLevel="0" collapsed="false">
      <c r="A937" s="8" t="s">
        <v>6206</v>
      </c>
      <c r="B937" s="8" t="s">
        <v>6207</v>
      </c>
      <c r="C937" s="8" t="s">
        <v>5958</v>
      </c>
      <c r="D937" s="8" t="s">
        <v>4081</v>
      </c>
      <c r="E937" s="8"/>
      <c r="F937" s="8" t="s">
        <v>92</v>
      </c>
      <c r="G937" s="8" t="n">
        <v>2</v>
      </c>
      <c r="H937" s="13" t="n">
        <v>3</v>
      </c>
      <c r="I937" s="8" t="n">
        <v>3</v>
      </c>
      <c r="J937" s="20" t="s">
        <v>259</v>
      </c>
      <c r="K937" s="8"/>
      <c r="L937" s="20" t="s">
        <v>259</v>
      </c>
      <c r="M937" s="16" t="n">
        <f aca="false">H937*Scoring!$C$5</f>
        <v>3.9</v>
      </c>
      <c r="N937" s="16" t="n">
        <f aca="false">IF(I937&gt;=5,1,IF(I937=4,0.75,IF(I937=3,0.5,IF(I937=2,0.25,0))))*Scoring!$C$8</f>
        <v>0.5</v>
      </c>
      <c r="O937" s="16" t="n">
        <f aca="false">IF(J937="Yes",0,Scoring!$C$6)</f>
        <v>2</v>
      </c>
      <c r="P937" s="16" t="n">
        <f aca="false">IF(L937="Yes",0,Scoring!$C$7)</f>
        <v>0.5</v>
      </c>
      <c r="Q937" s="8" t="n">
        <f aca="false">ROUND(SUM(M937:P937),2)</f>
        <v>6.9</v>
      </c>
      <c r="R937" s="8" t="str">
        <f aca="false">IF(Q937&gt;=Scoring!$C$10-0.000001,"Keep","Remove")</f>
        <v>Keep</v>
      </c>
      <c r="S937" s="8" t="s">
        <v>166</v>
      </c>
    </row>
    <row r="938" customFormat="false" ht="15" hidden="false" customHeight="false" outlineLevel="0" collapsed="false">
      <c r="A938" s="8" t="s">
        <v>6215</v>
      </c>
      <c r="B938" s="8" t="s">
        <v>6216</v>
      </c>
      <c r="C938" s="8" t="s">
        <v>5958</v>
      </c>
      <c r="D938" s="8" t="s">
        <v>4081</v>
      </c>
      <c r="E938" s="8"/>
      <c r="F938" s="8" t="s">
        <v>92</v>
      </c>
      <c r="G938" s="8" t="n">
        <v>2</v>
      </c>
      <c r="H938" s="13" t="n">
        <v>3</v>
      </c>
      <c r="I938" s="8" t="n">
        <v>4</v>
      </c>
      <c r="J938" s="20" t="s">
        <v>259</v>
      </c>
      <c r="K938" s="8"/>
      <c r="L938" s="20" t="s">
        <v>259</v>
      </c>
      <c r="M938" s="16" t="n">
        <f aca="false">H938*Scoring!$C$5</f>
        <v>3.9</v>
      </c>
      <c r="N938" s="16" t="n">
        <f aca="false">IF(I938&gt;=5,1,IF(I938=4,0.75,IF(I938=3,0.5,IF(I938=2,0.25,0))))*Scoring!$C$8</f>
        <v>0.75</v>
      </c>
      <c r="O938" s="16" t="n">
        <f aca="false">IF(J938="Yes",0,Scoring!$C$6)</f>
        <v>2</v>
      </c>
      <c r="P938" s="16" t="n">
        <f aca="false">IF(L938="Yes",0,Scoring!$C$7)</f>
        <v>0.5</v>
      </c>
      <c r="Q938" s="8" t="n">
        <f aca="false">ROUND(SUM(M938:P938),2)</f>
        <v>7.15</v>
      </c>
      <c r="R938" s="8" t="str">
        <f aca="false">IF(Q938&gt;=Scoring!$C$10-0.000001,"Keep","Remove")</f>
        <v>Keep</v>
      </c>
      <c r="S938" s="8" t="s">
        <v>166</v>
      </c>
    </row>
    <row r="939" customFormat="false" ht="15" hidden="false" customHeight="false" outlineLevel="0" collapsed="false">
      <c r="A939" s="8" t="s">
        <v>6223</v>
      </c>
      <c r="B939" s="8" t="s">
        <v>6224</v>
      </c>
      <c r="C939" s="8" t="s">
        <v>5958</v>
      </c>
      <c r="D939" s="8" t="s">
        <v>4448</v>
      </c>
      <c r="E939" s="8"/>
      <c r="F939" s="8" t="s">
        <v>92</v>
      </c>
      <c r="G939" s="8" t="n">
        <v>2</v>
      </c>
      <c r="H939" s="13" t="n">
        <v>3</v>
      </c>
      <c r="I939" s="8" t="n">
        <v>3</v>
      </c>
      <c r="J939" s="20" t="s">
        <v>259</v>
      </c>
      <c r="K939" s="8"/>
      <c r="L939" s="20" t="s">
        <v>259</v>
      </c>
      <c r="M939" s="16" t="n">
        <f aca="false">H939*Scoring!$C$5</f>
        <v>3.9</v>
      </c>
      <c r="N939" s="16" t="n">
        <f aca="false">IF(I939&gt;=5,1,IF(I939=4,0.75,IF(I939=3,0.5,IF(I939=2,0.25,0))))*Scoring!$C$8</f>
        <v>0.5</v>
      </c>
      <c r="O939" s="16" t="n">
        <f aca="false">IF(J939="Yes",0,Scoring!$C$6)</f>
        <v>2</v>
      </c>
      <c r="P939" s="16" t="n">
        <f aca="false">IF(L939="Yes",0,Scoring!$C$7)</f>
        <v>0.5</v>
      </c>
      <c r="Q939" s="8" t="n">
        <f aca="false">ROUND(SUM(M939:P939),2)</f>
        <v>6.9</v>
      </c>
      <c r="R939" s="8" t="str">
        <f aca="false">IF(Q939&gt;=Scoring!$C$10-0.000001,"Keep","Remove")</f>
        <v>Keep</v>
      </c>
      <c r="S939" s="8" t="s">
        <v>166</v>
      </c>
    </row>
    <row r="940" customFormat="false" ht="15" hidden="false" customHeight="false" outlineLevel="0" collapsed="false">
      <c r="A940" s="8" t="s">
        <v>6231</v>
      </c>
      <c r="B940" s="8" t="s">
        <v>6232</v>
      </c>
      <c r="C940" s="8" t="s">
        <v>5958</v>
      </c>
      <c r="D940" s="8" t="s">
        <v>6233</v>
      </c>
      <c r="E940" s="8"/>
      <c r="F940" s="8" t="s">
        <v>92</v>
      </c>
      <c r="G940" s="8" t="n">
        <v>2</v>
      </c>
      <c r="H940" s="13" t="n">
        <v>3</v>
      </c>
      <c r="I940" s="8" t="n">
        <v>3</v>
      </c>
      <c r="J940" s="20" t="s">
        <v>259</v>
      </c>
      <c r="K940" s="8"/>
      <c r="L940" s="20" t="s">
        <v>259</v>
      </c>
      <c r="M940" s="16" t="n">
        <f aca="false">H940*Scoring!$C$5</f>
        <v>3.9</v>
      </c>
      <c r="N940" s="16" t="n">
        <f aca="false">IF(I940&gt;=5,1,IF(I940=4,0.75,IF(I940=3,0.5,IF(I940=2,0.25,0))))*Scoring!$C$8</f>
        <v>0.5</v>
      </c>
      <c r="O940" s="16" t="n">
        <f aca="false">IF(J940="Yes",0,Scoring!$C$6)</f>
        <v>2</v>
      </c>
      <c r="P940" s="16" t="n">
        <f aca="false">IF(L940="Yes",0,Scoring!$C$7)</f>
        <v>0.5</v>
      </c>
      <c r="Q940" s="8" t="n">
        <f aca="false">ROUND(SUM(M940:P940),2)</f>
        <v>6.9</v>
      </c>
      <c r="R940" s="8" t="str">
        <f aca="false">IF(Q940&gt;=Scoring!$C$10-0.000001,"Keep","Remove")</f>
        <v>Keep</v>
      </c>
      <c r="S940" s="8" t="s">
        <v>166</v>
      </c>
    </row>
    <row r="941" customFormat="false" ht="15" hidden="false" customHeight="false" outlineLevel="0" collapsed="false">
      <c r="A941" s="8" t="s">
        <v>6238</v>
      </c>
      <c r="B941" s="8" t="s">
        <v>6239</v>
      </c>
      <c r="C941" s="8" t="s">
        <v>5958</v>
      </c>
      <c r="D941" s="8" t="s">
        <v>5207</v>
      </c>
      <c r="E941" s="8"/>
      <c r="F941" s="8" t="s">
        <v>92</v>
      </c>
      <c r="G941" s="8" t="n">
        <v>2</v>
      </c>
      <c r="H941" s="13" t="n">
        <v>3</v>
      </c>
      <c r="I941" s="8" t="n">
        <v>3</v>
      </c>
      <c r="J941" s="20" t="s">
        <v>259</v>
      </c>
      <c r="K941" s="8"/>
      <c r="L941" s="20" t="s">
        <v>259</v>
      </c>
      <c r="M941" s="16" t="n">
        <f aca="false">H941*Scoring!$C$5</f>
        <v>3.9</v>
      </c>
      <c r="N941" s="16" t="n">
        <f aca="false">IF(I941&gt;=5,1,IF(I941=4,0.75,IF(I941=3,0.5,IF(I941=2,0.25,0))))*Scoring!$C$8</f>
        <v>0.5</v>
      </c>
      <c r="O941" s="16" t="n">
        <f aca="false">IF(J941="Yes",0,Scoring!$C$6)</f>
        <v>2</v>
      </c>
      <c r="P941" s="16" t="n">
        <f aca="false">IF(L941="Yes",0,Scoring!$C$7)</f>
        <v>0.5</v>
      </c>
      <c r="Q941" s="8" t="n">
        <f aca="false">ROUND(SUM(M941:P941),2)</f>
        <v>6.9</v>
      </c>
      <c r="R941" s="8" t="str">
        <f aca="false">IF(Q941&gt;=Scoring!$C$10-0.000001,"Keep","Remove")</f>
        <v>Keep</v>
      </c>
      <c r="S941" s="8" t="s">
        <v>166</v>
      </c>
    </row>
    <row r="942" customFormat="false" ht="15" hidden="false" customHeight="false" outlineLevel="0" collapsed="false">
      <c r="A942" s="8" t="s">
        <v>6245</v>
      </c>
      <c r="B942" s="8" t="s">
        <v>6246</v>
      </c>
      <c r="C942" s="8" t="s">
        <v>5958</v>
      </c>
      <c r="D942" s="8" t="s">
        <v>4693</v>
      </c>
      <c r="E942" s="8"/>
      <c r="F942" s="8" t="s">
        <v>92</v>
      </c>
      <c r="G942" s="8" t="n">
        <v>2</v>
      </c>
      <c r="H942" s="13" t="n">
        <v>3</v>
      </c>
      <c r="I942" s="8" t="n">
        <v>3</v>
      </c>
      <c r="J942" s="20" t="s">
        <v>259</v>
      </c>
      <c r="K942" s="8"/>
      <c r="L942" s="20" t="s">
        <v>259</v>
      </c>
      <c r="M942" s="16" t="n">
        <f aca="false">H942*Scoring!$C$5</f>
        <v>3.9</v>
      </c>
      <c r="N942" s="16" t="n">
        <f aca="false">IF(I942&gt;=5,1,IF(I942=4,0.75,IF(I942=3,0.5,IF(I942=2,0.25,0))))*Scoring!$C$8</f>
        <v>0.5</v>
      </c>
      <c r="O942" s="16" t="n">
        <f aca="false">IF(J942="Yes",0,Scoring!$C$6)</f>
        <v>2</v>
      </c>
      <c r="P942" s="16" t="n">
        <f aca="false">IF(L942="Yes",0,Scoring!$C$7)</f>
        <v>0.5</v>
      </c>
      <c r="Q942" s="8" t="n">
        <f aca="false">ROUND(SUM(M942:P942),2)</f>
        <v>6.9</v>
      </c>
      <c r="R942" s="8" t="str">
        <f aca="false">IF(Q942&gt;=Scoring!$C$10-0.000001,"Keep","Remove")</f>
        <v>Keep</v>
      </c>
      <c r="S942" s="8" t="s">
        <v>166</v>
      </c>
    </row>
    <row r="943" customFormat="false" ht="15" hidden="false" customHeight="false" outlineLevel="0" collapsed="false">
      <c r="A943" s="8" t="s">
        <v>8108</v>
      </c>
      <c r="B943" s="8" t="s">
        <v>8109</v>
      </c>
      <c r="C943" s="8" t="s">
        <v>5958</v>
      </c>
      <c r="D943" s="8" t="s">
        <v>4693</v>
      </c>
      <c r="E943" s="8"/>
      <c r="F943" s="8" t="s">
        <v>92</v>
      </c>
      <c r="G943" s="8" t="n">
        <v>3</v>
      </c>
      <c r="H943" s="13" t="n">
        <v>2</v>
      </c>
      <c r="I943" s="8" t="n">
        <v>3</v>
      </c>
      <c r="J943" s="20" t="s">
        <v>218</v>
      </c>
      <c r="K943" s="8" t="s">
        <v>8188</v>
      </c>
      <c r="L943" s="20" t="s">
        <v>259</v>
      </c>
      <c r="M943" s="16" t="n">
        <f aca="false">H943*Scoring!$C$5</f>
        <v>2.6</v>
      </c>
      <c r="N943" s="16" t="n">
        <f aca="false">IF(I943&gt;=5,1,IF(I943=4,0.75,IF(I943=3,0.5,IF(I943=2,0.25,0))))*Scoring!$C$8</f>
        <v>0.5</v>
      </c>
      <c r="O943" s="16" t="n">
        <f aca="false">IF(J943="Yes",0,Scoring!$C$6)</f>
        <v>0</v>
      </c>
      <c r="P943" s="16" t="n">
        <f aca="false">IF(L943="Yes",0,Scoring!$C$7)</f>
        <v>0.5</v>
      </c>
      <c r="Q943" s="8" t="n">
        <f aca="false">ROUND(SUM(M943:P943),2)</f>
        <v>3.6</v>
      </c>
      <c r="R943" s="8" t="str">
        <f aca="false">IF(Q943&gt;=Scoring!$C$10-0.000001,"Keep","Remove")</f>
        <v>Remove</v>
      </c>
      <c r="S943" s="8" t="s">
        <v>8110</v>
      </c>
    </row>
    <row r="944" customFormat="false" ht="15" hidden="false" customHeight="false" outlineLevel="0" collapsed="false">
      <c r="A944" s="8" t="s">
        <v>6252</v>
      </c>
      <c r="B944" s="8" t="s">
        <v>6253</v>
      </c>
      <c r="C944" s="8" t="s">
        <v>5958</v>
      </c>
      <c r="D944" s="8" t="s">
        <v>4574</v>
      </c>
      <c r="E944" s="8"/>
      <c r="F944" s="8" t="s">
        <v>92</v>
      </c>
      <c r="G944" s="8" t="n">
        <v>2</v>
      </c>
      <c r="H944" s="13" t="n">
        <v>4</v>
      </c>
      <c r="I944" s="8" t="n">
        <v>3</v>
      </c>
      <c r="J944" s="20" t="s">
        <v>259</v>
      </c>
      <c r="K944" s="8"/>
      <c r="L944" s="20" t="s">
        <v>259</v>
      </c>
      <c r="M944" s="16" t="n">
        <f aca="false">H944*Scoring!$C$5</f>
        <v>5.2</v>
      </c>
      <c r="N944" s="16" t="n">
        <f aca="false">IF(I944&gt;=5,1,IF(I944=4,0.75,IF(I944=3,0.5,IF(I944=2,0.25,0))))*Scoring!$C$8</f>
        <v>0.5</v>
      </c>
      <c r="O944" s="16" t="n">
        <f aca="false">IF(J944="Yes",0,Scoring!$C$6)</f>
        <v>2</v>
      </c>
      <c r="P944" s="16" t="n">
        <f aca="false">IF(L944="Yes",0,Scoring!$C$7)</f>
        <v>0.5</v>
      </c>
      <c r="Q944" s="8" t="n">
        <f aca="false">ROUND(SUM(M944:P944),2)</f>
        <v>8.2</v>
      </c>
      <c r="R944" s="8" t="str">
        <f aca="false">IF(Q944&gt;=Scoring!$C$10-0.000001,"Keep","Remove")</f>
        <v>Keep</v>
      </c>
      <c r="S944" s="8" t="s">
        <v>166</v>
      </c>
    </row>
    <row r="945" customFormat="false" ht="15" hidden="false" customHeight="false" outlineLevel="0" collapsed="false">
      <c r="A945" s="8" t="s">
        <v>6265</v>
      </c>
      <c r="B945" s="8" t="s">
        <v>6266</v>
      </c>
      <c r="C945" s="8" t="s">
        <v>5958</v>
      </c>
      <c r="D945" s="8" t="s">
        <v>5046</v>
      </c>
      <c r="E945" s="8"/>
      <c r="F945" s="8" t="s">
        <v>92</v>
      </c>
      <c r="G945" s="8" t="n">
        <v>2</v>
      </c>
      <c r="H945" s="13" t="n">
        <v>3</v>
      </c>
      <c r="I945" s="8" t="n">
        <v>3</v>
      </c>
      <c r="J945" s="20" t="s">
        <v>259</v>
      </c>
      <c r="K945" s="8"/>
      <c r="L945" s="20" t="s">
        <v>259</v>
      </c>
      <c r="M945" s="16" t="n">
        <f aca="false">H945*Scoring!$C$5</f>
        <v>3.9</v>
      </c>
      <c r="N945" s="16" t="n">
        <f aca="false">IF(I945&gt;=5,1,IF(I945=4,0.75,IF(I945=3,0.5,IF(I945=2,0.25,0))))*Scoring!$C$8</f>
        <v>0.5</v>
      </c>
      <c r="O945" s="16" t="n">
        <f aca="false">IF(J945="Yes",0,Scoring!$C$6)</f>
        <v>2</v>
      </c>
      <c r="P945" s="16" t="n">
        <f aca="false">IF(L945="Yes",0,Scoring!$C$7)</f>
        <v>0.5</v>
      </c>
      <c r="Q945" s="8" t="n">
        <f aca="false">ROUND(SUM(M945:P945),2)</f>
        <v>6.9</v>
      </c>
      <c r="R945" s="8" t="str">
        <f aca="false">IF(Q945&gt;=Scoring!$C$10-0.000001,"Keep","Remove")</f>
        <v>Keep</v>
      </c>
      <c r="S945" s="8" t="s">
        <v>166</v>
      </c>
    </row>
    <row r="946" customFormat="false" ht="15" hidden="false" customHeight="false" outlineLevel="0" collapsed="false">
      <c r="A946" s="8" t="s">
        <v>7938</v>
      </c>
      <c r="B946" s="8" t="s">
        <v>7939</v>
      </c>
      <c r="C946" s="8" t="s">
        <v>5958</v>
      </c>
      <c r="D946" s="8" t="s">
        <v>5046</v>
      </c>
      <c r="E946" s="8"/>
      <c r="F946" s="8" t="s">
        <v>92</v>
      </c>
      <c r="G946" s="8" t="n">
        <v>3</v>
      </c>
      <c r="H946" s="13" t="n">
        <v>2</v>
      </c>
      <c r="I946" s="8" t="n">
        <v>4</v>
      </c>
      <c r="J946" s="20" t="s">
        <v>259</v>
      </c>
      <c r="K946" s="8"/>
      <c r="L946" s="20" t="s">
        <v>259</v>
      </c>
      <c r="M946" s="16" t="n">
        <f aca="false">H946*Scoring!$C$5</f>
        <v>2.6</v>
      </c>
      <c r="N946" s="16" t="n">
        <f aca="false">IF(I946&gt;=5,1,IF(I946=4,0.75,IF(I946=3,0.5,IF(I946=2,0.25,0))))*Scoring!$C$8</f>
        <v>0.75</v>
      </c>
      <c r="O946" s="16" t="n">
        <f aca="false">IF(J946="Yes",0,Scoring!$C$6)</f>
        <v>2</v>
      </c>
      <c r="P946" s="16" t="n">
        <f aca="false">IF(L946="Yes",0,Scoring!$C$7)</f>
        <v>0.5</v>
      </c>
      <c r="Q946" s="8" t="n">
        <f aca="false">ROUND(SUM(M946:P946),2)</f>
        <v>5.85</v>
      </c>
      <c r="R946" s="8" t="str">
        <f aca="false">IF(Q946&gt;=Scoring!$C$10-0.000001,"Keep","Remove")</f>
        <v>Remove</v>
      </c>
      <c r="S946" s="8" t="s">
        <v>7243</v>
      </c>
    </row>
    <row r="947" customFormat="false" ht="15" hidden="false" customHeight="false" outlineLevel="0" collapsed="false">
      <c r="A947" s="8" t="s">
        <v>7940</v>
      </c>
      <c r="B947" s="8" t="s">
        <v>7941</v>
      </c>
      <c r="C947" s="8" t="s">
        <v>5958</v>
      </c>
      <c r="D947" s="8" t="s">
        <v>4081</v>
      </c>
      <c r="E947" s="8"/>
      <c r="F947" s="8" t="s">
        <v>92</v>
      </c>
      <c r="G947" s="8" t="n">
        <v>3</v>
      </c>
      <c r="H947" s="13" t="n">
        <v>2</v>
      </c>
      <c r="I947" s="8" t="n">
        <v>4</v>
      </c>
      <c r="J947" s="20" t="s">
        <v>259</v>
      </c>
      <c r="K947" s="8"/>
      <c r="L947" s="20" t="s">
        <v>259</v>
      </c>
      <c r="M947" s="16" t="n">
        <f aca="false">H947*Scoring!$C$5</f>
        <v>2.6</v>
      </c>
      <c r="N947" s="16" t="n">
        <f aca="false">IF(I947&gt;=5,1,IF(I947=4,0.75,IF(I947=3,0.5,IF(I947=2,0.25,0))))*Scoring!$C$8</f>
        <v>0.75</v>
      </c>
      <c r="O947" s="16" t="n">
        <f aca="false">IF(J947="Yes",0,Scoring!$C$6)</f>
        <v>2</v>
      </c>
      <c r="P947" s="16" t="n">
        <f aca="false">IF(L947="Yes",0,Scoring!$C$7)</f>
        <v>0.5</v>
      </c>
      <c r="Q947" s="8" t="n">
        <f aca="false">ROUND(SUM(M947:P947),2)</f>
        <v>5.85</v>
      </c>
      <c r="R947" s="8" t="str">
        <f aca="false">IF(Q947&gt;=Scoring!$C$10-0.000001,"Keep","Remove")</f>
        <v>Remove</v>
      </c>
      <c r="S947" s="8" t="s">
        <v>7243</v>
      </c>
    </row>
    <row r="948" customFormat="false" ht="15" hidden="false" customHeight="false" outlineLevel="0" collapsed="false">
      <c r="A948" s="8" t="s">
        <v>7942</v>
      </c>
      <c r="B948" s="8" t="s">
        <v>7943</v>
      </c>
      <c r="C948" s="8" t="s">
        <v>5958</v>
      </c>
      <c r="D948" s="8" t="s">
        <v>3828</v>
      </c>
      <c r="E948" s="8"/>
      <c r="F948" s="8" t="s">
        <v>92</v>
      </c>
      <c r="G948" s="8" t="n">
        <v>3</v>
      </c>
      <c r="H948" s="13" t="n">
        <v>2</v>
      </c>
      <c r="I948" s="8" t="n">
        <v>4</v>
      </c>
      <c r="J948" s="20" t="s">
        <v>259</v>
      </c>
      <c r="K948" s="8"/>
      <c r="L948" s="20" t="s">
        <v>259</v>
      </c>
      <c r="M948" s="16" t="n">
        <f aca="false">H948*Scoring!$C$5</f>
        <v>2.6</v>
      </c>
      <c r="N948" s="16" t="n">
        <f aca="false">IF(I948&gt;=5,1,IF(I948=4,0.75,IF(I948=3,0.5,IF(I948=2,0.25,0))))*Scoring!$C$8</f>
        <v>0.75</v>
      </c>
      <c r="O948" s="16" t="n">
        <f aca="false">IF(J948="Yes",0,Scoring!$C$6)</f>
        <v>2</v>
      </c>
      <c r="P948" s="16" t="n">
        <f aca="false">IF(L948="Yes",0,Scoring!$C$7)</f>
        <v>0.5</v>
      </c>
      <c r="Q948" s="8" t="n">
        <f aca="false">ROUND(SUM(M948:P948),2)</f>
        <v>5.85</v>
      </c>
      <c r="R948" s="8" t="str">
        <f aca="false">IF(Q948&gt;=Scoring!$C$10-0.000001,"Keep","Remove")</f>
        <v>Remove</v>
      </c>
      <c r="S948" s="8" t="s">
        <v>7243</v>
      </c>
    </row>
    <row r="949" customFormat="false" ht="15" hidden="false" customHeight="false" outlineLevel="0" collapsed="false">
      <c r="A949" s="8" t="s">
        <v>7913</v>
      </c>
      <c r="B949" s="8" t="s">
        <v>5986</v>
      </c>
      <c r="C949" s="8" t="s">
        <v>5958</v>
      </c>
      <c r="D949" s="8" t="s">
        <v>5046</v>
      </c>
      <c r="E949" s="8"/>
      <c r="F949" s="8" t="s">
        <v>92</v>
      </c>
      <c r="G949" s="8" t="n">
        <v>3</v>
      </c>
      <c r="H949" s="13" t="n">
        <v>2</v>
      </c>
      <c r="I949" s="8" t="n">
        <v>5</v>
      </c>
      <c r="J949" s="20" t="s">
        <v>259</v>
      </c>
      <c r="K949" s="8"/>
      <c r="L949" s="20" t="s">
        <v>259</v>
      </c>
      <c r="M949" s="16" t="n">
        <f aca="false">H949*Scoring!$C$5</f>
        <v>2.6</v>
      </c>
      <c r="N949" s="16" t="n">
        <f aca="false">IF(I949&gt;=5,1,IF(I949=4,0.75,IF(I949=3,0.5,IF(I949=2,0.25,0))))*Scoring!$C$8</f>
        <v>1</v>
      </c>
      <c r="O949" s="16" t="n">
        <f aca="false">IF(J949="Yes",0,Scoring!$C$6)</f>
        <v>2</v>
      </c>
      <c r="P949" s="16" t="n">
        <f aca="false">IF(L949="Yes",0,Scoring!$C$7)</f>
        <v>0.5</v>
      </c>
      <c r="Q949" s="8" t="n">
        <f aca="false">ROUND(SUM(M949:P949),2)</f>
        <v>6.1</v>
      </c>
      <c r="R949" s="8" t="str">
        <f aca="false">IF(Q949&gt;=Scoring!$C$10-0.000001,"Keep","Remove")</f>
        <v>Remove</v>
      </c>
      <c r="S949" s="8" t="s">
        <v>7243</v>
      </c>
    </row>
    <row r="950" customFormat="false" ht="15" hidden="false" customHeight="false" outlineLevel="0" collapsed="false">
      <c r="A950" s="8" t="s">
        <v>7914</v>
      </c>
      <c r="B950" s="8" t="s">
        <v>7915</v>
      </c>
      <c r="C950" s="8" t="s">
        <v>5958</v>
      </c>
      <c r="D950" s="8" t="s">
        <v>5046</v>
      </c>
      <c r="E950" s="8"/>
      <c r="F950" s="8" t="s">
        <v>92</v>
      </c>
      <c r="G950" s="8" t="n">
        <v>3</v>
      </c>
      <c r="H950" s="13" t="n">
        <v>2</v>
      </c>
      <c r="I950" s="8" t="n">
        <v>6</v>
      </c>
      <c r="J950" s="20" t="s">
        <v>259</v>
      </c>
      <c r="K950" s="8"/>
      <c r="L950" s="20" t="s">
        <v>259</v>
      </c>
      <c r="M950" s="16" t="n">
        <f aca="false">H950*Scoring!$C$5</f>
        <v>2.6</v>
      </c>
      <c r="N950" s="16" t="n">
        <f aca="false">IF(I950&gt;=5,1,IF(I950=4,0.75,IF(I950=3,0.5,IF(I950=2,0.25,0))))*Scoring!$C$8</f>
        <v>1</v>
      </c>
      <c r="O950" s="16" t="n">
        <f aca="false">IF(J950="Yes",0,Scoring!$C$6)</f>
        <v>2</v>
      </c>
      <c r="P950" s="16" t="n">
        <f aca="false">IF(L950="Yes",0,Scoring!$C$7)</f>
        <v>0.5</v>
      </c>
      <c r="Q950" s="8" t="n">
        <f aca="false">ROUND(SUM(M950:P950),2)</f>
        <v>6.1</v>
      </c>
      <c r="R950" s="8" t="str">
        <f aca="false">IF(Q950&gt;=Scoring!$C$10-0.000001,"Keep","Remove")</f>
        <v>Remove</v>
      </c>
      <c r="S950" s="8" t="s">
        <v>7243</v>
      </c>
    </row>
    <row r="951" customFormat="false" ht="15" hidden="false" customHeight="false" outlineLevel="0" collapsed="false">
      <c r="A951" s="8" t="s">
        <v>6275</v>
      </c>
      <c r="B951" s="8" t="s">
        <v>6276</v>
      </c>
      <c r="C951" s="8" t="s">
        <v>5958</v>
      </c>
      <c r="D951" s="8" t="s">
        <v>4081</v>
      </c>
      <c r="E951" s="8"/>
      <c r="F951" s="8" t="s">
        <v>92</v>
      </c>
      <c r="G951" s="8" t="n">
        <v>2</v>
      </c>
      <c r="H951" s="13" t="n">
        <v>3</v>
      </c>
      <c r="I951" s="8" t="n">
        <v>3</v>
      </c>
      <c r="J951" s="20" t="s">
        <v>259</v>
      </c>
      <c r="K951" s="8"/>
      <c r="L951" s="20" t="s">
        <v>259</v>
      </c>
      <c r="M951" s="16" t="n">
        <f aca="false">H951*Scoring!$C$5</f>
        <v>3.9</v>
      </c>
      <c r="N951" s="16" t="n">
        <f aca="false">IF(I951&gt;=5,1,IF(I951=4,0.75,IF(I951=3,0.5,IF(I951=2,0.25,0))))*Scoring!$C$8</f>
        <v>0.5</v>
      </c>
      <c r="O951" s="16" t="n">
        <f aca="false">IF(J951="Yes",0,Scoring!$C$6)</f>
        <v>2</v>
      </c>
      <c r="P951" s="16" t="n">
        <f aca="false">IF(L951="Yes",0,Scoring!$C$7)</f>
        <v>0.5</v>
      </c>
      <c r="Q951" s="8" t="n">
        <f aca="false">ROUND(SUM(M951:P951),2)</f>
        <v>6.9</v>
      </c>
      <c r="R951" s="8" t="str">
        <f aca="false">IF(Q951&gt;=Scoring!$C$10-0.000001,"Keep","Remove")</f>
        <v>Keep</v>
      </c>
      <c r="S951" s="8" t="s">
        <v>166</v>
      </c>
    </row>
    <row r="952" customFormat="false" ht="15" hidden="false" customHeight="false" outlineLevel="0" collapsed="false">
      <c r="A952" s="8" t="s">
        <v>7989</v>
      </c>
      <c r="B952" s="8" t="s">
        <v>7990</v>
      </c>
      <c r="C952" s="8" t="s">
        <v>5958</v>
      </c>
      <c r="D952" s="8" t="s">
        <v>4081</v>
      </c>
      <c r="E952" s="8"/>
      <c r="F952" s="8" t="s">
        <v>92</v>
      </c>
      <c r="G952" s="8" t="n">
        <v>3</v>
      </c>
      <c r="H952" s="13" t="n">
        <v>2</v>
      </c>
      <c r="I952" s="8" t="n">
        <v>3</v>
      </c>
      <c r="J952" s="20" t="s">
        <v>259</v>
      </c>
      <c r="K952" s="8"/>
      <c r="L952" s="20" t="s">
        <v>259</v>
      </c>
      <c r="M952" s="16" t="n">
        <f aca="false">H952*Scoring!$C$5</f>
        <v>2.6</v>
      </c>
      <c r="N952" s="16" t="n">
        <f aca="false">IF(I952&gt;=5,1,IF(I952=4,0.75,IF(I952=3,0.5,IF(I952=2,0.25,0))))*Scoring!$C$8</f>
        <v>0.5</v>
      </c>
      <c r="O952" s="16" t="n">
        <f aca="false">IF(J952="Yes",0,Scoring!$C$6)</f>
        <v>2</v>
      </c>
      <c r="P952" s="16" t="n">
        <f aca="false">IF(L952="Yes",0,Scoring!$C$7)</f>
        <v>0.5</v>
      </c>
      <c r="Q952" s="8" t="n">
        <f aca="false">ROUND(SUM(M952:P952),2)</f>
        <v>5.6</v>
      </c>
      <c r="R952" s="8" t="str">
        <f aca="false">IF(Q952&gt;=Scoring!$C$10-0.000001,"Keep","Remove")</f>
        <v>Remove</v>
      </c>
      <c r="S952" s="8" t="s">
        <v>7243</v>
      </c>
    </row>
    <row r="953" customFormat="false" ht="15" hidden="false" customHeight="false" outlineLevel="0" collapsed="false">
      <c r="A953" s="8" t="s">
        <v>6283</v>
      </c>
      <c r="B953" s="8" t="s">
        <v>6284</v>
      </c>
      <c r="C953" s="8" t="s">
        <v>5958</v>
      </c>
      <c r="D953" s="8" t="s">
        <v>2788</v>
      </c>
      <c r="E953" s="8"/>
      <c r="F953" s="8" t="s">
        <v>92</v>
      </c>
      <c r="G953" s="8" t="n">
        <v>2</v>
      </c>
      <c r="H953" s="13" t="n">
        <v>3</v>
      </c>
      <c r="I953" s="8" t="n">
        <v>6</v>
      </c>
      <c r="J953" s="20" t="s">
        <v>259</v>
      </c>
      <c r="K953" s="8"/>
      <c r="L953" s="20" t="s">
        <v>259</v>
      </c>
      <c r="M953" s="16" t="n">
        <f aca="false">H953*Scoring!$C$5</f>
        <v>3.9</v>
      </c>
      <c r="N953" s="16" t="n">
        <f aca="false">IF(I953&gt;=5,1,IF(I953=4,0.75,IF(I953=3,0.5,IF(I953=2,0.25,0))))*Scoring!$C$8</f>
        <v>1</v>
      </c>
      <c r="O953" s="16" t="n">
        <f aca="false">IF(J953="Yes",0,Scoring!$C$6)</f>
        <v>2</v>
      </c>
      <c r="P953" s="16" t="n">
        <f aca="false">IF(L953="Yes",0,Scoring!$C$7)</f>
        <v>0.5</v>
      </c>
      <c r="Q953" s="8" t="n">
        <f aca="false">ROUND(SUM(M953:P953),2)</f>
        <v>7.4</v>
      </c>
      <c r="R953" s="8" t="str">
        <f aca="false">IF(Q953&gt;=Scoring!$C$10-0.000001,"Keep","Remove")</f>
        <v>Keep</v>
      </c>
      <c r="S953" s="8" t="s">
        <v>166</v>
      </c>
    </row>
    <row r="954" customFormat="false" ht="15" hidden="false" customHeight="false" outlineLevel="0" collapsed="false">
      <c r="A954" s="8" t="s">
        <v>8123</v>
      </c>
      <c r="B954" s="8" t="s">
        <v>8124</v>
      </c>
      <c r="C954" s="8" t="s">
        <v>5958</v>
      </c>
      <c r="D954" s="8" t="s">
        <v>5478</v>
      </c>
      <c r="E954" s="8"/>
      <c r="F954" s="8" t="s">
        <v>92</v>
      </c>
      <c r="G954" s="8" t="n">
        <v>3</v>
      </c>
      <c r="H954" s="13" t="n">
        <v>2</v>
      </c>
      <c r="I954" s="8" t="n">
        <v>2</v>
      </c>
      <c r="J954" s="20" t="s">
        <v>218</v>
      </c>
      <c r="K954" s="8" t="s">
        <v>8189</v>
      </c>
      <c r="L954" s="20" t="s">
        <v>259</v>
      </c>
      <c r="M954" s="16" t="n">
        <f aca="false">H954*Scoring!$C$5</f>
        <v>2.6</v>
      </c>
      <c r="N954" s="16" t="n">
        <f aca="false">IF(I954&gt;=5,1,IF(I954=4,0.75,IF(I954=3,0.5,IF(I954=2,0.25,0))))*Scoring!$C$8</f>
        <v>0.25</v>
      </c>
      <c r="O954" s="16" t="n">
        <f aca="false">IF(J954="Yes",0,Scoring!$C$6)</f>
        <v>0</v>
      </c>
      <c r="P954" s="16" t="n">
        <f aca="false">IF(L954="Yes",0,Scoring!$C$7)</f>
        <v>0.5</v>
      </c>
      <c r="Q954" s="8" t="n">
        <f aca="false">ROUND(SUM(M954:P954),2)</f>
        <v>3.35</v>
      </c>
      <c r="R954" s="8" t="str">
        <f aca="false">IF(Q954&gt;=Scoring!$C$10-0.000001,"Keep","Remove")</f>
        <v>Remove</v>
      </c>
      <c r="S954" s="8" t="s">
        <v>8125</v>
      </c>
    </row>
    <row r="955" customFormat="false" ht="15" hidden="false" customHeight="false" outlineLevel="0" collapsed="false">
      <c r="A955" s="8" t="s">
        <v>7944</v>
      </c>
      <c r="B955" s="8" t="s">
        <v>7945</v>
      </c>
      <c r="C955" s="8" t="s">
        <v>5958</v>
      </c>
      <c r="D955" s="8" t="s">
        <v>5046</v>
      </c>
      <c r="E955" s="8"/>
      <c r="F955" s="8" t="s">
        <v>92</v>
      </c>
      <c r="G955" s="8" t="n">
        <v>3</v>
      </c>
      <c r="H955" s="13" t="n">
        <v>2</v>
      </c>
      <c r="I955" s="8" t="n">
        <v>4</v>
      </c>
      <c r="J955" s="20" t="s">
        <v>259</v>
      </c>
      <c r="K955" s="8"/>
      <c r="L955" s="20" t="s">
        <v>259</v>
      </c>
      <c r="M955" s="16" t="n">
        <f aca="false">H955*Scoring!$C$5</f>
        <v>2.6</v>
      </c>
      <c r="N955" s="16" t="n">
        <f aca="false">IF(I955&gt;=5,1,IF(I955=4,0.75,IF(I955=3,0.5,IF(I955=2,0.25,0))))*Scoring!$C$8</f>
        <v>0.75</v>
      </c>
      <c r="O955" s="16" t="n">
        <f aca="false">IF(J955="Yes",0,Scoring!$C$6)</f>
        <v>2</v>
      </c>
      <c r="P955" s="16" t="n">
        <f aca="false">IF(L955="Yes",0,Scoring!$C$7)</f>
        <v>0.5</v>
      </c>
      <c r="Q955" s="8" t="n">
        <f aca="false">ROUND(SUM(M955:P955),2)</f>
        <v>5.85</v>
      </c>
      <c r="R955" s="8" t="str">
        <f aca="false">IF(Q955&gt;=Scoring!$C$10-0.000001,"Keep","Remove")</f>
        <v>Remove</v>
      </c>
      <c r="S955" s="8" t="s">
        <v>7243</v>
      </c>
    </row>
    <row r="956" customFormat="false" ht="15" hidden="false" customHeight="false" outlineLevel="0" collapsed="false">
      <c r="A956" s="8" t="s">
        <v>7946</v>
      </c>
      <c r="B956" s="8" t="s">
        <v>7947</v>
      </c>
      <c r="C956" s="8" t="s">
        <v>5958</v>
      </c>
      <c r="D956" s="8" t="s">
        <v>5046</v>
      </c>
      <c r="E956" s="8"/>
      <c r="F956" s="8" t="s">
        <v>92</v>
      </c>
      <c r="G956" s="8" t="n">
        <v>3</v>
      </c>
      <c r="H956" s="13" t="n">
        <v>2</v>
      </c>
      <c r="I956" s="8" t="n">
        <v>4</v>
      </c>
      <c r="J956" s="20" t="s">
        <v>259</v>
      </c>
      <c r="K956" s="8"/>
      <c r="L956" s="20" t="s">
        <v>259</v>
      </c>
      <c r="M956" s="16" t="n">
        <f aca="false">H956*Scoring!$C$5</f>
        <v>2.6</v>
      </c>
      <c r="N956" s="16" t="n">
        <f aca="false">IF(I956&gt;=5,1,IF(I956=4,0.75,IF(I956=3,0.5,IF(I956=2,0.25,0))))*Scoring!$C$8</f>
        <v>0.75</v>
      </c>
      <c r="O956" s="16" t="n">
        <f aca="false">IF(J956="Yes",0,Scoring!$C$6)</f>
        <v>2</v>
      </c>
      <c r="P956" s="16" t="n">
        <f aca="false">IF(L956="Yes",0,Scoring!$C$7)</f>
        <v>0.5</v>
      </c>
      <c r="Q956" s="8" t="n">
        <f aca="false">ROUND(SUM(M956:P956),2)</f>
        <v>5.85</v>
      </c>
      <c r="R956" s="8" t="str">
        <f aca="false">IF(Q956&gt;=Scoring!$C$10-0.000001,"Keep","Remove")</f>
        <v>Remove</v>
      </c>
      <c r="S956" s="8" t="s">
        <v>7243</v>
      </c>
    </row>
    <row r="957" customFormat="false" ht="15" hidden="false" customHeight="false" outlineLevel="0" collapsed="false">
      <c r="A957" s="8" t="s">
        <v>7948</v>
      </c>
      <c r="B957" s="8" t="s">
        <v>7949</v>
      </c>
      <c r="C957" s="8" t="s">
        <v>5958</v>
      </c>
      <c r="D957" s="8" t="s">
        <v>5046</v>
      </c>
      <c r="E957" s="8"/>
      <c r="F957" s="8" t="s">
        <v>92</v>
      </c>
      <c r="G957" s="8" t="n">
        <v>3</v>
      </c>
      <c r="H957" s="13" t="n">
        <v>2</v>
      </c>
      <c r="I957" s="8" t="n">
        <v>4</v>
      </c>
      <c r="J957" s="20" t="s">
        <v>259</v>
      </c>
      <c r="K957" s="8"/>
      <c r="L957" s="20" t="s">
        <v>259</v>
      </c>
      <c r="M957" s="16" t="n">
        <f aca="false">H957*Scoring!$C$5</f>
        <v>2.6</v>
      </c>
      <c r="N957" s="16" t="n">
        <f aca="false">IF(I957&gt;=5,1,IF(I957=4,0.75,IF(I957=3,0.5,IF(I957=2,0.25,0))))*Scoring!$C$8</f>
        <v>0.75</v>
      </c>
      <c r="O957" s="16" t="n">
        <f aca="false">IF(J957="Yes",0,Scoring!$C$6)</f>
        <v>2</v>
      </c>
      <c r="P957" s="16" t="n">
        <f aca="false">IF(L957="Yes",0,Scoring!$C$7)</f>
        <v>0.5</v>
      </c>
      <c r="Q957" s="8" t="n">
        <f aca="false">ROUND(SUM(M957:P957),2)</f>
        <v>5.85</v>
      </c>
      <c r="R957" s="8" t="str">
        <f aca="false">IF(Q957&gt;=Scoring!$C$10-0.000001,"Keep","Remove")</f>
        <v>Remove</v>
      </c>
      <c r="S957" s="8" t="s">
        <v>7243</v>
      </c>
    </row>
    <row r="958" customFormat="false" ht="15" hidden="false" customHeight="false" outlineLevel="0" collapsed="false">
      <c r="A958" s="8" t="s">
        <v>7950</v>
      </c>
      <c r="B958" s="8" t="s">
        <v>7951</v>
      </c>
      <c r="C958" s="8" t="s">
        <v>5958</v>
      </c>
      <c r="D958" s="8" t="s">
        <v>5046</v>
      </c>
      <c r="E958" s="8"/>
      <c r="F958" s="8" t="s">
        <v>92</v>
      </c>
      <c r="G958" s="8" t="n">
        <v>3</v>
      </c>
      <c r="H958" s="13" t="n">
        <v>2</v>
      </c>
      <c r="I958" s="8" t="n">
        <v>4</v>
      </c>
      <c r="J958" s="20" t="s">
        <v>259</v>
      </c>
      <c r="K958" s="8"/>
      <c r="L958" s="20" t="s">
        <v>259</v>
      </c>
      <c r="M958" s="16" t="n">
        <f aca="false">H958*Scoring!$C$5</f>
        <v>2.6</v>
      </c>
      <c r="N958" s="16" t="n">
        <f aca="false">IF(I958&gt;=5,1,IF(I958=4,0.75,IF(I958=3,0.5,IF(I958=2,0.25,0))))*Scoring!$C$8</f>
        <v>0.75</v>
      </c>
      <c r="O958" s="16" t="n">
        <f aca="false">IF(J958="Yes",0,Scoring!$C$6)</f>
        <v>2</v>
      </c>
      <c r="P958" s="16" t="n">
        <f aca="false">IF(L958="Yes",0,Scoring!$C$7)</f>
        <v>0.5</v>
      </c>
      <c r="Q958" s="8" t="n">
        <f aca="false">ROUND(SUM(M958:P958),2)</f>
        <v>5.85</v>
      </c>
      <c r="R958" s="8" t="str">
        <f aca="false">IF(Q958&gt;=Scoring!$C$10-0.000001,"Keep","Remove")</f>
        <v>Remove</v>
      </c>
      <c r="S958" s="8" t="s">
        <v>7243</v>
      </c>
    </row>
    <row r="959" customFormat="false" ht="15" hidden="false" customHeight="false" outlineLevel="0" collapsed="false">
      <c r="A959" s="8" t="s">
        <v>7952</v>
      </c>
      <c r="B959" s="8" t="s">
        <v>7953</v>
      </c>
      <c r="C959" s="8" t="s">
        <v>5958</v>
      </c>
      <c r="D959" s="8" t="s">
        <v>5046</v>
      </c>
      <c r="E959" s="8"/>
      <c r="F959" s="8" t="s">
        <v>92</v>
      </c>
      <c r="G959" s="8" t="n">
        <v>3</v>
      </c>
      <c r="H959" s="13" t="n">
        <v>2</v>
      </c>
      <c r="I959" s="8" t="n">
        <v>4</v>
      </c>
      <c r="J959" s="20" t="s">
        <v>259</v>
      </c>
      <c r="K959" s="8"/>
      <c r="L959" s="20" t="s">
        <v>259</v>
      </c>
      <c r="M959" s="16" t="n">
        <f aca="false">H959*Scoring!$C$5</f>
        <v>2.6</v>
      </c>
      <c r="N959" s="16" t="n">
        <f aca="false">IF(I959&gt;=5,1,IF(I959=4,0.75,IF(I959=3,0.5,IF(I959=2,0.25,0))))*Scoring!$C$8</f>
        <v>0.75</v>
      </c>
      <c r="O959" s="16" t="n">
        <f aca="false">IF(J959="Yes",0,Scoring!$C$6)</f>
        <v>2</v>
      </c>
      <c r="P959" s="16" t="n">
        <f aca="false">IF(L959="Yes",0,Scoring!$C$7)</f>
        <v>0.5</v>
      </c>
      <c r="Q959" s="8" t="n">
        <f aca="false">ROUND(SUM(M959:P959),2)</f>
        <v>5.85</v>
      </c>
      <c r="R959" s="8" t="str">
        <f aca="false">IF(Q959&gt;=Scoring!$C$10-0.000001,"Keep","Remove")</f>
        <v>Remove</v>
      </c>
      <c r="S959" s="8" t="s">
        <v>7243</v>
      </c>
    </row>
    <row r="960" customFormat="false" ht="15" hidden="false" customHeight="false" outlineLevel="0" collapsed="false">
      <c r="A960" s="8" t="s">
        <v>7954</v>
      </c>
      <c r="B960" s="8" t="s">
        <v>7955</v>
      </c>
      <c r="C960" s="8" t="s">
        <v>5958</v>
      </c>
      <c r="D960" s="8" t="s">
        <v>4448</v>
      </c>
      <c r="E960" s="8"/>
      <c r="F960" s="8" t="s">
        <v>92</v>
      </c>
      <c r="G960" s="8" t="n">
        <v>3</v>
      </c>
      <c r="H960" s="13" t="n">
        <v>2</v>
      </c>
      <c r="I960" s="8" t="n">
        <v>4</v>
      </c>
      <c r="J960" s="20" t="s">
        <v>259</v>
      </c>
      <c r="K960" s="8"/>
      <c r="L960" s="20" t="s">
        <v>259</v>
      </c>
      <c r="M960" s="16" t="n">
        <f aca="false">H960*Scoring!$C$5</f>
        <v>2.6</v>
      </c>
      <c r="N960" s="16" t="n">
        <f aca="false">IF(I960&gt;=5,1,IF(I960=4,0.75,IF(I960=3,0.5,IF(I960=2,0.25,0))))*Scoring!$C$8</f>
        <v>0.75</v>
      </c>
      <c r="O960" s="16" t="n">
        <f aca="false">IF(J960="Yes",0,Scoring!$C$6)</f>
        <v>2</v>
      </c>
      <c r="P960" s="16" t="n">
        <f aca="false">IF(L960="Yes",0,Scoring!$C$7)</f>
        <v>0.5</v>
      </c>
      <c r="Q960" s="8" t="n">
        <f aca="false">ROUND(SUM(M960:P960),2)</f>
        <v>5.85</v>
      </c>
      <c r="R960" s="8" t="str">
        <f aca="false">IF(Q960&gt;=Scoring!$C$10-0.000001,"Keep","Remove")</f>
        <v>Remove</v>
      </c>
      <c r="S960" s="8" t="s">
        <v>7243</v>
      </c>
    </row>
    <row r="961" customFormat="false" ht="15" hidden="false" customHeight="false" outlineLevel="0" collapsed="false">
      <c r="A961" s="8" t="s">
        <v>7916</v>
      </c>
      <c r="B961" s="8" t="s">
        <v>7917</v>
      </c>
      <c r="C961" s="8" t="s">
        <v>5958</v>
      </c>
      <c r="D961" s="8" t="s">
        <v>4448</v>
      </c>
      <c r="E961" s="8"/>
      <c r="F961" s="8" t="s">
        <v>92</v>
      </c>
      <c r="G961" s="8" t="n">
        <v>3</v>
      </c>
      <c r="H961" s="13" t="n">
        <v>2</v>
      </c>
      <c r="I961" s="8" t="n">
        <v>5</v>
      </c>
      <c r="J961" s="20" t="s">
        <v>259</v>
      </c>
      <c r="K961" s="8"/>
      <c r="L961" s="20" t="s">
        <v>259</v>
      </c>
      <c r="M961" s="16" t="n">
        <f aca="false">H961*Scoring!$C$5</f>
        <v>2.6</v>
      </c>
      <c r="N961" s="16" t="n">
        <f aca="false">IF(I961&gt;=5,1,IF(I961=4,0.75,IF(I961=3,0.5,IF(I961=2,0.25,0))))*Scoring!$C$8</f>
        <v>1</v>
      </c>
      <c r="O961" s="16" t="n">
        <f aca="false">IF(J961="Yes",0,Scoring!$C$6)</f>
        <v>2</v>
      </c>
      <c r="P961" s="16" t="n">
        <f aca="false">IF(L961="Yes",0,Scoring!$C$7)</f>
        <v>0.5</v>
      </c>
      <c r="Q961" s="8" t="n">
        <f aca="false">ROUND(SUM(M961:P961),2)</f>
        <v>6.1</v>
      </c>
      <c r="R961" s="8" t="str">
        <f aca="false">IF(Q961&gt;=Scoring!$C$10-0.000001,"Keep","Remove")</f>
        <v>Remove</v>
      </c>
      <c r="S961" s="8" t="s">
        <v>7243</v>
      </c>
    </row>
    <row r="962" customFormat="false" ht="15" hidden="false" customHeight="false" outlineLevel="0" collapsed="false">
      <c r="A962" s="8" t="s">
        <v>6295</v>
      </c>
      <c r="B962" s="8" t="s">
        <v>6296</v>
      </c>
      <c r="C962" s="8" t="s">
        <v>5958</v>
      </c>
      <c r="D962" s="8" t="s">
        <v>4448</v>
      </c>
      <c r="E962" s="8"/>
      <c r="F962" s="8" t="s">
        <v>92</v>
      </c>
      <c r="G962" s="8" t="n">
        <v>2</v>
      </c>
      <c r="H962" s="13" t="n">
        <v>3</v>
      </c>
      <c r="I962" s="8" t="n">
        <v>5</v>
      </c>
      <c r="J962" s="20" t="s">
        <v>259</v>
      </c>
      <c r="K962" s="8"/>
      <c r="L962" s="20" t="s">
        <v>259</v>
      </c>
      <c r="M962" s="16" t="n">
        <f aca="false">H962*Scoring!$C$5</f>
        <v>3.9</v>
      </c>
      <c r="N962" s="16" t="n">
        <f aca="false">IF(I962&gt;=5,1,IF(I962=4,0.75,IF(I962=3,0.5,IF(I962=2,0.25,0))))*Scoring!$C$8</f>
        <v>1</v>
      </c>
      <c r="O962" s="16" t="n">
        <f aca="false">IF(J962="Yes",0,Scoring!$C$6)</f>
        <v>2</v>
      </c>
      <c r="P962" s="16" t="n">
        <f aca="false">IF(L962="Yes",0,Scoring!$C$7)</f>
        <v>0.5</v>
      </c>
      <c r="Q962" s="8" t="n">
        <f aca="false">ROUND(SUM(M962:P962),2)</f>
        <v>7.4</v>
      </c>
      <c r="R962" s="8" t="str">
        <f aca="false">IF(Q962&gt;=Scoring!$C$10-0.000001,"Keep","Remove")</f>
        <v>Keep</v>
      </c>
      <c r="S962" s="8" t="s">
        <v>166</v>
      </c>
    </row>
    <row r="963" customFormat="false" ht="15" hidden="false" customHeight="false" outlineLevel="0" collapsed="false">
      <c r="A963" s="8" t="s">
        <v>8093</v>
      </c>
      <c r="B963" s="8" t="s">
        <v>8094</v>
      </c>
      <c r="C963" s="8" t="s">
        <v>5958</v>
      </c>
      <c r="D963" s="8" t="s">
        <v>5046</v>
      </c>
      <c r="E963" s="8"/>
      <c r="F963" s="8" t="s">
        <v>92</v>
      </c>
      <c r="G963" s="8" t="n">
        <v>3</v>
      </c>
      <c r="H963" s="13" t="n">
        <v>2</v>
      </c>
      <c r="I963" s="8" t="n">
        <v>4</v>
      </c>
      <c r="J963" s="20" t="s">
        <v>218</v>
      </c>
      <c r="K963" s="8" t="s">
        <v>8190</v>
      </c>
      <c r="L963" s="20" t="s">
        <v>259</v>
      </c>
      <c r="M963" s="16" t="n">
        <f aca="false">H963*Scoring!$C$5</f>
        <v>2.6</v>
      </c>
      <c r="N963" s="16" t="n">
        <f aca="false">IF(I963&gt;=5,1,IF(I963=4,0.75,IF(I963=3,0.5,IF(I963=2,0.25,0))))*Scoring!$C$8</f>
        <v>0.75</v>
      </c>
      <c r="O963" s="16" t="n">
        <f aca="false">IF(J963="Yes",0,Scoring!$C$6)</f>
        <v>0</v>
      </c>
      <c r="P963" s="16" t="n">
        <f aca="false">IF(L963="Yes",0,Scoring!$C$7)</f>
        <v>0.5</v>
      </c>
      <c r="Q963" s="8" t="n">
        <f aca="false">ROUND(SUM(M963:P963),2)</f>
        <v>3.85</v>
      </c>
      <c r="R963" s="8" t="str">
        <f aca="false">IF(Q963&gt;=Scoring!$C$10-0.000001,"Keep","Remove")</f>
        <v>Remove</v>
      </c>
      <c r="S963" s="8" t="s">
        <v>8095</v>
      </c>
    </row>
    <row r="964" customFormat="false" ht="15" hidden="false" customHeight="false" outlineLevel="0" collapsed="false">
      <c r="A964" s="8" t="s">
        <v>7991</v>
      </c>
      <c r="B964" s="8" t="s">
        <v>7992</v>
      </c>
      <c r="C964" s="8" t="s">
        <v>5958</v>
      </c>
      <c r="D964" s="8" t="s">
        <v>4448</v>
      </c>
      <c r="E964" s="8"/>
      <c r="F964" s="8" t="s">
        <v>92</v>
      </c>
      <c r="G964" s="8" t="n">
        <v>3</v>
      </c>
      <c r="H964" s="13" t="n">
        <v>2</v>
      </c>
      <c r="I964" s="8" t="n">
        <v>3</v>
      </c>
      <c r="J964" s="20" t="s">
        <v>259</v>
      </c>
      <c r="K964" s="8"/>
      <c r="L964" s="20" t="s">
        <v>259</v>
      </c>
      <c r="M964" s="16" t="n">
        <f aca="false">H964*Scoring!$C$5</f>
        <v>2.6</v>
      </c>
      <c r="N964" s="16" t="n">
        <f aca="false">IF(I964&gt;=5,1,IF(I964=4,0.75,IF(I964=3,0.5,IF(I964=2,0.25,0))))*Scoring!$C$8</f>
        <v>0.5</v>
      </c>
      <c r="O964" s="16" t="n">
        <f aca="false">IF(J964="Yes",0,Scoring!$C$6)</f>
        <v>2</v>
      </c>
      <c r="P964" s="16" t="n">
        <f aca="false">IF(L964="Yes",0,Scoring!$C$7)</f>
        <v>0.5</v>
      </c>
      <c r="Q964" s="8" t="n">
        <f aca="false">ROUND(SUM(M964:P964),2)</f>
        <v>5.6</v>
      </c>
      <c r="R964" s="8" t="str">
        <f aca="false">IF(Q964&gt;=Scoring!$C$10-0.000001,"Keep","Remove")</f>
        <v>Remove</v>
      </c>
      <c r="S964" s="8" t="s">
        <v>7243</v>
      </c>
    </row>
    <row r="965" customFormat="false" ht="15" hidden="false" customHeight="false" outlineLevel="0" collapsed="false">
      <c r="A965" s="8" t="s">
        <v>7993</v>
      </c>
      <c r="B965" s="8" t="s">
        <v>7994</v>
      </c>
      <c r="C965" s="8" t="s">
        <v>5958</v>
      </c>
      <c r="D965" s="8" t="s">
        <v>3828</v>
      </c>
      <c r="E965" s="8"/>
      <c r="F965" s="8" t="s">
        <v>92</v>
      </c>
      <c r="G965" s="8" t="n">
        <v>3</v>
      </c>
      <c r="H965" s="13" t="n">
        <v>2</v>
      </c>
      <c r="I965" s="8" t="n">
        <v>3</v>
      </c>
      <c r="J965" s="20" t="s">
        <v>259</v>
      </c>
      <c r="K965" s="8"/>
      <c r="L965" s="20" t="s">
        <v>259</v>
      </c>
      <c r="M965" s="16" t="n">
        <f aca="false">H965*Scoring!$C$5</f>
        <v>2.6</v>
      </c>
      <c r="N965" s="16" t="n">
        <f aca="false">IF(I965&gt;=5,1,IF(I965=4,0.75,IF(I965=3,0.5,IF(I965=2,0.25,0))))*Scoring!$C$8</f>
        <v>0.5</v>
      </c>
      <c r="O965" s="16" t="n">
        <f aca="false">IF(J965="Yes",0,Scoring!$C$6)</f>
        <v>2</v>
      </c>
      <c r="P965" s="16" t="n">
        <f aca="false">IF(L965="Yes",0,Scoring!$C$7)</f>
        <v>0.5</v>
      </c>
      <c r="Q965" s="8" t="n">
        <f aca="false">ROUND(SUM(M965:P965),2)</f>
        <v>5.6</v>
      </c>
      <c r="R965" s="8" t="str">
        <f aca="false">IF(Q965&gt;=Scoring!$C$10-0.000001,"Keep","Remove")</f>
        <v>Remove</v>
      </c>
      <c r="S965" s="8" t="s">
        <v>7243</v>
      </c>
    </row>
    <row r="966" customFormat="false" ht="15" hidden="false" customHeight="false" outlineLevel="0" collapsed="false">
      <c r="A966" s="8" t="s">
        <v>7995</v>
      </c>
      <c r="B966" s="8" t="s">
        <v>7996</v>
      </c>
      <c r="C966" s="8" t="s">
        <v>5958</v>
      </c>
      <c r="D966" s="8" t="s">
        <v>5046</v>
      </c>
      <c r="E966" s="8"/>
      <c r="F966" s="8" t="s">
        <v>92</v>
      </c>
      <c r="G966" s="8" t="n">
        <v>3</v>
      </c>
      <c r="H966" s="13" t="n">
        <v>2</v>
      </c>
      <c r="I966" s="8" t="n">
        <v>3</v>
      </c>
      <c r="J966" s="20" t="s">
        <v>259</v>
      </c>
      <c r="K966" s="8"/>
      <c r="L966" s="20" t="s">
        <v>259</v>
      </c>
      <c r="M966" s="16" t="n">
        <f aca="false">H966*Scoring!$C$5</f>
        <v>2.6</v>
      </c>
      <c r="N966" s="16" t="n">
        <f aca="false">IF(I966&gt;=5,1,IF(I966=4,0.75,IF(I966=3,0.5,IF(I966=2,0.25,0))))*Scoring!$C$8</f>
        <v>0.5</v>
      </c>
      <c r="O966" s="16" t="n">
        <f aca="false">IF(J966="Yes",0,Scoring!$C$6)</f>
        <v>2</v>
      </c>
      <c r="P966" s="16" t="n">
        <f aca="false">IF(L966="Yes",0,Scoring!$C$7)</f>
        <v>0.5</v>
      </c>
      <c r="Q966" s="8" t="n">
        <f aca="false">ROUND(SUM(M966:P966),2)</f>
        <v>5.6</v>
      </c>
      <c r="R966" s="8" t="str">
        <f aca="false">IF(Q966&gt;=Scoring!$C$10-0.000001,"Keep","Remove")</f>
        <v>Remove</v>
      </c>
      <c r="S966" s="8" t="s">
        <v>7243</v>
      </c>
    </row>
    <row r="967" customFormat="false" ht="15" hidden="false" customHeight="false" outlineLevel="0" collapsed="false">
      <c r="A967" s="8" t="s">
        <v>7956</v>
      </c>
      <c r="B967" s="8" t="s">
        <v>7957</v>
      </c>
      <c r="C967" s="8" t="s">
        <v>5958</v>
      </c>
      <c r="D967" s="8" t="s">
        <v>5046</v>
      </c>
      <c r="E967" s="8"/>
      <c r="F967" s="8" t="s">
        <v>92</v>
      </c>
      <c r="G967" s="8" t="n">
        <v>3</v>
      </c>
      <c r="H967" s="13" t="n">
        <v>2</v>
      </c>
      <c r="I967" s="8" t="n">
        <v>4</v>
      </c>
      <c r="J967" s="20" t="s">
        <v>259</v>
      </c>
      <c r="K967" s="8"/>
      <c r="L967" s="20" t="s">
        <v>259</v>
      </c>
      <c r="M967" s="16" t="n">
        <f aca="false">H967*Scoring!$C$5</f>
        <v>2.6</v>
      </c>
      <c r="N967" s="16" t="n">
        <f aca="false">IF(I967&gt;=5,1,IF(I967=4,0.75,IF(I967=3,0.5,IF(I967=2,0.25,0))))*Scoring!$C$8</f>
        <v>0.75</v>
      </c>
      <c r="O967" s="16" t="n">
        <f aca="false">IF(J967="Yes",0,Scoring!$C$6)</f>
        <v>2</v>
      </c>
      <c r="P967" s="16" t="n">
        <f aca="false">IF(L967="Yes",0,Scoring!$C$7)</f>
        <v>0.5</v>
      </c>
      <c r="Q967" s="8" t="n">
        <f aca="false">ROUND(SUM(M967:P967),2)</f>
        <v>5.85</v>
      </c>
      <c r="R967" s="8" t="str">
        <f aca="false">IF(Q967&gt;=Scoring!$C$10-0.000001,"Keep","Remove")</f>
        <v>Remove</v>
      </c>
      <c r="S967" s="8" t="s">
        <v>7243</v>
      </c>
    </row>
    <row r="968" customFormat="false" ht="15" hidden="false" customHeight="false" outlineLevel="0" collapsed="false">
      <c r="A968" s="8" t="s">
        <v>7958</v>
      </c>
      <c r="B968" s="8" t="s">
        <v>7959</v>
      </c>
      <c r="C968" s="8" t="s">
        <v>5958</v>
      </c>
      <c r="D968" s="8" t="s">
        <v>7960</v>
      </c>
      <c r="E968" s="8"/>
      <c r="F968" s="8" t="s">
        <v>92</v>
      </c>
      <c r="G968" s="8" t="n">
        <v>3</v>
      </c>
      <c r="H968" s="13" t="n">
        <v>2</v>
      </c>
      <c r="I968" s="8" t="n">
        <v>4</v>
      </c>
      <c r="J968" s="20" t="s">
        <v>259</v>
      </c>
      <c r="K968" s="8"/>
      <c r="L968" s="20" t="s">
        <v>259</v>
      </c>
      <c r="M968" s="16" t="n">
        <f aca="false">H968*Scoring!$C$5</f>
        <v>2.6</v>
      </c>
      <c r="N968" s="16" t="n">
        <f aca="false">IF(I968&gt;=5,1,IF(I968=4,0.75,IF(I968=3,0.5,IF(I968=2,0.25,0))))*Scoring!$C$8</f>
        <v>0.75</v>
      </c>
      <c r="O968" s="16" t="n">
        <f aca="false">IF(J968="Yes",0,Scoring!$C$6)</f>
        <v>2</v>
      </c>
      <c r="P968" s="16" t="n">
        <f aca="false">IF(L968="Yes",0,Scoring!$C$7)</f>
        <v>0.5</v>
      </c>
      <c r="Q968" s="8" t="n">
        <f aca="false">ROUND(SUM(M968:P968),2)</f>
        <v>5.85</v>
      </c>
      <c r="R968" s="8" t="str">
        <f aca="false">IF(Q968&gt;=Scoring!$C$10-0.000001,"Keep","Remove")</f>
        <v>Remove</v>
      </c>
      <c r="S968" s="8" t="s">
        <v>7243</v>
      </c>
    </row>
    <row r="969" customFormat="false" ht="15" hidden="false" customHeight="false" outlineLevel="0" collapsed="false">
      <c r="A969" s="8" t="s">
        <v>7997</v>
      </c>
      <c r="B969" s="8" t="s">
        <v>7998</v>
      </c>
      <c r="C969" s="8" t="s">
        <v>5958</v>
      </c>
      <c r="D969" s="8" t="s">
        <v>4448</v>
      </c>
      <c r="E969" s="8"/>
      <c r="F969" s="8" t="s">
        <v>92</v>
      </c>
      <c r="G969" s="8" t="n">
        <v>3</v>
      </c>
      <c r="H969" s="13" t="n">
        <v>2</v>
      </c>
      <c r="I969" s="8" t="n">
        <v>3</v>
      </c>
      <c r="J969" s="20" t="s">
        <v>259</v>
      </c>
      <c r="K969" s="8"/>
      <c r="L969" s="20" t="s">
        <v>259</v>
      </c>
      <c r="M969" s="16" t="n">
        <f aca="false">H969*Scoring!$C$5</f>
        <v>2.6</v>
      </c>
      <c r="N969" s="16" t="n">
        <f aca="false">IF(I969&gt;=5,1,IF(I969=4,0.75,IF(I969=3,0.5,IF(I969=2,0.25,0))))*Scoring!$C$8</f>
        <v>0.5</v>
      </c>
      <c r="O969" s="16" t="n">
        <f aca="false">IF(J969="Yes",0,Scoring!$C$6)</f>
        <v>2</v>
      </c>
      <c r="P969" s="16" t="n">
        <f aca="false">IF(L969="Yes",0,Scoring!$C$7)</f>
        <v>0.5</v>
      </c>
      <c r="Q969" s="8" t="n">
        <f aca="false">ROUND(SUM(M969:P969),2)</f>
        <v>5.6</v>
      </c>
      <c r="R969" s="8" t="str">
        <f aca="false">IF(Q969&gt;=Scoring!$C$10-0.000001,"Keep","Remove")</f>
        <v>Remove</v>
      </c>
      <c r="S969" s="8" t="s">
        <v>7243</v>
      </c>
    </row>
    <row r="970" customFormat="false" ht="15" hidden="false" customHeight="false" outlineLevel="0" collapsed="false">
      <c r="A970" s="8" t="s">
        <v>7999</v>
      </c>
      <c r="B970" s="8" t="s">
        <v>8000</v>
      </c>
      <c r="C970" s="8" t="s">
        <v>5958</v>
      </c>
      <c r="D970" s="8" t="s">
        <v>5046</v>
      </c>
      <c r="E970" s="8"/>
      <c r="F970" s="8" t="s">
        <v>92</v>
      </c>
      <c r="G970" s="8" t="n">
        <v>3</v>
      </c>
      <c r="H970" s="13" t="n">
        <v>2</v>
      </c>
      <c r="I970" s="8" t="n">
        <v>3</v>
      </c>
      <c r="J970" s="20" t="s">
        <v>259</v>
      </c>
      <c r="K970" s="8"/>
      <c r="L970" s="20" t="s">
        <v>259</v>
      </c>
      <c r="M970" s="16" t="n">
        <f aca="false">H970*Scoring!$C$5</f>
        <v>2.6</v>
      </c>
      <c r="N970" s="16" t="n">
        <f aca="false">IF(I970&gt;=5,1,IF(I970=4,0.75,IF(I970=3,0.5,IF(I970=2,0.25,0))))*Scoring!$C$8</f>
        <v>0.5</v>
      </c>
      <c r="O970" s="16" t="n">
        <f aca="false">IF(J970="Yes",0,Scoring!$C$6)</f>
        <v>2</v>
      </c>
      <c r="P970" s="16" t="n">
        <f aca="false">IF(L970="Yes",0,Scoring!$C$7)</f>
        <v>0.5</v>
      </c>
      <c r="Q970" s="8" t="n">
        <f aca="false">ROUND(SUM(M970:P970),2)</f>
        <v>5.6</v>
      </c>
      <c r="R970" s="8" t="str">
        <f aca="false">IF(Q970&gt;=Scoring!$C$10-0.000001,"Keep","Remove")</f>
        <v>Remove</v>
      </c>
      <c r="S970" s="8" t="s">
        <v>7243</v>
      </c>
    </row>
    <row r="971" customFormat="false" ht="15" hidden="false" customHeight="false" outlineLevel="0" collapsed="false">
      <c r="A971" s="8" t="s">
        <v>7918</v>
      </c>
      <c r="B971" s="8" t="s">
        <v>7919</v>
      </c>
      <c r="C971" s="8" t="s">
        <v>5958</v>
      </c>
      <c r="D971" s="8" t="s">
        <v>5046</v>
      </c>
      <c r="E971" s="8"/>
      <c r="F971" s="8" t="s">
        <v>92</v>
      </c>
      <c r="G971" s="8" t="n">
        <v>3</v>
      </c>
      <c r="H971" s="13" t="n">
        <v>2</v>
      </c>
      <c r="I971" s="8" t="n">
        <v>6</v>
      </c>
      <c r="J971" s="20" t="s">
        <v>259</v>
      </c>
      <c r="K971" s="8"/>
      <c r="L971" s="20" t="s">
        <v>259</v>
      </c>
      <c r="M971" s="16" t="n">
        <f aca="false">H971*Scoring!$C$5</f>
        <v>2.6</v>
      </c>
      <c r="N971" s="16" t="n">
        <f aca="false">IF(I971&gt;=5,1,IF(I971=4,0.75,IF(I971=3,0.5,IF(I971=2,0.25,0))))*Scoring!$C$8</f>
        <v>1</v>
      </c>
      <c r="O971" s="16" t="n">
        <f aca="false">IF(J971="Yes",0,Scoring!$C$6)</f>
        <v>2</v>
      </c>
      <c r="P971" s="16" t="n">
        <f aca="false">IF(L971="Yes",0,Scoring!$C$7)</f>
        <v>0.5</v>
      </c>
      <c r="Q971" s="8" t="n">
        <f aca="false">ROUND(SUM(M971:P971),2)</f>
        <v>6.1</v>
      </c>
      <c r="R971" s="8" t="str">
        <f aca="false">IF(Q971&gt;=Scoring!$C$10-0.000001,"Keep","Remove")</f>
        <v>Remove</v>
      </c>
      <c r="S971" s="8" t="s">
        <v>7243</v>
      </c>
    </row>
    <row r="972" customFormat="false" ht="15" hidden="false" customHeight="false" outlineLevel="0" collapsed="false">
      <c r="A972" s="8" t="s">
        <v>8096</v>
      </c>
      <c r="B972" s="8" t="s">
        <v>8097</v>
      </c>
      <c r="C972" s="8" t="s">
        <v>5958</v>
      </c>
      <c r="D972" s="8" t="s">
        <v>5425</v>
      </c>
      <c r="E972" s="8"/>
      <c r="F972" s="8" t="s">
        <v>92</v>
      </c>
      <c r="G972" s="8" t="n">
        <v>3</v>
      </c>
      <c r="H972" s="13" t="n">
        <v>2</v>
      </c>
      <c r="I972" s="8" t="n">
        <v>4</v>
      </c>
      <c r="J972" s="20" t="s">
        <v>218</v>
      </c>
      <c r="K972" s="8" t="s">
        <v>8191</v>
      </c>
      <c r="L972" s="20" t="s">
        <v>259</v>
      </c>
      <c r="M972" s="16" t="n">
        <f aca="false">H972*Scoring!$C$5</f>
        <v>2.6</v>
      </c>
      <c r="N972" s="16" t="n">
        <f aca="false">IF(I972&gt;=5,1,IF(I972=4,0.75,IF(I972=3,0.5,IF(I972=2,0.25,0))))*Scoring!$C$8</f>
        <v>0.75</v>
      </c>
      <c r="O972" s="16" t="n">
        <f aca="false">IF(J972="Yes",0,Scoring!$C$6)</f>
        <v>0</v>
      </c>
      <c r="P972" s="16" t="n">
        <f aca="false">IF(L972="Yes",0,Scoring!$C$7)</f>
        <v>0.5</v>
      </c>
      <c r="Q972" s="8" t="n">
        <f aca="false">ROUND(SUM(M972:P972),2)</f>
        <v>3.85</v>
      </c>
      <c r="R972" s="8" t="str">
        <f aca="false">IF(Q972&gt;=Scoring!$C$10-0.000001,"Keep","Remove")</f>
        <v>Remove</v>
      </c>
      <c r="S972" s="8" t="s">
        <v>8098</v>
      </c>
    </row>
    <row r="973" customFormat="false" ht="15" hidden="false" customHeight="false" outlineLevel="0" collapsed="false">
      <c r="A973" s="8" t="s">
        <v>7961</v>
      </c>
      <c r="B973" s="8" t="s">
        <v>7962</v>
      </c>
      <c r="C973" s="8" t="s">
        <v>5958</v>
      </c>
      <c r="D973" s="8" t="s">
        <v>5046</v>
      </c>
      <c r="E973" s="8"/>
      <c r="F973" s="8" t="s">
        <v>92</v>
      </c>
      <c r="G973" s="8" t="n">
        <v>3</v>
      </c>
      <c r="H973" s="13" t="n">
        <v>2</v>
      </c>
      <c r="I973" s="8" t="n">
        <v>4</v>
      </c>
      <c r="J973" s="20" t="s">
        <v>259</v>
      </c>
      <c r="K973" s="8"/>
      <c r="L973" s="20" t="s">
        <v>259</v>
      </c>
      <c r="M973" s="16" t="n">
        <f aca="false">H973*Scoring!$C$5</f>
        <v>2.6</v>
      </c>
      <c r="N973" s="16" t="n">
        <f aca="false">IF(I973&gt;=5,1,IF(I973=4,0.75,IF(I973=3,0.5,IF(I973=2,0.25,0))))*Scoring!$C$8</f>
        <v>0.75</v>
      </c>
      <c r="O973" s="16" t="n">
        <f aca="false">IF(J973="Yes",0,Scoring!$C$6)</f>
        <v>2</v>
      </c>
      <c r="P973" s="16" t="n">
        <f aca="false">IF(L973="Yes",0,Scoring!$C$7)</f>
        <v>0.5</v>
      </c>
      <c r="Q973" s="8" t="n">
        <f aca="false">ROUND(SUM(M973:P973),2)</f>
        <v>5.85</v>
      </c>
      <c r="R973" s="8" t="str">
        <f aca="false">IF(Q973&gt;=Scoring!$C$10-0.000001,"Keep","Remove")</f>
        <v>Remove</v>
      </c>
      <c r="S973" s="8" t="s">
        <v>7243</v>
      </c>
    </row>
    <row r="974" customFormat="false" ht="15" hidden="false" customHeight="false" outlineLevel="0" collapsed="false">
      <c r="A974" s="8" t="s">
        <v>6303</v>
      </c>
      <c r="B974" s="8" t="s">
        <v>6304</v>
      </c>
      <c r="C974" s="8" t="s">
        <v>5958</v>
      </c>
      <c r="D974" s="8" t="s">
        <v>5207</v>
      </c>
      <c r="E974" s="8"/>
      <c r="F974" s="8" t="s">
        <v>92</v>
      </c>
      <c r="G974" s="8" t="n">
        <v>2</v>
      </c>
      <c r="H974" s="13" t="n">
        <v>3</v>
      </c>
      <c r="I974" s="8" t="n">
        <v>6</v>
      </c>
      <c r="J974" s="20" t="s">
        <v>259</v>
      </c>
      <c r="K974" s="8"/>
      <c r="L974" s="20" t="s">
        <v>259</v>
      </c>
      <c r="M974" s="16" t="n">
        <f aca="false">H974*Scoring!$C$5</f>
        <v>3.9</v>
      </c>
      <c r="N974" s="16" t="n">
        <f aca="false">IF(I974&gt;=5,1,IF(I974=4,0.75,IF(I974=3,0.5,IF(I974=2,0.25,0))))*Scoring!$C$8</f>
        <v>1</v>
      </c>
      <c r="O974" s="16" t="n">
        <f aca="false">IF(J974="Yes",0,Scoring!$C$6)</f>
        <v>2</v>
      </c>
      <c r="P974" s="16" t="n">
        <f aca="false">IF(L974="Yes",0,Scoring!$C$7)</f>
        <v>0.5</v>
      </c>
      <c r="Q974" s="8" t="n">
        <f aca="false">ROUND(SUM(M974:P974),2)</f>
        <v>7.4</v>
      </c>
      <c r="R974" s="8" t="str">
        <f aca="false">IF(Q974&gt;=Scoring!$C$10-0.000001,"Keep","Remove")</f>
        <v>Keep</v>
      </c>
      <c r="S974" s="8" t="s">
        <v>166</v>
      </c>
    </row>
    <row r="975" customFormat="false" ht="15" hidden="false" customHeight="false" outlineLevel="0" collapsed="false">
      <c r="A975" s="8" t="s">
        <v>6311</v>
      </c>
      <c r="B975" s="8" t="s">
        <v>6312</v>
      </c>
      <c r="C975" s="8" t="s">
        <v>5958</v>
      </c>
      <c r="D975" s="8" t="s">
        <v>4325</v>
      </c>
      <c r="E975" s="8"/>
      <c r="F975" s="8" t="s">
        <v>92</v>
      </c>
      <c r="G975" s="8" t="n">
        <v>1</v>
      </c>
      <c r="H975" s="13" t="n">
        <v>4</v>
      </c>
      <c r="I975" s="8" t="n">
        <v>5</v>
      </c>
      <c r="J975" s="20" t="s">
        <v>259</v>
      </c>
      <c r="K975" s="8"/>
      <c r="L975" s="20" t="s">
        <v>259</v>
      </c>
      <c r="M975" s="16" t="n">
        <f aca="false">H975*Scoring!$C$5</f>
        <v>5.2</v>
      </c>
      <c r="N975" s="16" t="n">
        <f aca="false">IF(I975&gt;=5,1,IF(I975=4,0.75,IF(I975=3,0.5,IF(I975=2,0.25,0))))*Scoring!$C$8</f>
        <v>1</v>
      </c>
      <c r="O975" s="16" t="n">
        <f aca="false">IF(J975="Yes",0,Scoring!$C$6)</f>
        <v>2</v>
      </c>
      <c r="P975" s="16" t="n">
        <f aca="false">IF(L975="Yes",0,Scoring!$C$7)</f>
        <v>0.5</v>
      </c>
      <c r="Q975" s="8" t="n">
        <f aca="false">ROUND(SUM(M975:P975),2)</f>
        <v>8.7</v>
      </c>
      <c r="R975" s="8" t="str">
        <f aca="false">IF(Q975&gt;=Scoring!$C$10-0.000001,"Keep","Remove")</f>
        <v>Keep</v>
      </c>
      <c r="S975" s="8" t="s">
        <v>166</v>
      </c>
    </row>
    <row r="976" customFormat="false" ht="15" hidden="false" customHeight="false" outlineLevel="0" collapsed="false">
      <c r="A976" s="8" t="s">
        <v>8001</v>
      </c>
      <c r="B976" s="8" t="s">
        <v>8002</v>
      </c>
      <c r="C976" s="8" t="s">
        <v>5958</v>
      </c>
      <c r="D976" s="8" t="s">
        <v>4325</v>
      </c>
      <c r="E976" s="8"/>
      <c r="F976" s="8" t="s">
        <v>92</v>
      </c>
      <c r="G976" s="8" t="n">
        <v>3</v>
      </c>
      <c r="H976" s="13" t="n">
        <v>2</v>
      </c>
      <c r="I976" s="8" t="n">
        <v>3</v>
      </c>
      <c r="J976" s="20" t="s">
        <v>259</v>
      </c>
      <c r="K976" s="8"/>
      <c r="L976" s="20" t="s">
        <v>259</v>
      </c>
      <c r="M976" s="16" t="n">
        <f aca="false">H976*Scoring!$C$5</f>
        <v>2.6</v>
      </c>
      <c r="N976" s="16" t="n">
        <f aca="false">IF(I976&gt;=5,1,IF(I976=4,0.75,IF(I976=3,0.5,IF(I976=2,0.25,0))))*Scoring!$C$8</f>
        <v>0.5</v>
      </c>
      <c r="O976" s="16" t="n">
        <f aca="false">IF(J976="Yes",0,Scoring!$C$6)</f>
        <v>2</v>
      </c>
      <c r="P976" s="16" t="n">
        <f aca="false">IF(L976="Yes",0,Scoring!$C$7)</f>
        <v>0.5</v>
      </c>
      <c r="Q976" s="8" t="n">
        <f aca="false">ROUND(SUM(M976:P976),2)</f>
        <v>5.6</v>
      </c>
      <c r="R976" s="8" t="str">
        <f aca="false">IF(Q976&gt;=Scoring!$C$10-0.000001,"Keep","Remove")</f>
        <v>Remove</v>
      </c>
      <c r="S976" s="8" t="s">
        <v>7243</v>
      </c>
    </row>
    <row r="977" customFormat="false" ht="15" hidden="false" customHeight="false" outlineLevel="0" collapsed="false">
      <c r="A977" s="8" t="s">
        <v>8099</v>
      </c>
      <c r="B977" s="8" t="s">
        <v>8100</v>
      </c>
      <c r="C977" s="8" t="s">
        <v>5958</v>
      </c>
      <c r="D977" s="8" t="s">
        <v>3828</v>
      </c>
      <c r="E977" s="8"/>
      <c r="F977" s="8" t="s">
        <v>92</v>
      </c>
      <c r="G977" s="8" t="n">
        <v>3</v>
      </c>
      <c r="H977" s="13" t="n">
        <v>2</v>
      </c>
      <c r="I977" s="8" t="n">
        <v>4</v>
      </c>
      <c r="J977" s="20" t="s">
        <v>218</v>
      </c>
      <c r="K977" s="8" t="s">
        <v>8192</v>
      </c>
      <c r="L977" s="20" t="s">
        <v>259</v>
      </c>
      <c r="M977" s="16" t="n">
        <f aca="false">H977*Scoring!$C$5</f>
        <v>2.6</v>
      </c>
      <c r="N977" s="16" t="n">
        <f aca="false">IF(I977&gt;=5,1,IF(I977=4,0.75,IF(I977=3,0.5,IF(I977=2,0.25,0))))*Scoring!$C$8</f>
        <v>0.75</v>
      </c>
      <c r="O977" s="16" t="n">
        <f aca="false">IF(J977="Yes",0,Scoring!$C$6)</f>
        <v>0</v>
      </c>
      <c r="P977" s="16" t="n">
        <f aca="false">IF(L977="Yes",0,Scoring!$C$7)</f>
        <v>0.5</v>
      </c>
      <c r="Q977" s="8" t="n">
        <f aca="false">ROUND(SUM(M977:P977),2)</f>
        <v>3.85</v>
      </c>
      <c r="R977" s="8" t="str">
        <f aca="false">IF(Q977&gt;=Scoring!$C$10-0.000001,"Keep","Remove")</f>
        <v>Remove</v>
      </c>
      <c r="S977" s="8" t="s">
        <v>8101</v>
      </c>
    </row>
    <row r="978" customFormat="false" ht="15" hidden="false" customHeight="false" outlineLevel="0" collapsed="false">
      <c r="A978" s="8" t="s">
        <v>7963</v>
      </c>
      <c r="B978" s="8" t="s">
        <v>7964</v>
      </c>
      <c r="C978" s="8" t="s">
        <v>5958</v>
      </c>
      <c r="D978" s="8" t="s">
        <v>3828</v>
      </c>
      <c r="E978" s="8"/>
      <c r="F978" s="8" t="s">
        <v>92</v>
      </c>
      <c r="G978" s="8" t="n">
        <v>3</v>
      </c>
      <c r="H978" s="13" t="n">
        <v>2</v>
      </c>
      <c r="I978" s="8" t="n">
        <v>4</v>
      </c>
      <c r="J978" s="20" t="s">
        <v>259</v>
      </c>
      <c r="K978" s="8"/>
      <c r="L978" s="20" t="s">
        <v>259</v>
      </c>
      <c r="M978" s="16" t="n">
        <f aca="false">H978*Scoring!$C$5</f>
        <v>2.6</v>
      </c>
      <c r="N978" s="16" t="n">
        <f aca="false">IF(I978&gt;=5,1,IF(I978=4,0.75,IF(I978=3,0.5,IF(I978=2,0.25,0))))*Scoring!$C$8</f>
        <v>0.75</v>
      </c>
      <c r="O978" s="16" t="n">
        <f aca="false">IF(J978="Yes",0,Scoring!$C$6)</f>
        <v>2</v>
      </c>
      <c r="P978" s="16" t="n">
        <f aca="false">IF(L978="Yes",0,Scoring!$C$7)</f>
        <v>0.5</v>
      </c>
      <c r="Q978" s="8" t="n">
        <f aca="false">ROUND(SUM(M978:P978),2)</f>
        <v>5.85</v>
      </c>
      <c r="R978" s="8" t="str">
        <f aca="false">IF(Q978&gt;=Scoring!$C$10-0.000001,"Keep","Remove")</f>
        <v>Remove</v>
      </c>
      <c r="S978" s="8" t="s">
        <v>7243</v>
      </c>
    </row>
    <row r="979" customFormat="false" ht="15" hidden="false" customHeight="false" outlineLevel="0" collapsed="false">
      <c r="A979" s="8" t="s">
        <v>6319</v>
      </c>
      <c r="B979" s="8" t="s">
        <v>6320</v>
      </c>
      <c r="C979" s="8" t="s">
        <v>5958</v>
      </c>
      <c r="D979" s="8" t="s">
        <v>4448</v>
      </c>
      <c r="E979" s="8"/>
      <c r="F979" s="8" t="s">
        <v>92</v>
      </c>
      <c r="G979" s="8" t="n">
        <v>2</v>
      </c>
      <c r="H979" s="13" t="n">
        <v>3</v>
      </c>
      <c r="I979" s="8" t="n">
        <v>6</v>
      </c>
      <c r="J979" s="20" t="s">
        <v>259</v>
      </c>
      <c r="K979" s="8"/>
      <c r="L979" s="20" t="s">
        <v>259</v>
      </c>
      <c r="M979" s="16" t="n">
        <f aca="false">H979*Scoring!$C$5</f>
        <v>3.9</v>
      </c>
      <c r="N979" s="16" t="n">
        <f aca="false">IF(I979&gt;=5,1,IF(I979=4,0.75,IF(I979=3,0.5,IF(I979=2,0.25,0))))*Scoring!$C$8</f>
        <v>1</v>
      </c>
      <c r="O979" s="16" t="n">
        <f aca="false">IF(J979="Yes",0,Scoring!$C$6)</f>
        <v>2</v>
      </c>
      <c r="P979" s="16" t="n">
        <f aca="false">IF(L979="Yes",0,Scoring!$C$7)</f>
        <v>0.5</v>
      </c>
      <c r="Q979" s="8" t="n">
        <f aca="false">ROUND(SUM(M979:P979),2)</f>
        <v>7.4</v>
      </c>
      <c r="R979" s="8" t="str">
        <f aca="false">IF(Q979&gt;=Scoring!$C$10-0.000001,"Keep","Remove")</f>
        <v>Keep</v>
      </c>
      <c r="S979" s="8" t="s">
        <v>166</v>
      </c>
    </row>
    <row r="980" customFormat="false" ht="15" hidden="false" customHeight="false" outlineLevel="0" collapsed="false">
      <c r="A980" s="8" t="s">
        <v>6326</v>
      </c>
      <c r="B980" s="8" t="s">
        <v>6327</v>
      </c>
      <c r="C980" s="8" t="s">
        <v>5958</v>
      </c>
      <c r="D980" s="8" t="s">
        <v>4448</v>
      </c>
      <c r="E980" s="8"/>
      <c r="F980" s="8" t="s">
        <v>92</v>
      </c>
      <c r="G980" s="8" t="n">
        <v>2</v>
      </c>
      <c r="H980" s="13" t="n">
        <v>3</v>
      </c>
      <c r="I980" s="8" t="n">
        <v>6</v>
      </c>
      <c r="J980" s="20" t="s">
        <v>259</v>
      </c>
      <c r="K980" s="8"/>
      <c r="L980" s="20" t="s">
        <v>259</v>
      </c>
      <c r="M980" s="16" t="n">
        <f aca="false">H980*Scoring!$C$5</f>
        <v>3.9</v>
      </c>
      <c r="N980" s="16" t="n">
        <f aca="false">IF(I980&gt;=5,1,IF(I980=4,0.75,IF(I980=3,0.5,IF(I980=2,0.25,0))))*Scoring!$C$8</f>
        <v>1</v>
      </c>
      <c r="O980" s="16" t="n">
        <f aca="false">IF(J980="Yes",0,Scoring!$C$6)</f>
        <v>2</v>
      </c>
      <c r="P980" s="16" t="n">
        <f aca="false">IF(L980="Yes",0,Scoring!$C$7)</f>
        <v>0.5</v>
      </c>
      <c r="Q980" s="8" t="n">
        <f aca="false">ROUND(SUM(M980:P980),2)</f>
        <v>7.4</v>
      </c>
      <c r="R980" s="8" t="str">
        <f aca="false">IF(Q980&gt;=Scoring!$C$10-0.000001,"Keep","Remove")</f>
        <v>Keep</v>
      </c>
      <c r="S980" s="8" t="s">
        <v>166</v>
      </c>
    </row>
    <row r="981" customFormat="false" ht="15" hidden="false" customHeight="false" outlineLevel="0" collapsed="false">
      <c r="A981" s="8" t="s">
        <v>6335</v>
      </c>
      <c r="B981" s="8" t="s">
        <v>6336</v>
      </c>
      <c r="C981" s="8" t="s">
        <v>5958</v>
      </c>
      <c r="D981" s="8" t="s">
        <v>4613</v>
      </c>
      <c r="E981" s="8"/>
      <c r="F981" s="8" t="s">
        <v>92</v>
      </c>
      <c r="G981" s="8" t="n">
        <v>1</v>
      </c>
      <c r="H981" s="13" t="n">
        <v>4</v>
      </c>
      <c r="I981" s="8" t="n">
        <v>5</v>
      </c>
      <c r="J981" s="20" t="s">
        <v>259</v>
      </c>
      <c r="K981" s="8"/>
      <c r="L981" s="20" t="s">
        <v>259</v>
      </c>
      <c r="M981" s="16" t="n">
        <f aca="false">H981*Scoring!$C$5</f>
        <v>5.2</v>
      </c>
      <c r="N981" s="16" t="n">
        <f aca="false">IF(I981&gt;=5,1,IF(I981=4,0.75,IF(I981=3,0.5,IF(I981=2,0.25,0))))*Scoring!$C$8</f>
        <v>1</v>
      </c>
      <c r="O981" s="16" t="n">
        <f aca="false">IF(J981="Yes",0,Scoring!$C$6)</f>
        <v>2</v>
      </c>
      <c r="P981" s="16" t="n">
        <f aca="false">IF(L981="Yes",0,Scoring!$C$7)</f>
        <v>0.5</v>
      </c>
      <c r="Q981" s="8" t="n">
        <f aca="false">ROUND(SUM(M981:P981),2)</f>
        <v>8.7</v>
      </c>
      <c r="R981" s="8" t="str">
        <f aca="false">IF(Q981&gt;=Scoring!$C$10-0.000001,"Keep","Remove")</f>
        <v>Keep</v>
      </c>
      <c r="S981" s="8" t="s">
        <v>166</v>
      </c>
    </row>
    <row r="982" customFormat="false" ht="15" hidden="false" customHeight="false" outlineLevel="0" collapsed="false">
      <c r="A982" s="8" t="s">
        <v>6347</v>
      </c>
      <c r="B982" s="8" t="s">
        <v>6348</v>
      </c>
      <c r="C982" s="8" t="s">
        <v>5958</v>
      </c>
      <c r="D982" s="8" t="s">
        <v>5046</v>
      </c>
      <c r="E982" s="8"/>
      <c r="F982" s="8" t="s">
        <v>92</v>
      </c>
      <c r="G982" s="8" t="n">
        <v>2</v>
      </c>
      <c r="H982" s="13" t="n">
        <v>3</v>
      </c>
      <c r="I982" s="8" t="n">
        <v>5</v>
      </c>
      <c r="J982" s="20" t="s">
        <v>259</v>
      </c>
      <c r="K982" s="8"/>
      <c r="L982" s="20" t="s">
        <v>259</v>
      </c>
      <c r="M982" s="16" t="n">
        <f aca="false">H982*Scoring!$C$5</f>
        <v>3.9</v>
      </c>
      <c r="N982" s="16" t="n">
        <f aca="false">IF(I982&gt;=5,1,IF(I982=4,0.75,IF(I982=3,0.5,IF(I982=2,0.25,0))))*Scoring!$C$8</f>
        <v>1</v>
      </c>
      <c r="O982" s="16" t="n">
        <f aca="false">IF(J982="Yes",0,Scoring!$C$6)</f>
        <v>2</v>
      </c>
      <c r="P982" s="16" t="n">
        <f aca="false">IF(L982="Yes",0,Scoring!$C$7)</f>
        <v>0.5</v>
      </c>
      <c r="Q982" s="8" t="n">
        <f aca="false">ROUND(SUM(M982:P982),2)</f>
        <v>7.4</v>
      </c>
      <c r="R982" s="8" t="str">
        <f aca="false">IF(Q982&gt;=Scoring!$C$10-0.000001,"Keep","Remove")</f>
        <v>Keep</v>
      </c>
      <c r="S982" s="8" t="s">
        <v>166</v>
      </c>
    </row>
    <row r="983" customFormat="false" ht="15" hidden="false" customHeight="false" outlineLevel="0" collapsed="false">
      <c r="A983" s="8" t="s">
        <v>7920</v>
      </c>
      <c r="B983" s="8" t="s">
        <v>7921</v>
      </c>
      <c r="C983" s="8" t="s">
        <v>5958</v>
      </c>
      <c r="D983" s="8" t="s">
        <v>5255</v>
      </c>
      <c r="E983" s="8"/>
      <c r="F983" s="8" t="s">
        <v>92</v>
      </c>
      <c r="G983" s="8" t="n">
        <v>3</v>
      </c>
      <c r="H983" s="13" t="n">
        <v>2</v>
      </c>
      <c r="I983" s="8" t="n">
        <v>5</v>
      </c>
      <c r="J983" s="20" t="s">
        <v>259</v>
      </c>
      <c r="K983" s="8"/>
      <c r="L983" s="20" t="s">
        <v>259</v>
      </c>
      <c r="M983" s="16" t="n">
        <f aca="false">H983*Scoring!$C$5</f>
        <v>2.6</v>
      </c>
      <c r="N983" s="16" t="n">
        <f aca="false">IF(I983&gt;=5,1,IF(I983=4,0.75,IF(I983=3,0.5,IF(I983=2,0.25,0))))*Scoring!$C$8</f>
        <v>1</v>
      </c>
      <c r="O983" s="16" t="n">
        <f aca="false">IF(J983="Yes",0,Scoring!$C$6)</f>
        <v>2</v>
      </c>
      <c r="P983" s="16" t="n">
        <f aca="false">IF(L983="Yes",0,Scoring!$C$7)</f>
        <v>0.5</v>
      </c>
      <c r="Q983" s="8" t="n">
        <f aca="false">ROUND(SUM(M983:P983),2)</f>
        <v>6.1</v>
      </c>
      <c r="R983" s="8" t="str">
        <f aca="false">IF(Q983&gt;=Scoring!$C$10-0.000001,"Keep","Remove")</f>
        <v>Remove</v>
      </c>
      <c r="S983" s="8" t="s">
        <v>7243</v>
      </c>
    </row>
    <row r="984" customFormat="false" ht="15" hidden="false" customHeight="false" outlineLevel="0" collapsed="false">
      <c r="A984" s="8" t="s">
        <v>6353</v>
      </c>
      <c r="B984" s="8" t="s">
        <v>6354</v>
      </c>
      <c r="C984" s="8" t="s">
        <v>5958</v>
      </c>
      <c r="D984" s="8" t="s">
        <v>4448</v>
      </c>
      <c r="E984" s="8"/>
      <c r="F984" s="8" t="s">
        <v>92</v>
      </c>
      <c r="G984" s="8" t="n">
        <v>2</v>
      </c>
      <c r="H984" s="13" t="n">
        <v>3</v>
      </c>
      <c r="I984" s="8" t="n">
        <v>6</v>
      </c>
      <c r="J984" s="20" t="s">
        <v>259</v>
      </c>
      <c r="K984" s="8"/>
      <c r="L984" s="20" t="s">
        <v>259</v>
      </c>
      <c r="M984" s="16" t="n">
        <f aca="false">H984*Scoring!$C$5</f>
        <v>3.9</v>
      </c>
      <c r="N984" s="16" t="n">
        <f aca="false">IF(I984&gt;=5,1,IF(I984=4,0.75,IF(I984=3,0.5,IF(I984=2,0.25,0))))*Scoring!$C$8</f>
        <v>1</v>
      </c>
      <c r="O984" s="16" t="n">
        <f aca="false">IF(J984="Yes",0,Scoring!$C$6)</f>
        <v>2</v>
      </c>
      <c r="P984" s="16" t="n">
        <f aca="false">IF(L984="Yes",0,Scoring!$C$7)</f>
        <v>0.5</v>
      </c>
      <c r="Q984" s="8" t="n">
        <f aca="false">ROUND(SUM(M984:P984),2)</f>
        <v>7.4</v>
      </c>
      <c r="R984" s="8" t="str">
        <f aca="false">IF(Q984&gt;=Scoring!$C$10-0.000001,"Keep","Remove")</f>
        <v>Keep</v>
      </c>
      <c r="S984" s="8" t="s">
        <v>166</v>
      </c>
    </row>
    <row r="985" customFormat="false" ht="15" hidden="false" customHeight="false" outlineLevel="0" collapsed="false">
      <c r="A985" s="8" t="s">
        <v>7965</v>
      </c>
      <c r="B985" s="8" t="s">
        <v>7966</v>
      </c>
      <c r="C985" s="8" t="s">
        <v>5958</v>
      </c>
      <c r="D985" s="8" t="s">
        <v>5046</v>
      </c>
      <c r="E985" s="8"/>
      <c r="F985" s="8" t="s">
        <v>92</v>
      </c>
      <c r="G985" s="8" t="n">
        <v>3</v>
      </c>
      <c r="H985" s="13" t="n">
        <v>2</v>
      </c>
      <c r="I985" s="8" t="n">
        <v>4</v>
      </c>
      <c r="J985" s="20" t="s">
        <v>259</v>
      </c>
      <c r="K985" s="8"/>
      <c r="L985" s="20" t="s">
        <v>259</v>
      </c>
      <c r="M985" s="16" t="n">
        <f aca="false">H985*Scoring!$C$5</f>
        <v>2.6</v>
      </c>
      <c r="N985" s="16" t="n">
        <f aca="false">IF(I985&gt;=5,1,IF(I985=4,0.75,IF(I985=3,0.5,IF(I985=2,0.25,0))))*Scoring!$C$8</f>
        <v>0.75</v>
      </c>
      <c r="O985" s="16" t="n">
        <f aca="false">IF(J985="Yes",0,Scoring!$C$6)</f>
        <v>2</v>
      </c>
      <c r="P985" s="16" t="n">
        <f aca="false">IF(L985="Yes",0,Scoring!$C$7)</f>
        <v>0.5</v>
      </c>
      <c r="Q985" s="8" t="n">
        <f aca="false">ROUND(SUM(M985:P985),2)</f>
        <v>5.85</v>
      </c>
      <c r="R985" s="8" t="str">
        <f aca="false">IF(Q985&gt;=Scoring!$C$10-0.000001,"Keep","Remove")</f>
        <v>Remove</v>
      </c>
      <c r="S985" s="8" t="s">
        <v>7243</v>
      </c>
    </row>
    <row r="986" customFormat="false" ht="15" hidden="false" customHeight="false" outlineLevel="0" collapsed="false">
      <c r="A986" s="8" t="s">
        <v>8003</v>
      </c>
      <c r="B986" s="8" t="s">
        <v>8004</v>
      </c>
      <c r="C986" s="8" t="s">
        <v>5958</v>
      </c>
      <c r="D986" s="8" t="s">
        <v>5046</v>
      </c>
      <c r="E986" s="8"/>
      <c r="F986" s="8" t="s">
        <v>92</v>
      </c>
      <c r="G986" s="8" t="n">
        <v>3</v>
      </c>
      <c r="H986" s="13" t="n">
        <v>2</v>
      </c>
      <c r="I986" s="8" t="n">
        <v>3</v>
      </c>
      <c r="J986" s="20" t="s">
        <v>259</v>
      </c>
      <c r="K986" s="8"/>
      <c r="L986" s="20" t="s">
        <v>259</v>
      </c>
      <c r="M986" s="16" t="n">
        <f aca="false">H986*Scoring!$C$5</f>
        <v>2.6</v>
      </c>
      <c r="N986" s="16" t="n">
        <f aca="false">IF(I986&gt;=5,1,IF(I986=4,0.75,IF(I986=3,0.5,IF(I986=2,0.25,0))))*Scoring!$C$8</f>
        <v>0.5</v>
      </c>
      <c r="O986" s="16" t="n">
        <f aca="false">IF(J986="Yes",0,Scoring!$C$6)</f>
        <v>2</v>
      </c>
      <c r="P986" s="16" t="n">
        <f aca="false">IF(L986="Yes",0,Scoring!$C$7)</f>
        <v>0.5</v>
      </c>
      <c r="Q986" s="8" t="n">
        <f aca="false">ROUND(SUM(M986:P986),2)</f>
        <v>5.6</v>
      </c>
      <c r="R986" s="8" t="str">
        <f aca="false">IF(Q986&gt;=Scoring!$C$10-0.000001,"Keep","Remove")</f>
        <v>Remove</v>
      </c>
      <c r="S986" s="8" t="s">
        <v>7243</v>
      </c>
    </row>
    <row r="987" customFormat="false" ht="15" hidden="false" customHeight="false" outlineLevel="0" collapsed="false">
      <c r="A987" s="8" t="s">
        <v>8005</v>
      </c>
      <c r="B987" s="8" t="s">
        <v>8006</v>
      </c>
      <c r="C987" s="8" t="s">
        <v>5958</v>
      </c>
      <c r="D987" s="8" t="s">
        <v>5046</v>
      </c>
      <c r="E987" s="8"/>
      <c r="F987" s="8" t="s">
        <v>92</v>
      </c>
      <c r="G987" s="8" t="n">
        <v>3</v>
      </c>
      <c r="H987" s="13" t="n">
        <v>2</v>
      </c>
      <c r="I987" s="8" t="n">
        <v>3</v>
      </c>
      <c r="J987" s="20" t="s">
        <v>259</v>
      </c>
      <c r="K987" s="8"/>
      <c r="L987" s="20" t="s">
        <v>259</v>
      </c>
      <c r="M987" s="16" t="n">
        <f aca="false">H987*Scoring!$C$5</f>
        <v>2.6</v>
      </c>
      <c r="N987" s="16" t="n">
        <f aca="false">IF(I987&gt;=5,1,IF(I987=4,0.75,IF(I987=3,0.5,IF(I987=2,0.25,0))))*Scoring!$C$8</f>
        <v>0.5</v>
      </c>
      <c r="O987" s="16" t="n">
        <f aca="false">IF(J987="Yes",0,Scoring!$C$6)</f>
        <v>2</v>
      </c>
      <c r="P987" s="16" t="n">
        <f aca="false">IF(L987="Yes",0,Scoring!$C$7)</f>
        <v>0.5</v>
      </c>
      <c r="Q987" s="8" t="n">
        <f aca="false">ROUND(SUM(M987:P987),2)</f>
        <v>5.6</v>
      </c>
      <c r="R987" s="8" t="str">
        <f aca="false">IF(Q987&gt;=Scoring!$C$10-0.000001,"Keep","Remove")</f>
        <v>Remove</v>
      </c>
      <c r="S987" s="8" t="s">
        <v>7243</v>
      </c>
    </row>
    <row r="988" customFormat="false" ht="15" hidden="false" customHeight="false" outlineLevel="0" collapsed="false">
      <c r="A988" s="8" t="s">
        <v>8007</v>
      </c>
      <c r="B988" s="8" t="s">
        <v>8008</v>
      </c>
      <c r="C988" s="8" t="s">
        <v>5958</v>
      </c>
      <c r="D988" s="8" t="s">
        <v>5046</v>
      </c>
      <c r="E988" s="8"/>
      <c r="F988" s="8" t="s">
        <v>92</v>
      </c>
      <c r="G988" s="8" t="n">
        <v>3</v>
      </c>
      <c r="H988" s="13" t="n">
        <v>2</v>
      </c>
      <c r="I988" s="8" t="n">
        <v>3</v>
      </c>
      <c r="J988" s="20" t="s">
        <v>259</v>
      </c>
      <c r="K988" s="8"/>
      <c r="L988" s="20" t="s">
        <v>259</v>
      </c>
      <c r="M988" s="16" t="n">
        <f aca="false">H988*Scoring!$C$5</f>
        <v>2.6</v>
      </c>
      <c r="N988" s="16" t="n">
        <f aca="false">IF(I988&gt;=5,1,IF(I988=4,0.75,IF(I988=3,0.5,IF(I988=2,0.25,0))))*Scoring!$C$8</f>
        <v>0.5</v>
      </c>
      <c r="O988" s="16" t="n">
        <f aca="false">IF(J988="Yes",0,Scoring!$C$6)</f>
        <v>2</v>
      </c>
      <c r="P988" s="16" t="n">
        <f aca="false">IF(L988="Yes",0,Scoring!$C$7)</f>
        <v>0.5</v>
      </c>
      <c r="Q988" s="8" t="n">
        <f aca="false">ROUND(SUM(M988:P988),2)</f>
        <v>5.6</v>
      </c>
      <c r="R988" s="8" t="str">
        <f aca="false">IF(Q988&gt;=Scoring!$C$10-0.000001,"Keep","Remove")</f>
        <v>Remove</v>
      </c>
      <c r="S988" s="8" t="s">
        <v>7243</v>
      </c>
    </row>
    <row r="989" customFormat="false" ht="15" hidden="false" customHeight="false" outlineLevel="0" collapsed="false">
      <c r="A989" s="8" t="s">
        <v>6361</v>
      </c>
      <c r="B989" s="8" t="s">
        <v>6362</v>
      </c>
      <c r="C989" s="8" t="s">
        <v>5958</v>
      </c>
      <c r="D989" s="8" t="s">
        <v>5255</v>
      </c>
      <c r="E989" s="8"/>
      <c r="F989" s="8" t="s">
        <v>92</v>
      </c>
      <c r="G989" s="8" t="n">
        <v>2</v>
      </c>
      <c r="H989" s="13" t="n">
        <v>3</v>
      </c>
      <c r="I989" s="8" t="n">
        <v>4</v>
      </c>
      <c r="J989" s="20" t="s">
        <v>259</v>
      </c>
      <c r="K989" s="8"/>
      <c r="L989" s="20" t="s">
        <v>259</v>
      </c>
      <c r="M989" s="16" t="n">
        <f aca="false">H989*Scoring!$C$5</f>
        <v>3.9</v>
      </c>
      <c r="N989" s="16" t="n">
        <f aca="false">IF(I989&gt;=5,1,IF(I989=4,0.75,IF(I989=3,0.5,IF(I989=2,0.25,0))))*Scoring!$C$8</f>
        <v>0.75</v>
      </c>
      <c r="O989" s="16" t="n">
        <f aca="false">IF(J989="Yes",0,Scoring!$C$6)</f>
        <v>2</v>
      </c>
      <c r="P989" s="16" t="n">
        <f aca="false">IF(L989="Yes",0,Scoring!$C$7)</f>
        <v>0.5</v>
      </c>
      <c r="Q989" s="8" t="n">
        <f aca="false">ROUND(SUM(M989:P989),2)</f>
        <v>7.15</v>
      </c>
      <c r="R989" s="8" t="str">
        <f aca="false">IF(Q989&gt;=Scoring!$C$10-0.000001,"Keep","Remove")</f>
        <v>Keep</v>
      </c>
      <c r="S989" s="8" t="s">
        <v>166</v>
      </c>
    </row>
    <row r="990" customFormat="false" ht="15" hidden="false" customHeight="false" outlineLevel="0" collapsed="false">
      <c r="A990" s="8" t="s">
        <v>6372</v>
      </c>
      <c r="B990" s="8" t="s">
        <v>6373</v>
      </c>
      <c r="C990" s="8" t="s">
        <v>5958</v>
      </c>
      <c r="D990" s="8" t="s">
        <v>4613</v>
      </c>
      <c r="E990" s="8"/>
      <c r="F990" s="8" t="s">
        <v>92</v>
      </c>
      <c r="G990" s="8" t="n">
        <v>2</v>
      </c>
      <c r="H990" s="13" t="n">
        <v>3</v>
      </c>
      <c r="I990" s="8" t="n">
        <v>3</v>
      </c>
      <c r="J990" s="20" t="s">
        <v>259</v>
      </c>
      <c r="K990" s="8"/>
      <c r="L990" s="20" t="s">
        <v>259</v>
      </c>
      <c r="M990" s="16" t="n">
        <f aca="false">H990*Scoring!$C$5</f>
        <v>3.9</v>
      </c>
      <c r="N990" s="16" t="n">
        <f aca="false">IF(I990&gt;=5,1,IF(I990=4,0.75,IF(I990=3,0.5,IF(I990=2,0.25,0))))*Scoring!$C$8</f>
        <v>0.5</v>
      </c>
      <c r="O990" s="16" t="n">
        <f aca="false">IF(J990="Yes",0,Scoring!$C$6)</f>
        <v>2</v>
      </c>
      <c r="P990" s="16" t="n">
        <f aca="false">IF(L990="Yes",0,Scoring!$C$7)</f>
        <v>0.5</v>
      </c>
      <c r="Q990" s="8" t="n">
        <f aca="false">ROUND(SUM(M990:P990),2)</f>
        <v>6.9</v>
      </c>
      <c r="R990" s="8" t="str">
        <f aca="false">IF(Q990&gt;=Scoring!$C$10-0.000001,"Keep","Remove")</f>
        <v>Keep</v>
      </c>
      <c r="S990" s="8" t="s">
        <v>166</v>
      </c>
    </row>
    <row r="991" customFormat="false" ht="15" hidden="false" customHeight="false" outlineLevel="0" collapsed="false">
      <c r="A991" s="8" t="s">
        <v>7967</v>
      </c>
      <c r="B991" s="8" t="s">
        <v>7968</v>
      </c>
      <c r="C991" s="8" t="s">
        <v>5958</v>
      </c>
      <c r="D991" s="8" t="s">
        <v>206</v>
      </c>
      <c r="E991" s="8" t="s">
        <v>103</v>
      </c>
      <c r="F991" s="8" t="s">
        <v>92</v>
      </c>
      <c r="G991" s="8" t="n">
        <v>3</v>
      </c>
      <c r="H991" s="13" t="n">
        <v>2</v>
      </c>
      <c r="I991" s="8" t="n">
        <v>4</v>
      </c>
      <c r="J991" s="20" t="s">
        <v>259</v>
      </c>
      <c r="K991" s="8"/>
      <c r="L991" s="20" t="s">
        <v>259</v>
      </c>
      <c r="M991" s="16" t="n">
        <f aca="false">H991*Scoring!$C$5</f>
        <v>2.6</v>
      </c>
      <c r="N991" s="16" t="n">
        <f aca="false">IF(I991&gt;=5,1,IF(I991=4,0.75,IF(I991=3,0.5,IF(I991=2,0.25,0))))*Scoring!$C$8</f>
        <v>0.75</v>
      </c>
      <c r="O991" s="16" t="n">
        <f aca="false">IF(J991="Yes",0,Scoring!$C$6)</f>
        <v>2</v>
      </c>
      <c r="P991" s="16" t="n">
        <f aca="false">IF(L991="Yes",0,Scoring!$C$7)</f>
        <v>0.5</v>
      </c>
      <c r="Q991" s="8" t="n">
        <f aca="false">ROUND(SUM(M991:P991),2)</f>
        <v>5.85</v>
      </c>
      <c r="R991" s="8" t="str">
        <f aca="false">IF(Q991&gt;=Scoring!$C$10-0.000001,"Keep","Remove")</f>
        <v>Remove</v>
      </c>
      <c r="S991" s="8" t="s">
        <v>7243</v>
      </c>
    </row>
    <row r="992" customFormat="false" ht="15" hidden="false" customHeight="false" outlineLevel="0" collapsed="false">
      <c r="A992" s="8" t="s">
        <v>6382</v>
      </c>
      <c r="B992" s="8" t="s">
        <v>6383</v>
      </c>
      <c r="C992" s="8" t="s">
        <v>5958</v>
      </c>
      <c r="D992" s="8" t="s">
        <v>2859</v>
      </c>
      <c r="E992" s="8"/>
      <c r="F992" s="8" t="s">
        <v>96</v>
      </c>
      <c r="G992" s="8" t="n">
        <v>1</v>
      </c>
      <c r="H992" s="13" t="n">
        <v>4</v>
      </c>
      <c r="I992" s="8" t="n">
        <v>4</v>
      </c>
      <c r="J992" s="20" t="s">
        <v>259</v>
      </c>
      <c r="K992" s="8"/>
      <c r="L992" s="20" t="s">
        <v>259</v>
      </c>
      <c r="M992" s="16" t="n">
        <f aca="false">H992*Scoring!$C$5</f>
        <v>5.2</v>
      </c>
      <c r="N992" s="16" t="n">
        <f aca="false">IF(I992&gt;=5,1,IF(I992=4,0.75,IF(I992=3,0.5,IF(I992=2,0.25,0))))*Scoring!$C$8</f>
        <v>0.75</v>
      </c>
      <c r="O992" s="16" t="n">
        <f aca="false">IF(J992="Yes",0,Scoring!$C$6)</f>
        <v>2</v>
      </c>
      <c r="P992" s="16" t="n">
        <f aca="false">IF(L992="Yes",0,Scoring!$C$7)</f>
        <v>0.5</v>
      </c>
      <c r="Q992" s="8" t="n">
        <f aca="false">ROUND(SUM(M992:P992),2)</f>
        <v>8.45</v>
      </c>
      <c r="R992" s="8" t="str">
        <f aca="false">IF(Q992&gt;=Scoring!$C$10-0.000001,"Keep","Remove")</f>
        <v>Keep</v>
      </c>
      <c r="S992" s="8" t="s">
        <v>166</v>
      </c>
    </row>
    <row r="993" customFormat="false" ht="15" hidden="false" customHeight="false" outlineLevel="0" collapsed="false">
      <c r="A993" s="8" t="s">
        <v>6393</v>
      </c>
      <c r="B993" s="8" t="s">
        <v>6394</v>
      </c>
      <c r="C993" s="8" t="s">
        <v>5958</v>
      </c>
      <c r="D993" s="8" t="s">
        <v>3137</v>
      </c>
      <c r="E993" s="8"/>
      <c r="F993" s="8" t="s">
        <v>95</v>
      </c>
      <c r="G993" s="8" t="n">
        <v>1</v>
      </c>
      <c r="H993" s="13" t="n">
        <v>4</v>
      </c>
      <c r="I993" s="8" t="n">
        <v>4</v>
      </c>
      <c r="J993" s="20" t="s">
        <v>259</v>
      </c>
      <c r="K993" s="8"/>
      <c r="L993" s="20" t="s">
        <v>218</v>
      </c>
      <c r="M993" s="16" t="n">
        <f aca="false">H993*Scoring!$C$5</f>
        <v>5.2</v>
      </c>
      <c r="N993" s="16" t="n">
        <f aca="false">IF(I993&gt;=5,1,IF(I993=4,0.75,IF(I993=3,0.5,IF(I993=2,0.25,0))))*Scoring!$C$8</f>
        <v>0.75</v>
      </c>
      <c r="O993" s="16" t="n">
        <f aca="false">IF(J993="Yes",0,Scoring!$C$6)</f>
        <v>2</v>
      </c>
      <c r="P993" s="16" t="n">
        <f aca="false">IF(L993="Yes",0,Scoring!$C$7)</f>
        <v>0</v>
      </c>
      <c r="Q993" s="8" t="n">
        <f aca="false">ROUND(SUM(M993:P993),2)</f>
        <v>7.95</v>
      </c>
      <c r="R993" s="8" t="str">
        <f aca="false">IF(Q993&gt;=Scoring!$C$10-0.000001,"Keep","Remove")</f>
        <v>Keep</v>
      </c>
      <c r="S993" s="8" t="s">
        <v>166</v>
      </c>
    </row>
    <row r="994" customFormat="false" ht="15" hidden="false" customHeight="false" outlineLevel="0" collapsed="false">
      <c r="A994" s="8" t="s">
        <v>6401</v>
      </c>
      <c r="B994" s="8" t="s">
        <v>6402</v>
      </c>
      <c r="C994" s="8" t="s">
        <v>5958</v>
      </c>
      <c r="D994" s="8" t="s">
        <v>2532</v>
      </c>
      <c r="E994" s="8"/>
      <c r="F994" s="8" t="s">
        <v>95</v>
      </c>
      <c r="G994" s="8" t="n">
        <v>2</v>
      </c>
      <c r="H994" s="13" t="n">
        <v>3</v>
      </c>
      <c r="I994" s="8" t="n">
        <v>5</v>
      </c>
      <c r="J994" s="20" t="s">
        <v>259</v>
      </c>
      <c r="K994" s="8"/>
      <c r="L994" s="20" t="s">
        <v>218</v>
      </c>
      <c r="M994" s="16" t="n">
        <f aca="false">H994*Scoring!$C$5</f>
        <v>3.9</v>
      </c>
      <c r="N994" s="16" t="n">
        <f aca="false">IF(I994&gt;=5,1,IF(I994=4,0.75,IF(I994=3,0.5,IF(I994=2,0.25,0))))*Scoring!$C$8</f>
        <v>1</v>
      </c>
      <c r="O994" s="16" t="n">
        <f aca="false">IF(J994="Yes",0,Scoring!$C$6)</f>
        <v>2</v>
      </c>
      <c r="P994" s="16" t="n">
        <f aca="false">IF(L994="Yes",0,Scoring!$C$7)</f>
        <v>0</v>
      </c>
      <c r="Q994" s="8" t="n">
        <f aca="false">ROUND(SUM(M994:P994),2)</f>
        <v>6.9</v>
      </c>
      <c r="R994" s="8" t="str">
        <f aca="false">IF(Q994&gt;=Scoring!$C$10-0.000001,"Keep","Remove")</f>
        <v>Keep</v>
      </c>
      <c r="S994" s="8" t="s">
        <v>166</v>
      </c>
    </row>
    <row r="995" customFormat="false" ht="15" hidden="false" customHeight="false" outlineLevel="0" collapsed="false">
      <c r="A995" s="8" t="s">
        <v>6411</v>
      </c>
      <c r="B995" s="8" t="s">
        <v>6412</v>
      </c>
      <c r="C995" s="8" t="s">
        <v>5958</v>
      </c>
      <c r="D995" s="8" t="s">
        <v>3137</v>
      </c>
      <c r="E995" s="8"/>
      <c r="F995" s="8" t="s">
        <v>96</v>
      </c>
      <c r="G995" s="8" t="n">
        <v>2</v>
      </c>
      <c r="H995" s="13" t="n">
        <v>3</v>
      </c>
      <c r="I995" s="8" t="n">
        <v>4</v>
      </c>
      <c r="J995" s="20" t="s">
        <v>259</v>
      </c>
      <c r="K995" s="8"/>
      <c r="L995" s="20" t="s">
        <v>259</v>
      </c>
      <c r="M995" s="16" t="n">
        <f aca="false">H995*Scoring!$C$5</f>
        <v>3.9</v>
      </c>
      <c r="N995" s="16" t="n">
        <f aca="false">IF(I995&gt;=5,1,IF(I995=4,0.75,IF(I995=3,0.5,IF(I995=2,0.25,0))))*Scoring!$C$8</f>
        <v>0.75</v>
      </c>
      <c r="O995" s="16" t="n">
        <f aca="false">IF(J995="Yes",0,Scoring!$C$6)</f>
        <v>2</v>
      </c>
      <c r="P995" s="16" t="n">
        <f aca="false">IF(L995="Yes",0,Scoring!$C$7)</f>
        <v>0.5</v>
      </c>
      <c r="Q995" s="8" t="n">
        <f aca="false">ROUND(SUM(M995:P995),2)</f>
        <v>7.15</v>
      </c>
      <c r="R995" s="8" t="str">
        <f aca="false">IF(Q995&gt;=Scoring!$C$10-0.000001,"Keep","Remove")</f>
        <v>Keep</v>
      </c>
      <c r="S995" s="8" t="s">
        <v>166</v>
      </c>
    </row>
    <row r="996" customFormat="false" ht="15" hidden="false" customHeight="false" outlineLevel="0" collapsed="false">
      <c r="A996" s="8" t="s">
        <v>6421</v>
      </c>
      <c r="B996" s="8" t="s">
        <v>6422</v>
      </c>
      <c r="C996" s="8" t="s">
        <v>5958</v>
      </c>
      <c r="D996" s="8" t="s">
        <v>5207</v>
      </c>
      <c r="E996" s="8"/>
      <c r="F996" s="8" t="s">
        <v>95</v>
      </c>
      <c r="G996" s="8" t="n">
        <v>1</v>
      </c>
      <c r="H996" s="13" t="n">
        <v>4</v>
      </c>
      <c r="I996" s="8" t="n">
        <v>4</v>
      </c>
      <c r="J996" s="20" t="s">
        <v>259</v>
      </c>
      <c r="K996" s="8"/>
      <c r="L996" s="20" t="s">
        <v>218</v>
      </c>
      <c r="M996" s="16" t="n">
        <f aca="false">H996*Scoring!$C$5</f>
        <v>5.2</v>
      </c>
      <c r="N996" s="16" t="n">
        <f aca="false">IF(I996&gt;=5,1,IF(I996=4,0.75,IF(I996=3,0.5,IF(I996=2,0.25,0))))*Scoring!$C$8</f>
        <v>0.75</v>
      </c>
      <c r="O996" s="16" t="n">
        <f aca="false">IF(J996="Yes",0,Scoring!$C$6)</f>
        <v>2</v>
      </c>
      <c r="P996" s="16" t="n">
        <f aca="false">IF(L996="Yes",0,Scoring!$C$7)</f>
        <v>0</v>
      </c>
      <c r="Q996" s="8" t="n">
        <f aca="false">ROUND(SUM(M996:P996),2)</f>
        <v>7.95</v>
      </c>
      <c r="R996" s="8" t="str">
        <f aca="false">IF(Q996&gt;=Scoring!$C$10-0.000001,"Keep","Remove")</f>
        <v>Keep</v>
      </c>
      <c r="S996" s="8" t="s">
        <v>166</v>
      </c>
    </row>
    <row r="997" customFormat="false" ht="15" hidden="false" customHeight="false" outlineLevel="0" collapsed="false">
      <c r="A997" s="8" t="s">
        <v>6431</v>
      </c>
      <c r="B997" s="8" t="s">
        <v>6432</v>
      </c>
      <c r="C997" s="8" t="s">
        <v>5958</v>
      </c>
      <c r="D997" s="8" t="s">
        <v>5207</v>
      </c>
      <c r="E997" s="8"/>
      <c r="F997" s="8" t="s">
        <v>95</v>
      </c>
      <c r="G997" s="8" t="n">
        <v>2</v>
      </c>
      <c r="H997" s="13" t="n">
        <v>3</v>
      </c>
      <c r="I997" s="8" t="n">
        <v>6</v>
      </c>
      <c r="J997" s="20" t="s">
        <v>259</v>
      </c>
      <c r="K997" s="8"/>
      <c r="L997" s="20" t="s">
        <v>218</v>
      </c>
      <c r="M997" s="16" t="n">
        <f aca="false">H997*Scoring!$C$5</f>
        <v>3.9</v>
      </c>
      <c r="N997" s="16" t="n">
        <f aca="false">IF(I997&gt;=5,1,IF(I997=4,0.75,IF(I997=3,0.5,IF(I997=2,0.25,0))))*Scoring!$C$8</f>
        <v>1</v>
      </c>
      <c r="O997" s="16" t="n">
        <f aca="false">IF(J997="Yes",0,Scoring!$C$6)</f>
        <v>2</v>
      </c>
      <c r="P997" s="16" t="n">
        <f aca="false">IF(L997="Yes",0,Scoring!$C$7)</f>
        <v>0</v>
      </c>
      <c r="Q997" s="8" t="n">
        <f aca="false">ROUND(SUM(M997:P997),2)</f>
        <v>6.9</v>
      </c>
      <c r="R997" s="8" t="str">
        <f aca="false">IF(Q997&gt;=Scoring!$C$10-0.000001,"Keep","Remove")</f>
        <v>Keep</v>
      </c>
      <c r="S997" s="8" t="s">
        <v>166</v>
      </c>
    </row>
    <row r="998" customFormat="false" ht="15" hidden="false" customHeight="false" outlineLevel="0" collapsed="false">
      <c r="A998" s="8" t="s">
        <v>6440</v>
      </c>
      <c r="B998" s="8" t="s">
        <v>6441</v>
      </c>
      <c r="C998" s="8" t="s">
        <v>5958</v>
      </c>
      <c r="D998" s="8" t="s">
        <v>5446</v>
      </c>
      <c r="E998" s="8"/>
      <c r="F998" s="8" t="s">
        <v>95</v>
      </c>
      <c r="G998" s="8" t="n">
        <v>2</v>
      </c>
      <c r="H998" s="13" t="n">
        <v>3</v>
      </c>
      <c r="I998" s="8" t="n">
        <v>5</v>
      </c>
      <c r="J998" s="20" t="s">
        <v>259</v>
      </c>
      <c r="K998" s="8"/>
      <c r="L998" s="20" t="s">
        <v>218</v>
      </c>
      <c r="M998" s="16" t="n">
        <f aca="false">H998*Scoring!$C$5</f>
        <v>3.9</v>
      </c>
      <c r="N998" s="16" t="n">
        <f aca="false">IF(I998&gt;=5,1,IF(I998=4,0.75,IF(I998=3,0.5,IF(I998=2,0.25,0))))*Scoring!$C$8</f>
        <v>1</v>
      </c>
      <c r="O998" s="16" t="n">
        <f aca="false">IF(J998="Yes",0,Scoring!$C$6)</f>
        <v>2</v>
      </c>
      <c r="P998" s="16" t="n">
        <f aca="false">IF(L998="Yes",0,Scoring!$C$7)</f>
        <v>0</v>
      </c>
      <c r="Q998" s="8" t="n">
        <f aca="false">ROUND(SUM(M998:P998),2)</f>
        <v>6.9</v>
      </c>
      <c r="R998" s="8" t="str">
        <f aca="false">IF(Q998&gt;=Scoring!$C$10-0.000001,"Keep","Remove")</f>
        <v>Keep</v>
      </c>
      <c r="S998" s="8" t="s">
        <v>166</v>
      </c>
    </row>
    <row r="999" customFormat="false" ht="15" hidden="false" customHeight="false" outlineLevel="0" collapsed="false">
      <c r="A999" s="8" t="s">
        <v>8044</v>
      </c>
      <c r="B999" s="8" t="s">
        <v>8045</v>
      </c>
      <c r="C999" s="8" t="s">
        <v>5958</v>
      </c>
      <c r="D999" s="8" t="s">
        <v>5478</v>
      </c>
      <c r="E999" s="8"/>
      <c r="F999" s="8" t="s">
        <v>95</v>
      </c>
      <c r="G999" s="8" t="n">
        <v>3</v>
      </c>
      <c r="H999" s="13" t="n">
        <v>2</v>
      </c>
      <c r="I999" s="8" t="n">
        <v>4</v>
      </c>
      <c r="J999" s="20" t="s">
        <v>259</v>
      </c>
      <c r="K999" s="8"/>
      <c r="L999" s="20" t="s">
        <v>218</v>
      </c>
      <c r="M999" s="16" t="n">
        <f aca="false">H999*Scoring!$C$5</f>
        <v>2.6</v>
      </c>
      <c r="N999" s="16" t="n">
        <f aca="false">IF(I999&gt;=5,1,IF(I999=4,0.75,IF(I999=3,0.5,IF(I999=2,0.25,0))))*Scoring!$C$8</f>
        <v>0.75</v>
      </c>
      <c r="O999" s="16" t="n">
        <f aca="false">IF(J999="Yes",0,Scoring!$C$6)</f>
        <v>2</v>
      </c>
      <c r="P999" s="16" t="n">
        <f aca="false">IF(L999="Yes",0,Scoring!$C$7)</f>
        <v>0</v>
      </c>
      <c r="Q999" s="8" t="n">
        <f aca="false">ROUND(SUM(M999:P999),2)</f>
        <v>5.35</v>
      </c>
      <c r="R999" s="8" t="str">
        <f aca="false">IF(Q999&gt;=Scoring!$C$10-0.000001,"Keep","Remove")</f>
        <v>Remove</v>
      </c>
      <c r="S999" s="8" t="s">
        <v>7243</v>
      </c>
    </row>
    <row r="1000" customFormat="false" ht="15" hidden="false" customHeight="false" outlineLevel="0" collapsed="false">
      <c r="A1000" s="8" t="s">
        <v>6450</v>
      </c>
      <c r="B1000" s="8" t="s">
        <v>6451</v>
      </c>
      <c r="C1000" s="8" t="s">
        <v>5958</v>
      </c>
      <c r="D1000" s="8" t="s">
        <v>4923</v>
      </c>
      <c r="E1000" s="8"/>
      <c r="F1000" s="8" t="s">
        <v>95</v>
      </c>
      <c r="G1000" s="8" t="n">
        <v>2</v>
      </c>
      <c r="H1000" s="13" t="n">
        <v>3</v>
      </c>
      <c r="I1000" s="8" t="n">
        <v>4</v>
      </c>
      <c r="J1000" s="20" t="s">
        <v>259</v>
      </c>
      <c r="K1000" s="8"/>
      <c r="L1000" s="20" t="s">
        <v>218</v>
      </c>
      <c r="M1000" s="16" t="n">
        <f aca="false">H1000*Scoring!$C$5</f>
        <v>3.9</v>
      </c>
      <c r="N1000" s="16" t="n">
        <f aca="false">IF(I1000&gt;=5,1,IF(I1000=4,0.75,IF(I1000=3,0.5,IF(I1000=2,0.25,0))))*Scoring!$C$8</f>
        <v>0.75</v>
      </c>
      <c r="O1000" s="16" t="n">
        <f aca="false">IF(J1000="Yes",0,Scoring!$C$6)</f>
        <v>2</v>
      </c>
      <c r="P1000" s="16" t="n">
        <f aca="false">IF(L1000="Yes",0,Scoring!$C$7)</f>
        <v>0</v>
      </c>
      <c r="Q1000" s="8" t="n">
        <f aca="false">ROUND(SUM(M1000:P1000),2)</f>
        <v>6.65</v>
      </c>
      <c r="R1000" s="8" t="str">
        <f aca="false">IF(Q1000&gt;=Scoring!$C$10-0.000001,"Keep","Remove")</f>
        <v>Keep</v>
      </c>
      <c r="S1000" s="8" t="s">
        <v>166</v>
      </c>
    </row>
    <row r="1001" customFormat="false" ht="15" hidden="false" customHeight="false" outlineLevel="0" collapsed="false">
      <c r="A1001" s="8" t="s">
        <v>6458</v>
      </c>
      <c r="B1001" s="8" t="s">
        <v>6459</v>
      </c>
      <c r="C1001" s="8" t="s">
        <v>5958</v>
      </c>
      <c r="D1001" s="8" t="s">
        <v>4987</v>
      </c>
      <c r="E1001" s="8"/>
      <c r="F1001" s="8" t="s">
        <v>95</v>
      </c>
      <c r="G1001" s="8" t="n">
        <v>2</v>
      </c>
      <c r="H1001" s="13" t="n">
        <v>3</v>
      </c>
      <c r="I1001" s="8" t="n">
        <v>4</v>
      </c>
      <c r="J1001" s="20" t="s">
        <v>259</v>
      </c>
      <c r="K1001" s="8"/>
      <c r="L1001" s="20" t="s">
        <v>218</v>
      </c>
      <c r="M1001" s="16" t="n">
        <f aca="false">H1001*Scoring!$C$5</f>
        <v>3.9</v>
      </c>
      <c r="N1001" s="16" t="n">
        <f aca="false">IF(I1001&gt;=5,1,IF(I1001=4,0.75,IF(I1001=3,0.5,IF(I1001=2,0.25,0))))*Scoring!$C$8</f>
        <v>0.75</v>
      </c>
      <c r="O1001" s="16" t="n">
        <f aca="false">IF(J1001="Yes",0,Scoring!$C$6)</f>
        <v>2</v>
      </c>
      <c r="P1001" s="16" t="n">
        <f aca="false">IF(L1001="Yes",0,Scoring!$C$7)</f>
        <v>0</v>
      </c>
      <c r="Q1001" s="8" t="n">
        <f aca="false">ROUND(SUM(M1001:P1001),2)</f>
        <v>6.65</v>
      </c>
      <c r="R1001" s="8" t="str">
        <f aca="false">IF(Q1001&gt;=Scoring!$C$10-0.000001,"Keep","Remove")</f>
        <v>Keep</v>
      </c>
      <c r="S1001" s="8" t="s">
        <v>166</v>
      </c>
    </row>
    <row r="1002" customFormat="false" ht="15" hidden="false" customHeight="false" outlineLevel="0" collapsed="false">
      <c r="A1002" s="8" t="s">
        <v>8079</v>
      </c>
      <c r="B1002" s="8" t="s">
        <v>8080</v>
      </c>
      <c r="C1002" s="8" t="s">
        <v>5958</v>
      </c>
      <c r="D1002" s="8" t="s">
        <v>5609</v>
      </c>
      <c r="E1002" s="8"/>
      <c r="F1002" s="8" t="s">
        <v>95</v>
      </c>
      <c r="G1002" s="8" t="n">
        <v>3</v>
      </c>
      <c r="H1002" s="13" t="n">
        <v>2</v>
      </c>
      <c r="I1002" s="8" t="n">
        <v>3</v>
      </c>
      <c r="J1002" s="20" t="s">
        <v>259</v>
      </c>
      <c r="K1002" s="8"/>
      <c r="L1002" s="20" t="s">
        <v>218</v>
      </c>
      <c r="M1002" s="16" t="n">
        <f aca="false">H1002*Scoring!$C$5</f>
        <v>2.6</v>
      </c>
      <c r="N1002" s="16" t="n">
        <f aca="false">IF(I1002&gt;=5,1,IF(I1002=4,0.75,IF(I1002=3,0.5,IF(I1002=2,0.25,0))))*Scoring!$C$8</f>
        <v>0.5</v>
      </c>
      <c r="O1002" s="16" t="n">
        <f aca="false">IF(J1002="Yes",0,Scoring!$C$6)</f>
        <v>2</v>
      </c>
      <c r="P1002" s="16" t="n">
        <f aca="false">IF(L1002="Yes",0,Scoring!$C$7)</f>
        <v>0</v>
      </c>
      <c r="Q1002" s="8" t="n">
        <f aca="false">ROUND(SUM(M1002:P1002),2)</f>
        <v>5.1</v>
      </c>
      <c r="R1002" s="8" t="str">
        <f aca="false">IF(Q1002&gt;=Scoring!$C$10-0.000001,"Keep","Remove")</f>
        <v>Remove</v>
      </c>
      <c r="S1002" s="8" t="s">
        <v>7243</v>
      </c>
    </row>
    <row r="1003" customFormat="false" ht="15" hidden="false" customHeight="false" outlineLevel="0" collapsed="false">
      <c r="A1003" s="8" t="s">
        <v>6466</v>
      </c>
      <c r="B1003" s="8" t="s">
        <v>6467</v>
      </c>
      <c r="C1003" s="8" t="s">
        <v>5958</v>
      </c>
      <c r="D1003" s="8" t="s">
        <v>3828</v>
      </c>
      <c r="E1003" s="8"/>
      <c r="F1003" s="8" t="s">
        <v>95</v>
      </c>
      <c r="G1003" s="8" t="n">
        <v>2</v>
      </c>
      <c r="H1003" s="13" t="n">
        <v>3</v>
      </c>
      <c r="I1003" s="8" t="n">
        <v>4</v>
      </c>
      <c r="J1003" s="20" t="s">
        <v>259</v>
      </c>
      <c r="K1003" s="8"/>
      <c r="L1003" s="20" t="s">
        <v>218</v>
      </c>
      <c r="M1003" s="16" t="n">
        <f aca="false">H1003*Scoring!$C$5</f>
        <v>3.9</v>
      </c>
      <c r="N1003" s="16" t="n">
        <f aca="false">IF(I1003&gt;=5,1,IF(I1003=4,0.75,IF(I1003=3,0.5,IF(I1003=2,0.25,0))))*Scoring!$C$8</f>
        <v>0.75</v>
      </c>
      <c r="O1003" s="16" t="n">
        <f aca="false">IF(J1003="Yes",0,Scoring!$C$6)</f>
        <v>2</v>
      </c>
      <c r="P1003" s="16" t="n">
        <f aca="false">IF(L1003="Yes",0,Scoring!$C$7)</f>
        <v>0</v>
      </c>
      <c r="Q1003" s="8" t="n">
        <f aca="false">ROUND(SUM(M1003:P1003),2)</f>
        <v>6.65</v>
      </c>
      <c r="R1003" s="8" t="str">
        <f aca="false">IF(Q1003&gt;=Scoring!$C$10-0.000001,"Keep","Remove")</f>
        <v>Keep</v>
      </c>
      <c r="S1003" s="8" t="s">
        <v>166</v>
      </c>
    </row>
    <row r="1004" customFormat="false" ht="15" hidden="false" customHeight="false" outlineLevel="0" collapsed="false">
      <c r="A1004" s="8" t="s">
        <v>6476</v>
      </c>
      <c r="B1004" s="8" t="s">
        <v>6477</v>
      </c>
      <c r="C1004" s="8" t="s">
        <v>5958</v>
      </c>
      <c r="D1004" s="8" t="s">
        <v>3828</v>
      </c>
      <c r="E1004" s="8"/>
      <c r="F1004" s="8" t="s">
        <v>100</v>
      </c>
      <c r="G1004" s="8" t="n">
        <v>1</v>
      </c>
      <c r="H1004" s="13" t="n">
        <v>4</v>
      </c>
      <c r="I1004" s="8" t="n">
        <v>4</v>
      </c>
      <c r="J1004" s="20" t="s">
        <v>259</v>
      </c>
      <c r="K1004" s="8"/>
      <c r="L1004" s="20" t="s">
        <v>259</v>
      </c>
      <c r="M1004" s="16" t="n">
        <f aca="false">H1004*Scoring!$C$5</f>
        <v>5.2</v>
      </c>
      <c r="N1004" s="16" t="n">
        <f aca="false">IF(I1004&gt;=5,1,IF(I1004=4,0.75,IF(I1004=3,0.5,IF(I1004=2,0.25,0))))*Scoring!$C$8</f>
        <v>0.75</v>
      </c>
      <c r="O1004" s="16" t="n">
        <f aca="false">IF(J1004="Yes",0,Scoring!$C$6)</f>
        <v>2</v>
      </c>
      <c r="P1004" s="16" t="n">
        <f aca="false">IF(L1004="Yes",0,Scoring!$C$7)</f>
        <v>0.5</v>
      </c>
      <c r="Q1004" s="8" t="n">
        <f aca="false">ROUND(SUM(M1004:P1004),2)</f>
        <v>8.45</v>
      </c>
      <c r="R1004" s="8" t="str">
        <f aca="false">IF(Q1004&gt;=Scoring!$C$10-0.000001,"Keep","Remove")</f>
        <v>Keep</v>
      </c>
      <c r="S1004" s="8" t="s">
        <v>166</v>
      </c>
    </row>
    <row r="1005" customFormat="false" ht="15" hidden="false" customHeight="false" outlineLevel="0" collapsed="false">
      <c r="A1005" s="8" t="s">
        <v>6486</v>
      </c>
      <c r="B1005" s="8" t="s">
        <v>6487</v>
      </c>
      <c r="C1005" s="8" t="s">
        <v>5958</v>
      </c>
      <c r="D1005" s="8" t="s">
        <v>4296</v>
      </c>
      <c r="E1005" s="8"/>
      <c r="F1005" s="8" t="s">
        <v>95</v>
      </c>
      <c r="G1005" s="8" t="n">
        <v>2</v>
      </c>
      <c r="H1005" s="13" t="n">
        <v>3</v>
      </c>
      <c r="I1005" s="8" t="n">
        <v>4</v>
      </c>
      <c r="J1005" s="20" t="s">
        <v>259</v>
      </c>
      <c r="K1005" s="8"/>
      <c r="L1005" s="20" t="s">
        <v>218</v>
      </c>
      <c r="M1005" s="16" t="n">
        <f aca="false">H1005*Scoring!$C$5</f>
        <v>3.9</v>
      </c>
      <c r="N1005" s="16" t="n">
        <f aca="false">IF(I1005&gt;=5,1,IF(I1005=4,0.75,IF(I1005=3,0.5,IF(I1005=2,0.25,0))))*Scoring!$C$8</f>
        <v>0.75</v>
      </c>
      <c r="O1005" s="16" t="n">
        <f aca="false">IF(J1005="Yes",0,Scoring!$C$6)</f>
        <v>2</v>
      </c>
      <c r="P1005" s="16" t="n">
        <f aca="false">IF(L1005="Yes",0,Scoring!$C$7)</f>
        <v>0</v>
      </c>
      <c r="Q1005" s="8" t="n">
        <f aca="false">ROUND(SUM(M1005:P1005),2)</f>
        <v>6.65</v>
      </c>
      <c r="R1005" s="8" t="str">
        <f aca="false">IF(Q1005&gt;=Scoring!$C$10-0.000001,"Keep","Remove")</f>
        <v>Keep</v>
      </c>
      <c r="S1005" s="8" t="s">
        <v>166</v>
      </c>
    </row>
    <row r="1006" customFormat="false" ht="15" hidden="false" customHeight="false" outlineLevel="0" collapsed="false">
      <c r="A1006" s="8" t="s">
        <v>8009</v>
      </c>
      <c r="B1006" s="8" t="s">
        <v>8010</v>
      </c>
      <c r="C1006" s="8" t="s">
        <v>5958</v>
      </c>
      <c r="D1006" s="8" t="s">
        <v>4081</v>
      </c>
      <c r="E1006" s="8"/>
      <c r="F1006" s="8" t="s">
        <v>95</v>
      </c>
      <c r="G1006" s="8" t="n">
        <v>3</v>
      </c>
      <c r="H1006" s="13" t="n">
        <v>2</v>
      </c>
      <c r="I1006" s="8" t="n">
        <v>5</v>
      </c>
      <c r="J1006" s="20" t="s">
        <v>259</v>
      </c>
      <c r="K1006" s="8"/>
      <c r="L1006" s="20" t="s">
        <v>218</v>
      </c>
      <c r="M1006" s="16" t="n">
        <f aca="false">H1006*Scoring!$C$5</f>
        <v>2.6</v>
      </c>
      <c r="N1006" s="16" t="n">
        <f aca="false">IF(I1006&gt;=5,1,IF(I1006=4,0.75,IF(I1006=3,0.5,IF(I1006=2,0.25,0))))*Scoring!$C$8</f>
        <v>1</v>
      </c>
      <c r="O1006" s="16" t="n">
        <f aca="false">IF(J1006="Yes",0,Scoring!$C$6)</f>
        <v>2</v>
      </c>
      <c r="P1006" s="16" t="n">
        <f aca="false">IF(L1006="Yes",0,Scoring!$C$7)</f>
        <v>0</v>
      </c>
      <c r="Q1006" s="8" t="n">
        <f aca="false">ROUND(SUM(M1006:P1006),2)</f>
        <v>5.6</v>
      </c>
      <c r="R1006" s="8" t="str">
        <f aca="false">IF(Q1006&gt;=Scoring!$C$10-0.000001,"Keep","Remove")</f>
        <v>Remove</v>
      </c>
      <c r="S1006" s="8" t="s">
        <v>7243</v>
      </c>
    </row>
    <row r="1007" customFormat="false" ht="15" hidden="false" customHeight="false" outlineLevel="0" collapsed="false">
      <c r="A1007" s="8" t="s">
        <v>6497</v>
      </c>
      <c r="B1007" s="8" t="s">
        <v>6498</v>
      </c>
      <c r="C1007" s="8" t="s">
        <v>5958</v>
      </c>
      <c r="D1007" s="8" t="s">
        <v>4081</v>
      </c>
      <c r="E1007" s="8"/>
      <c r="F1007" s="8" t="s">
        <v>95</v>
      </c>
      <c r="G1007" s="8" t="n">
        <v>1</v>
      </c>
      <c r="H1007" s="13" t="n">
        <v>3</v>
      </c>
      <c r="I1007" s="8" t="n">
        <v>5</v>
      </c>
      <c r="J1007" s="20" t="s">
        <v>259</v>
      </c>
      <c r="K1007" s="8"/>
      <c r="L1007" s="20" t="s">
        <v>218</v>
      </c>
      <c r="M1007" s="16" t="n">
        <f aca="false">H1007*Scoring!$C$5</f>
        <v>3.9</v>
      </c>
      <c r="N1007" s="16" t="n">
        <f aca="false">IF(I1007&gt;=5,1,IF(I1007=4,0.75,IF(I1007=3,0.5,IF(I1007=2,0.25,0))))*Scoring!$C$8</f>
        <v>1</v>
      </c>
      <c r="O1007" s="16" t="n">
        <f aca="false">IF(J1007="Yes",0,Scoring!$C$6)</f>
        <v>2</v>
      </c>
      <c r="P1007" s="16" t="n">
        <f aca="false">IF(L1007="Yes",0,Scoring!$C$7)</f>
        <v>0</v>
      </c>
      <c r="Q1007" s="8" t="n">
        <f aca="false">ROUND(SUM(M1007:P1007),2)</f>
        <v>6.9</v>
      </c>
      <c r="R1007" s="8" t="str">
        <f aca="false">IF(Q1007&gt;=Scoring!$C$10-0.000001,"Keep","Remove")</f>
        <v>Keep</v>
      </c>
      <c r="S1007" s="8" t="s">
        <v>166</v>
      </c>
    </row>
    <row r="1008" customFormat="false" ht="15" hidden="false" customHeight="false" outlineLevel="0" collapsed="false">
      <c r="A1008" s="8" t="s">
        <v>8011</v>
      </c>
      <c r="B1008" s="8" t="s">
        <v>8012</v>
      </c>
      <c r="C1008" s="8" t="s">
        <v>5958</v>
      </c>
      <c r="D1008" s="8" t="s">
        <v>4081</v>
      </c>
      <c r="E1008" s="8"/>
      <c r="F1008" s="8" t="s">
        <v>95</v>
      </c>
      <c r="G1008" s="8" t="n">
        <v>3</v>
      </c>
      <c r="H1008" s="13" t="n">
        <v>2</v>
      </c>
      <c r="I1008" s="8" t="n">
        <v>5</v>
      </c>
      <c r="J1008" s="20" t="s">
        <v>259</v>
      </c>
      <c r="K1008" s="8"/>
      <c r="L1008" s="20" t="s">
        <v>218</v>
      </c>
      <c r="M1008" s="16" t="n">
        <f aca="false">H1008*Scoring!$C$5</f>
        <v>2.6</v>
      </c>
      <c r="N1008" s="16" t="n">
        <f aca="false">IF(I1008&gt;=5,1,IF(I1008=4,0.75,IF(I1008=3,0.5,IF(I1008=2,0.25,0))))*Scoring!$C$8</f>
        <v>1</v>
      </c>
      <c r="O1008" s="16" t="n">
        <f aca="false">IF(J1008="Yes",0,Scoring!$C$6)</f>
        <v>2</v>
      </c>
      <c r="P1008" s="16" t="n">
        <f aca="false">IF(L1008="Yes",0,Scoring!$C$7)</f>
        <v>0</v>
      </c>
      <c r="Q1008" s="8" t="n">
        <f aca="false">ROUND(SUM(M1008:P1008),2)</f>
        <v>5.6</v>
      </c>
      <c r="R1008" s="8" t="str">
        <f aca="false">IF(Q1008&gt;=Scoring!$C$10-0.000001,"Keep","Remove")</f>
        <v>Remove</v>
      </c>
      <c r="S1008" s="8" t="s">
        <v>7243</v>
      </c>
    </row>
    <row r="1009" customFormat="false" ht="15" hidden="false" customHeight="false" outlineLevel="0" collapsed="false">
      <c r="A1009" s="8" t="s">
        <v>6507</v>
      </c>
      <c r="B1009" s="8" t="s">
        <v>6508</v>
      </c>
      <c r="C1009" s="8" t="s">
        <v>5958</v>
      </c>
      <c r="D1009" s="8" t="s">
        <v>4081</v>
      </c>
      <c r="E1009" s="8"/>
      <c r="F1009" s="8" t="s">
        <v>98</v>
      </c>
      <c r="G1009" s="8" t="n">
        <v>1</v>
      </c>
      <c r="H1009" s="13" t="n">
        <v>4</v>
      </c>
      <c r="I1009" s="8" t="n">
        <v>4</v>
      </c>
      <c r="J1009" s="20" t="s">
        <v>259</v>
      </c>
      <c r="K1009" s="8"/>
      <c r="L1009" s="20" t="s">
        <v>218</v>
      </c>
      <c r="M1009" s="16" t="n">
        <f aca="false">H1009*Scoring!$C$5</f>
        <v>5.2</v>
      </c>
      <c r="N1009" s="16" t="n">
        <f aca="false">IF(I1009&gt;=5,1,IF(I1009=4,0.75,IF(I1009=3,0.5,IF(I1009=2,0.25,0))))*Scoring!$C$8</f>
        <v>0.75</v>
      </c>
      <c r="O1009" s="16" t="n">
        <f aca="false">IF(J1009="Yes",0,Scoring!$C$6)</f>
        <v>2</v>
      </c>
      <c r="P1009" s="16" t="n">
        <f aca="false">IF(L1009="Yes",0,Scoring!$C$7)</f>
        <v>0</v>
      </c>
      <c r="Q1009" s="8" t="n">
        <f aca="false">ROUND(SUM(M1009:P1009),2)</f>
        <v>7.95</v>
      </c>
      <c r="R1009" s="8" t="str">
        <f aca="false">IF(Q1009&gt;=Scoring!$C$10-0.000001,"Keep","Remove")</f>
        <v>Keep</v>
      </c>
      <c r="S1009" s="8" t="s">
        <v>166</v>
      </c>
    </row>
    <row r="1010" customFormat="false" ht="15" hidden="false" customHeight="false" outlineLevel="0" collapsed="false">
      <c r="A1010" s="8" t="s">
        <v>6514</v>
      </c>
      <c r="B1010" s="8" t="s">
        <v>6515</v>
      </c>
      <c r="C1010" s="8" t="s">
        <v>5958</v>
      </c>
      <c r="D1010" s="8" t="s">
        <v>3828</v>
      </c>
      <c r="E1010" s="8"/>
      <c r="F1010" s="8" t="s">
        <v>98</v>
      </c>
      <c r="G1010" s="8" t="n">
        <v>1</v>
      </c>
      <c r="H1010" s="13" t="n">
        <v>4</v>
      </c>
      <c r="I1010" s="8" t="n">
        <v>4</v>
      </c>
      <c r="J1010" s="20" t="s">
        <v>259</v>
      </c>
      <c r="K1010" s="8"/>
      <c r="L1010" s="20" t="s">
        <v>218</v>
      </c>
      <c r="M1010" s="16" t="n">
        <f aca="false">H1010*Scoring!$C$5</f>
        <v>5.2</v>
      </c>
      <c r="N1010" s="16" t="n">
        <f aca="false">IF(I1010&gt;=5,1,IF(I1010=4,0.75,IF(I1010=3,0.5,IF(I1010=2,0.25,0))))*Scoring!$C$8</f>
        <v>0.75</v>
      </c>
      <c r="O1010" s="16" t="n">
        <f aca="false">IF(J1010="Yes",0,Scoring!$C$6)</f>
        <v>2</v>
      </c>
      <c r="P1010" s="16" t="n">
        <f aca="false">IF(L1010="Yes",0,Scoring!$C$7)</f>
        <v>0</v>
      </c>
      <c r="Q1010" s="8" t="n">
        <f aca="false">ROUND(SUM(M1010:P1010),2)</f>
        <v>7.95</v>
      </c>
      <c r="R1010" s="8" t="str">
        <f aca="false">IF(Q1010&gt;=Scoring!$C$10-0.000001,"Keep","Remove")</f>
        <v>Keep</v>
      </c>
      <c r="S1010" s="8" t="s">
        <v>166</v>
      </c>
    </row>
    <row r="1011" customFormat="false" ht="15" hidden="false" customHeight="false" outlineLevel="0" collapsed="false">
      <c r="A1011" s="8" t="s">
        <v>6523</v>
      </c>
      <c r="B1011" s="8" t="s">
        <v>6524</v>
      </c>
      <c r="C1011" s="8" t="s">
        <v>5958</v>
      </c>
      <c r="D1011" s="8" t="s">
        <v>4403</v>
      </c>
      <c r="E1011" s="8"/>
      <c r="F1011" s="8" t="s">
        <v>98</v>
      </c>
      <c r="G1011" s="8" t="n">
        <v>2</v>
      </c>
      <c r="H1011" s="13" t="n">
        <v>3</v>
      </c>
      <c r="I1011" s="8" t="n">
        <v>5</v>
      </c>
      <c r="J1011" s="20" t="s">
        <v>259</v>
      </c>
      <c r="K1011" s="8"/>
      <c r="L1011" s="20" t="s">
        <v>218</v>
      </c>
      <c r="M1011" s="16" t="n">
        <f aca="false">H1011*Scoring!$C$5</f>
        <v>3.9</v>
      </c>
      <c r="N1011" s="16" t="n">
        <f aca="false">IF(I1011&gt;=5,1,IF(I1011=4,0.75,IF(I1011=3,0.5,IF(I1011=2,0.25,0))))*Scoring!$C$8</f>
        <v>1</v>
      </c>
      <c r="O1011" s="16" t="n">
        <f aca="false">IF(J1011="Yes",0,Scoring!$C$6)</f>
        <v>2</v>
      </c>
      <c r="P1011" s="16" t="n">
        <f aca="false">IF(L1011="Yes",0,Scoring!$C$7)</f>
        <v>0</v>
      </c>
      <c r="Q1011" s="8" t="n">
        <f aca="false">ROUND(SUM(M1011:P1011),2)</f>
        <v>6.9</v>
      </c>
      <c r="R1011" s="8" t="str">
        <f aca="false">IF(Q1011&gt;=Scoring!$C$10-0.000001,"Keep","Remove")</f>
        <v>Keep</v>
      </c>
      <c r="S1011" s="8" t="s">
        <v>166</v>
      </c>
    </row>
    <row r="1012" customFormat="false" ht="15" hidden="false" customHeight="false" outlineLevel="0" collapsed="false">
      <c r="A1012" s="8" t="s">
        <v>6532</v>
      </c>
      <c r="B1012" s="8" t="s">
        <v>6533</v>
      </c>
      <c r="C1012" s="8" t="s">
        <v>5958</v>
      </c>
      <c r="D1012" s="8" t="s">
        <v>4325</v>
      </c>
      <c r="E1012" s="8"/>
      <c r="F1012" s="8" t="s">
        <v>98</v>
      </c>
      <c r="G1012" s="8" t="n">
        <v>2</v>
      </c>
      <c r="H1012" s="13" t="n">
        <v>3</v>
      </c>
      <c r="I1012" s="8" t="n">
        <v>5</v>
      </c>
      <c r="J1012" s="20" t="s">
        <v>259</v>
      </c>
      <c r="K1012" s="8"/>
      <c r="L1012" s="20" t="s">
        <v>218</v>
      </c>
      <c r="M1012" s="16" t="n">
        <f aca="false">H1012*Scoring!$C$5</f>
        <v>3.9</v>
      </c>
      <c r="N1012" s="16" t="n">
        <f aca="false">IF(I1012&gt;=5,1,IF(I1012=4,0.75,IF(I1012=3,0.5,IF(I1012=2,0.25,0))))*Scoring!$C$8</f>
        <v>1</v>
      </c>
      <c r="O1012" s="16" t="n">
        <f aca="false">IF(J1012="Yes",0,Scoring!$C$6)</f>
        <v>2</v>
      </c>
      <c r="P1012" s="16" t="n">
        <f aca="false">IF(L1012="Yes",0,Scoring!$C$7)</f>
        <v>0</v>
      </c>
      <c r="Q1012" s="8" t="n">
        <f aca="false">ROUND(SUM(M1012:P1012),2)</f>
        <v>6.9</v>
      </c>
      <c r="R1012" s="8" t="str">
        <f aca="false">IF(Q1012&gt;=Scoring!$C$10-0.000001,"Keep","Remove")</f>
        <v>Keep</v>
      </c>
      <c r="S1012" s="8" t="s">
        <v>166</v>
      </c>
    </row>
    <row r="1013" customFormat="false" ht="15" hidden="false" customHeight="false" outlineLevel="0" collapsed="false">
      <c r="A1013" s="8" t="s">
        <v>8046</v>
      </c>
      <c r="B1013" s="8" t="s">
        <v>8047</v>
      </c>
      <c r="C1013" s="8" t="s">
        <v>5958</v>
      </c>
      <c r="D1013" s="8" t="s">
        <v>4403</v>
      </c>
      <c r="E1013" s="8"/>
      <c r="F1013" s="8" t="s">
        <v>98</v>
      </c>
      <c r="G1013" s="8" t="n">
        <v>3</v>
      </c>
      <c r="H1013" s="13" t="n">
        <v>2</v>
      </c>
      <c r="I1013" s="8" t="n">
        <v>4</v>
      </c>
      <c r="J1013" s="20" t="s">
        <v>259</v>
      </c>
      <c r="K1013" s="8"/>
      <c r="L1013" s="20" t="s">
        <v>218</v>
      </c>
      <c r="M1013" s="16" t="n">
        <f aca="false">H1013*Scoring!$C$5</f>
        <v>2.6</v>
      </c>
      <c r="N1013" s="16" t="n">
        <f aca="false">IF(I1013&gt;=5,1,IF(I1013=4,0.75,IF(I1013=3,0.5,IF(I1013=2,0.25,0))))*Scoring!$C$8</f>
        <v>0.75</v>
      </c>
      <c r="O1013" s="16" t="n">
        <f aca="false">IF(J1013="Yes",0,Scoring!$C$6)</f>
        <v>2</v>
      </c>
      <c r="P1013" s="16" t="n">
        <f aca="false">IF(L1013="Yes",0,Scoring!$C$7)</f>
        <v>0</v>
      </c>
      <c r="Q1013" s="8" t="n">
        <f aca="false">ROUND(SUM(M1013:P1013),2)</f>
        <v>5.35</v>
      </c>
      <c r="R1013" s="8" t="str">
        <f aca="false">IF(Q1013&gt;=Scoring!$C$10-0.000001,"Keep","Remove")</f>
        <v>Remove</v>
      </c>
      <c r="S1013" s="8" t="s">
        <v>7243</v>
      </c>
    </row>
    <row r="1014" customFormat="false" ht="15" hidden="false" customHeight="false" outlineLevel="0" collapsed="false">
      <c r="A1014" s="8" t="s">
        <v>8048</v>
      </c>
      <c r="B1014" s="8" t="s">
        <v>8049</v>
      </c>
      <c r="C1014" s="8" t="s">
        <v>5958</v>
      </c>
      <c r="D1014" s="8" t="s">
        <v>4923</v>
      </c>
      <c r="E1014" s="8"/>
      <c r="F1014" s="8" t="s">
        <v>98</v>
      </c>
      <c r="G1014" s="8" t="n">
        <v>3</v>
      </c>
      <c r="H1014" s="13" t="n">
        <v>2</v>
      </c>
      <c r="I1014" s="8" t="n">
        <v>4</v>
      </c>
      <c r="J1014" s="20" t="s">
        <v>259</v>
      </c>
      <c r="K1014" s="8"/>
      <c r="L1014" s="20" t="s">
        <v>218</v>
      </c>
      <c r="M1014" s="16" t="n">
        <f aca="false">H1014*Scoring!$C$5</f>
        <v>2.6</v>
      </c>
      <c r="N1014" s="16" t="n">
        <f aca="false">IF(I1014&gt;=5,1,IF(I1014=4,0.75,IF(I1014=3,0.5,IF(I1014=2,0.25,0))))*Scoring!$C$8</f>
        <v>0.75</v>
      </c>
      <c r="O1014" s="16" t="n">
        <f aca="false">IF(J1014="Yes",0,Scoring!$C$6)</f>
        <v>2</v>
      </c>
      <c r="P1014" s="16" t="n">
        <f aca="false">IF(L1014="Yes",0,Scoring!$C$7)</f>
        <v>0</v>
      </c>
      <c r="Q1014" s="8" t="n">
        <f aca="false">ROUND(SUM(M1014:P1014),2)</f>
        <v>5.35</v>
      </c>
      <c r="R1014" s="8" t="str">
        <f aca="false">IF(Q1014&gt;=Scoring!$C$10-0.000001,"Keep","Remove")</f>
        <v>Remove</v>
      </c>
      <c r="S1014" s="8" t="s">
        <v>7243</v>
      </c>
    </row>
    <row r="1015" customFormat="false" ht="15" hidden="false" customHeight="false" outlineLevel="0" collapsed="false">
      <c r="A1015" s="8" t="s">
        <v>8050</v>
      </c>
      <c r="B1015" s="8" t="s">
        <v>8051</v>
      </c>
      <c r="C1015" s="8" t="s">
        <v>5958</v>
      </c>
      <c r="D1015" s="8" t="s">
        <v>4768</v>
      </c>
      <c r="E1015" s="8"/>
      <c r="F1015" s="8" t="s">
        <v>98</v>
      </c>
      <c r="G1015" s="8" t="n">
        <v>3</v>
      </c>
      <c r="H1015" s="13" t="n">
        <v>2</v>
      </c>
      <c r="I1015" s="8" t="n">
        <v>4</v>
      </c>
      <c r="J1015" s="20" t="s">
        <v>259</v>
      </c>
      <c r="K1015" s="8"/>
      <c r="L1015" s="20" t="s">
        <v>218</v>
      </c>
      <c r="M1015" s="16" t="n">
        <f aca="false">H1015*Scoring!$C$5</f>
        <v>2.6</v>
      </c>
      <c r="N1015" s="16" t="n">
        <f aca="false">IF(I1015&gt;=5,1,IF(I1015=4,0.75,IF(I1015=3,0.5,IF(I1015=2,0.25,0))))*Scoring!$C$8</f>
        <v>0.75</v>
      </c>
      <c r="O1015" s="16" t="n">
        <f aca="false">IF(J1015="Yes",0,Scoring!$C$6)</f>
        <v>2</v>
      </c>
      <c r="P1015" s="16" t="n">
        <f aca="false">IF(L1015="Yes",0,Scoring!$C$7)</f>
        <v>0</v>
      </c>
      <c r="Q1015" s="8" t="n">
        <f aca="false">ROUND(SUM(M1015:P1015),2)</f>
        <v>5.35</v>
      </c>
      <c r="R1015" s="8" t="str">
        <f aca="false">IF(Q1015&gt;=Scoring!$C$10-0.000001,"Keep","Remove")</f>
        <v>Remove</v>
      </c>
      <c r="S1015" s="8" t="s">
        <v>7243</v>
      </c>
    </row>
    <row r="1016" customFormat="false" ht="15" hidden="false" customHeight="false" outlineLevel="0" collapsed="false">
      <c r="A1016" s="8" t="s">
        <v>6540</v>
      </c>
      <c r="B1016" s="8" t="s">
        <v>6541</v>
      </c>
      <c r="C1016" s="8" t="s">
        <v>5958</v>
      </c>
      <c r="D1016" s="8" t="s">
        <v>4448</v>
      </c>
      <c r="E1016" s="8"/>
      <c r="F1016" s="8" t="s">
        <v>95</v>
      </c>
      <c r="G1016" s="8" t="n">
        <v>1</v>
      </c>
      <c r="H1016" s="13" t="n">
        <v>4</v>
      </c>
      <c r="I1016" s="8" t="n">
        <v>4</v>
      </c>
      <c r="J1016" s="20" t="s">
        <v>259</v>
      </c>
      <c r="K1016" s="8"/>
      <c r="L1016" s="20" t="s">
        <v>218</v>
      </c>
      <c r="M1016" s="16" t="n">
        <f aca="false">H1016*Scoring!$C$5</f>
        <v>5.2</v>
      </c>
      <c r="N1016" s="16" t="n">
        <f aca="false">IF(I1016&gt;=5,1,IF(I1016=4,0.75,IF(I1016=3,0.5,IF(I1016=2,0.25,0))))*Scoring!$C$8</f>
        <v>0.75</v>
      </c>
      <c r="O1016" s="16" t="n">
        <f aca="false">IF(J1016="Yes",0,Scoring!$C$6)</f>
        <v>2</v>
      </c>
      <c r="P1016" s="16" t="n">
        <f aca="false">IF(L1016="Yes",0,Scoring!$C$7)</f>
        <v>0</v>
      </c>
      <c r="Q1016" s="8" t="n">
        <f aca="false">ROUND(SUM(M1016:P1016),2)</f>
        <v>7.95</v>
      </c>
      <c r="R1016" s="8" t="str">
        <f aca="false">IF(Q1016&gt;=Scoring!$C$10-0.000001,"Keep","Remove")</f>
        <v>Keep</v>
      </c>
      <c r="S1016" s="8" t="s">
        <v>166</v>
      </c>
    </row>
    <row r="1017" customFormat="false" ht="15" hidden="false" customHeight="false" outlineLevel="0" collapsed="false">
      <c r="A1017" s="8" t="s">
        <v>6551</v>
      </c>
      <c r="B1017" s="8" t="s">
        <v>6552</v>
      </c>
      <c r="C1017" s="8" t="s">
        <v>5958</v>
      </c>
      <c r="D1017" s="8" t="s">
        <v>5046</v>
      </c>
      <c r="E1017" s="8"/>
      <c r="F1017" s="8" t="s">
        <v>95</v>
      </c>
      <c r="G1017" s="8" t="n">
        <v>1</v>
      </c>
      <c r="H1017" s="13" t="n">
        <v>3</v>
      </c>
      <c r="I1017" s="8" t="n">
        <v>4</v>
      </c>
      <c r="J1017" s="20" t="s">
        <v>259</v>
      </c>
      <c r="K1017" s="8"/>
      <c r="L1017" s="20" t="s">
        <v>218</v>
      </c>
      <c r="M1017" s="16" t="n">
        <f aca="false">H1017*Scoring!$C$5</f>
        <v>3.9</v>
      </c>
      <c r="N1017" s="16" t="n">
        <f aca="false">IF(I1017&gt;=5,1,IF(I1017=4,0.75,IF(I1017=3,0.5,IF(I1017=2,0.25,0))))*Scoring!$C$8</f>
        <v>0.75</v>
      </c>
      <c r="O1017" s="16" t="n">
        <f aca="false">IF(J1017="Yes",0,Scoring!$C$6)</f>
        <v>2</v>
      </c>
      <c r="P1017" s="16" t="n">
        <f aca="false">IF(L1017="Yes",0,Scoring!$C$7)</f>
        <v>0</v>
      </c>
      <c r="Q1017" s="8" t="n">
        <f aca="false">ROUND(SUM(M1017:P1017),2)</f>
        <v>6.65</v>
      </c>
      <c r="R1017" s="8" t="str">
        <f aca="false">IF(Q1017&gt;=Scoring!$C$10-0.000001,"Keep","Remove")</f>
        <v>Keep</v>
      </c>
      <c r="S1017" s="8" t="s">
        <v>166</v>
      </c>
    </row>
    <row r="1018" customFormat="false" ht="15" hidden="false" customHeight="false" outlineLevel="0" collapsed="false">
      <c r="A1018" s="8" t="s">
        <v>6559</v>
      </c>
      <c r="B1018" s="8" t="s">
        <v>6560</v>
      </c>
      <c r="C1018" s="8" t="s">
        <v>5958</v>
      </c>
      <c r="D1018" s="8" t="s">
        <v>4574</v>
      </c>
      <c r="E1018" s="8"/>
      <c r="F1018" s="8" t="s">
        <v>95</v>
      </c>
      <c r="G1018" s="8" t="n">
        <v>2</v>
      </c>
      <c r="H1018" s="13" t="n">
        <v>3</v>
      </c>
      <c r="I1018" s="8" t="n">
        <v>4</v>
      </c>
      <c r="J1018" s="20" t="s">
        <v>259</v>
      </c>
      <c r="K1018" s="8"/>
      <c r="L1018" s="20" t="s">
        <v>218</v>
      </c>
      <c r="M1018" s="16" t="n">
        <f aca="false">H1018*Scoring!$C$5</f>
        <v>3.9</v>
      </c>
      <c r="N1018" s="16" t="n">
        <f aca="false">IF(I1018&gt;=5,1,IF(I1018=4,0.75,IF(I1018=3,0.5,IF(I1018=2,0.25,0))))*Scoring!$C$8</f>
        <v>0.75</v>
      </c>
      <c r="O1018" s="16" t="n">
        <f aca="false">IF(J1018="Yes",0,Scoring!$C$6)</f>
        <v>2</v>
      </c>
      <c r="P1018" s="16" t="n">
        <f aca="false">IF(L1018="Yes",0,Scoring!$C$7)</f>
        <v>0</v>
      </c>
      <c r="Q1018" s="8" t="n">
        <f aca="false">ROUND(SUM(M1018:P1018),2)</f>
        <v>6.65</v>
      </c>
      <c r="R1018" s="8" t="str">
        <f aca="false">IF(Q1018&gt;=Scoring!$C$10-0.000001,"Keep","Remove")</f>
        <v>Keep</v>
      </c>
      <c r="S1018" s="8" t="s">
        <v>166</v>
      </c>
    </row>
    <row r="1019" customFormat="false" ht="15" hidden="false" customHeight="false" outlineLevel="0" collapsed="false">
      <c r="A1019" s="8" t="s">
        <v>6570</v>
      </c>
      <c r="B1019" s="8" t="s">
        <v>6571</v>
      </c>
      <c r="C1019" s="8" t="s">
        <v>5958</v>
      </c>
      <c r="D1019" s="8" t="s">
        <v>2859</v>
      </c>
      <c r="E1019" s="8"/>
      <c r="F1019" s="8" t="s">
        <v>95</v>
      </c>
      <c r="G1019" s="8" t="n">
        <v>2</v>
      </c>
      <c r="H1019" s="13" t="n">
        <v>3</v>
      </c>
      <c r="I1019" s="8" t="n">
        <v>4</v>
      </c>
      <c r="J1019" s="20" t="s">
        <v>259</v>
      </c>
      <c r="K1019" s="8"/>
      <c r="L1019" s="20" t="s">
        <v>218</v>
      </c>
      <c r="M1019" s="16" t="n">
        <f aca="false">H1019*Scoring!$C$5</f>
        <v>3.9</v>
      </c>
      <c r="N1019" s="16" t="n">
        <f aca="false">IF(I1019&gt;=5,1,IF(I1019=4,0.75,IF(I1019=3,0.5,IF(I1019=2,0.25,0))))*Scoring!$C$8</f>
        <v>0.75</v>
      </c>
      <c r="O1019" s="16" t="n">
        <f aca="false">IF(J1019="Yes",0,Scoring!$C$6)</f>
        <v>2</v>
      </c>
      <c r="P1019" s="16" t="n">
        <f aca="false">IF(L1019="Yes",0,Scoring!$C$7)</f>
        <v>0</v>
      </c>
      <c r="Q1019" s="8" t="n">
        <f aca="false">ROUND(SUM(M1019:P1019),2)</f>
        <v>6.65</v>
      </c>
      <c r="R1019" s="8" t="str">
        <f aca="false">IF(Q1019&gt;=Scoring!$C$10-0.000001,"Keep","Remove")</f>
        <v>Keep</v>
      </c>
      <c r="S1019" s="8" t="s">
        <v>166</v>
      </c>
    </row>
    <row r="1020" customFormat="false" ht="15" hidden="false" customHeight="false" outlineLevel="0" collapsed="false">
      <c r="A1020" s="8" t="s">
        <v>6577</v>
      </c>
      <c r="B1020" s="8" t="s">
        <v>6578</v>
      </c>
      <c r="C1020" s="8" t="s">
        <v>5958</v>
      </c>
      <c r="D1020" s="8" t="s">
        <v>6579</v>
      </c>
      <c r="E1020" s="8"/>
      <c r="F1020" s="8" t="s">
        <v>95</v>
      </c>
      <c r="G1020" s="8" t="n">
        <v>1</v>
      </c>
      <c r="H1020" s="13" t="n">
        <v>4</v>
      </c>
      <c r="I1020" s="8" t="n">
        <v>5</v>
      </c>
      <c r="J1020" s="20" t="s">
        <v>259</v>
      </c>
      <c r="K1020" s="8"/>
      <c r="L1020" s="20" t="s">
        <v>218</v>
      </c>
      <c r="M1020" s="16" t="n">
        <f aca="false">H1020*Scoring!$C$5</f>
        <v>5.2</v>
      </c>
      <c r="N1020" s="16" t="n">
        <f aca="false">IF(I1020&gt;=5,1,IF(I1020=4,0.75,IF(I1020=3,0.5,IF(I1020=2,0.25,0))))*Scoring!$C$8</f>
        <v>1</v>
      </c>
      <c r="O1020" s="16" t="n">
        <f aca="false">IF(J1020="Yes",0,Scoring!$C$6)</f>
        <v>2</v>
      </c>
      <c r="P1020" s="16" t="n">
        <f aca="false">IF(L1020="Yes",0,Scoring!$C$7)</f>
        <v>0</v>
      </c>
      <c r="Q1020" s="8" t="n">
        <f aca="false">ROUND(SUM(M1020:P1020),2)</f>
        <v>8.2</v>
      </c>
      <c r="R1020" s="8" t="str">
        <f aca="false">IF(Q1020&gt;=Scoring!$C$10-0.000001,"Keep","Remove")</f>
        <v>Keep</v>
      </c>
      <c r="S1020" s="8" t="s">
        <v>166</v>
      </c>
    </row>
    <row r="1021" customFormat="false" ht="15" hidden="false" customHeight="false" outlineLevel="0" collapsed="false">
      <c r="A1021" s="8" t="s">
        <v>6586</v>
      </c>
      <c r="B1021" s="8" t="s">
        <v>6587</v>
      </c>
      <c r="C1021" s="8" t="s">
        <v>5958</v>
      </c>
      <c r="D1021" s="8" t="s">
        <v>4448</v>
      </c>
      <c r="E1021" s="8"/>
      <c r="F1021" s="8" t="s">
        <v>95</v>
      </c>
      <c r="G1021" s="8" t="n">
        <v>1</v>
      </c>
      <c r="H1021" s="13" t="n">
        <v>4</v>
      </c>
      <c r="I1021" s="8" t="n">
        <v>4</v>
      </c>
      <c r="J1021" s="20" t="s">
        <v>259</v>
      </c>
      <c r="K1021" s="8"/>
      <c r="L1021" s="20" t="s">
        <v>218</v>
      </c>
      <c r="M1021" s="16" t="n">
        <f aca="false">H1021*Scoring!$C$5</f>
        <v>5.2</v>
      </c>
      <c r="N1021" s="16" t="n">
        <f aca="false">IF(I1021&gt;=5,1,IF(I1021=4,0.75,IF(I1021=3,0.5,IF(I1021=2,0.25,0))))*Scoring!$C$8</f>
        <v>0.75</v>
      </c>
      <c r="O1021" s="16" t="n">
        <f aca="false">IF(J1021="Yes",0,Scoring!$C$6)</f>
        <v>2</v>
      </c>
      <c r="P1021" s="16" t="n">
        <f aca="false">IF(L1021="Yes",0,Scoring!$C$7)</f>
        <v>0</v>
      </c>
      <c r="Q1021" s="8" t="n">
        <f aca="false">ROUND(SUM(M1021:P1021),2)</f>
        <v>7.95</v>
      </c>
      <c r="R1021" s="8" t="str">
        <f aca="false">IF(Q1021&gt;=Scoring!$C$10-0.000001,"Keep","Remove")</f>
        <v>Keep</v>
      </c>
      <c r="S1021" s="8" t="s">
        <v>166</v>
      </c>
    </row>
    <row r="1022" customFormat="false" ht="15" hidden="false" customHeight="false" outlineLevel="0" collapsed="false">
      <c r="A1022" s="8" t="s">
        <v>6597</v>
      </c>
      <c r="B1022" s="8" t="s">
        <v>6598</v>
      </c>
      <c r="C1022" s="8" t="s">
        <v>5958</v>
      </c>
      <c r="D1022" s="8" t="s">
        <v>6579</v>
      </c>
      <c r="E1022" s="8"/>
      <c r="F1022" s="8" t="s">
        <v>95</v>
      </c>
      <c r="G1022" s="8" t="n">
        <v>1</v>
      </c>
      <c r="H1022" s="13" t="n">
        <v>4</v>
      </c>
      <c r="I1022" s="8" t="n">
        <v>4</v>
      </c>
      <c r="J1022" s="20" t="s">
        <v>259</v>
      </c>
      <c r="K1022" s="8"/>
      <c r="L1022" s="20" t="s">
        <v>218</v>
      </c>
      <c r="M1022" s="16" t="n">
        <f aca="false">H1022*Scoring!$C$5</f>
        <v>5.2</v>
      </c>
      <c r="N1022" s="16" t="n">
        <f aca="false">IF(I1022&gt;=5,1,IF(I1022=4,0.75,IF(I1022=3,0.5,IF(I1022=2,0.25,0))))*Scoring!$C$8</f>
        <v>0.75</v>
      </c>
      <c r="O1022" s="16" t="n">
        <f aca="false">IF(J1022="Yes",0,Scoring!$C$6)</f>
        <v>2</v>
      </c>
      <c r="P1022" s="16" t="n">
        <f aca="false">IF(L1022="Yes",0,Scoring!$C$7)</f>
        <v>0</v>
      </c>
      <c r="Q1022" s="8" t="n">
        <f aca="false">ROUND(SUM(M1022:P1022),2)</f>
        <v>7.95</v>
      </c>
      <c r="R1022" s="8" t="str">
        <f aca="false">IF(Q1022&gt;=Scoring!$C$10-0.000001,"Keep","Remove")</f>
        <v>Keep</v>
      </c>
      <c r="S1022" s="8" t="s">
        <v>166</v>
      </c>
    </row>
    <row r="1023" customFormat="false" ht="15" hidden="false" customHeight="false" outlineLevel="0" collapsed="false">
      <c r="A1023" s="8" t="s">
        <v>8052</v>
      </c>
      <c r="B1023" s="8" t="s">
        <v>8053</v>
      </c>
      <c r="C1023" s="8" t="s">
        <v>5958</v>
      </c>
      <c r="D1023" s="8" t="s">
        <v>7721</v>
      </c>
      <c r="E1023" s="8"/>
      <c r="F1023" s="8" t="s">
        <v>95</v>
      </c>
      <c r="G1023" s="8" t="n">
        <v>3</v>
      </c>
      <c r="H1023" s="13" t="n">
        <v>2</v>
      </c>
      <c r="I1023" s="8" t="n">
        <v>4</v>
      </c>
      <c r="J1023" s="20" t="s">
        <v>259</v>
      </c>
      <c r="K1023" s="8"/>
      <c r="L1023" s="20" t="s">
        <v>218</v>
      </c>
      <c r="M1023" s="16" t="n">
        <f aca="false">H1023*Scoring!$C$5</f>
        <v>2.6</v>
      </c>
      <c r="N1023" s="16" t="n">
        <f aca="false">IF(I1023&gt;=5,1,IF(I1023=4,0.75,IF(I1023=3,0.5,IF(I1023=2,0.25,0))))*Scoring!$C$8</f>
        <v>0.75</v>
      </c>
      <c r="O1023" s="16" t="n">
        <f aca="false">IF(J1023="Yes",0,Scoring!$C$6)</f>
        <v>2</v>
      </c>
      <c r="P1023" s="16" t="n">
        <f aca="false">IF(L1023="Yes",0,Scoring!$C$7)</f>
        <v>0</v>
      </c>
      <c r="Q1023" s="8" t="n">
        <f aca="false">ROUND(SUM(M1023:P1023),2)</f>
        <v>5.35</v>
      </c>
      <c r="R1023" s="8" t="str">
        <f aca="false">IF(Q1023&gt;=Scoring!$C$10-0.000001,"Keep","Remove")</f>
        <v>Remove</v>
      </c>
      <c r="S1023" s="8" t="s">
        <v>7243</v>
      </c>
    </row>
    <row r="1024" customFormat="false" ht="15" hidden="false" customHeight="false" outlineLevel="0" collapsed="false">
      <c r="A1024" s="8" t="s">
        <v>8054</v>
      </c>
      <c r="B1024" s="8" t="s">
        <v>8055</v>
      </c>
      <c r="C1024" s="8" t="s">
        <v>5958</v>
      </c>
      <c r="D1024" s="8" t="s">
        <v>4768</v>
      </c>
      <c r="E1024" s="8"/>
      <c r="F1024" s="8" t="s">
        <v>95</v>
      </c>
      <c r="G1024" s="8" t="n">
        <v>3</v>
      </c>
      <c r="H1024" s="13" t="n">
        <v>2</v>
      </c>
      <c r="I1024" s="8" t="n">
        <v>4</v>
      </c>
      <c r="J1024" s="20" t="s">
        <v>259</v>
      </c>
      <c r="K1024" s="8"/>
      <c r="L1024" s="20" t="s">
        <v>218</v>
      </c>
      <c r="M1024" s="16" t="n">
        <f aca="false">H1024*Scoring!$C$5</f>
        <v>2.6</v>
      </c>
      <c r="N1024" s="16" t="n">
        <f aca="false">IF(I1024&gt;=5,1,IF(I1024=4,0.75,IF(I1024=3,0.5,IF(I1024=2,0.25,0))))*Scoring!$C$8</f>
        <v>0.75</v>
      </c>
      <c r="O1024" s="16" t="n">
        <f aca="false">IF(J1024="Yes",0,Scoring!$C$6)</f>
        <v>2</v>
      </c>
      <c r="P1024" s="16" t="n">
        <f aca="false">IF(L1024="Yes",0,Scoring!$C$7)</f>
        <v>0</v>
      </c>
      <c r="Q1024" s="8" t="n">
        <f aca="false">ROUND(SUM(M1024:P1024),2)</f>
        <v>5.35</v>
      </c>
      <c r="R1024" s="8" t="str">
        <f aca="false">IF(Q1024&gt;=Scoring!$C$10-0.000001,"Keep","Remove")</f>
        <v>Remove</v>
      </c>
      <c r="S1024" s="8" t="s">
        <v>7243</v>
      </c>
    </row>
    <row r="1025" customFormat="false" ht="15" hidden="false" customHeight="false" outlineLevel="0" collapsed="false">
      <c r="A1025" s="8" t="s">
        <v>8056</v>
      </c>
      <c r="B1025" s="8" t="s">
        <v>8057</v>
      </c>
      <c r="C1025" s="8" t="s">
        <v>5958</v>
      </c>
      <c r="D1025" s="8" t="s">
        <v>7354</v>
      </c>
      <c r="E1025" s="8"/>
      <c r="F1025" s="8" t="s">
        <v>95</v>
      </c>
      <c r="G1025" s="8" t="n">
        <v>3</v>
      </c>
      <c r="H1025" s="13" t="n">
        <v>2</v>
      </c>
      <c r="I1025" s="8" t="n">
        <v>4</v>
      </c>
      <c r="J1025" s="20" t="s">
        <v>259</v>
      </c>
      <c r="K1025" s="8"/>
      <c r="L1025" s="20" t="s">
        <v>218</v>
      </c>
      <c r="M1025" s="16" t="n">
        <f aca="false">H1025*Scoring!$C$5</f>
        <v>2.6</v>
      </c>
      <c r="N1025" s="16" t="n">
        <f aca="false">IF(I1025&gt;=5,1,IF(I1025=4,0.75,IF(I1025=3,0.5,IF(I1025=2,0.25,0))))*Scoring!$C$8</f>
        <v>0.75</v>
      </c>
      <c r="O1025" s="16" t="n">
        <f aca="false">IF(J1025="Yes",0,Scoring!$C$6)</f>
        <v>2</v>
      </c>
      <c r="P1025" s="16" t="n">
        <f aca="false">IF(L1025="Yes",0,Scoring!$C$7)</f>
        <v>0</v>
      </c>
      <c r="Q1025" s="8" t="n">
        <f aca="false">ROUND(SUM(M1025:P1025),2)</f>
        <v>5.35</v>
      </c>
      <c r="R1025" s="8" t="str">
        <f aca="false">IF(Q1025&gt;=Scoring!$C$10-0.000001,"Keep","Remove")</f>
        <v>Remove</v>
      </c>
      <c r="S1025" s="8" t="s">
        <v>7243</v>
      </c>
    </row>
    <row r="1026" customFormat="false" ht="15" hidden="false" customHeight="false" outlineLevel="0" collapsed="false">
      <c r="A1026" s="8" t="s">
        <v>8058</v>
      </c>
      <c r="B1026" s="8" t="s">
        <v>8059</v>
      </c>
      <c r="C1026" s="8" t="s">
        <v>5958</v>
      </c>
      <c r="D1026" s="8" t="s">
        <v>4901</v>
      </c>
      <c r="E1026" s="8"/>
      <c r="F1026" s="8" t="s">
        <v>95</v>
      </c>
      <c r="G1026" s="8" t="n">
        <v>3</v>
      </c>
      <c r="H1026" s="13" t="n">
        <v>2</v>
      </c>
      <c r="I1026" s="8" t="n">
        <v>4</v>
      </c>
      <c r="J1026" s="20" t="s">
        <v>259</v>
      </c>
      <c r="K1026" s="8"/>
      <c r="L1026" s="20" t="s">
        <v>218</v>
      </c>
      <c r="M1026" s="16" t="n">
        <f aca="false">H1026*Scoring!$C$5</f>
        <v>2.6</v>
      </c>
      <c r="N1026" s="16" t="n">
        <f aca="false">IF(I1026&gt;=5,1,IF(I1026=4,0.75,IF(I1026=3,0.5,IF(I1026=2,0.25,0))))*Scoring!$C$8</f>
        <v>0.75</v>
      </c>
      <c r="O1026" s="16" t="n">
        <f aca="false">IF(J1026="Yes",0,Scoring!$C$6)</f>
        <v>2</v>
      </c>
      <c r="P1026" s="16" t="n">
        <f aca="false">IF(L1026="Yes",0,Scoring!$C$7)</f>
        <v>0</v>
      </c>
      <c r="Q1026" s="8" t="n">
        <f aca="false">ROUND(SUM(M1026:P1026),2)</f>
        <v>5.35</v>
      </c>
      <c r="R1026" s="8" t="str">
        <f aca="false">IF(Q1026&gt;=Scoring!$C$10-0.000001,"Keep","Remove")</f>
        <v>Remove</v>
      </c>
      <c r="S1026" s="8" t="s">
        <v>7243</v>
      </c>
    </row>
    <row r="1027" customFormat="false" ht="15" hidden="false" customHeight="false" outlineLevel="0" collapsed="false">
      <c r="A1027" s="8" t="s">
        <v>6609</v>
      </c>
      <c r="B1027" s="8" t="s">
        <v>6610</v>
      </c>
      <c r="C1027" s="8" t="s">
        <v>5958</v>
      </c>
      <c r="D1027" s="8" t="s">
        <v>206</v>
      </c>
      <c r="E1027" s="8" t="s">
        <v>103</v>
      </c>
      <c r="F1027" s="8" t="s">
        <v>95</v>
      </c>
      <c r="G1027" s="8" t="n">
        <v>2</v>
      </c>
      <c r="H1027" s="13" t="n">
        <v>3</v>
      </c>
      <c r="I1027" s="8" t="n">
        <v>4</v>
      </c>
      <c r="J1027" s="20" t="s">
        <v>259</v>
      </c>
      <c r="K1027" s="8"/>
      <c r="L1027" s="20" t="s">
        <v>218</v>
      </c>
      <c r="M1027" s="16" t="n">
        <f aca="false">H1027*Scoring!$C$5</f>
        <v>3.9</v>
      </c>
      <c r="N1027" s="16" t="n">
        <f aca="false">IF(I1027&gt;=5,1,IF(I1027=4,0.75,IF(I1027=3,0.5,IF(I1027=2,0.25,0))))*Scoring!$C$8</f>
        <v>0.75</v>
      </c>
      <c r="O1027" s="16" t="n">
        <f aca="false">IF(J1027="Yes",0,Scoring!$C$6)</f>
        <v>2</v>
      </c>
      <c r="P1027" s="16" t="n">
        <f aca="false">IF(L1027="Yes",0,Scoring!$C$7)</f>
        <v>0</v>
      </c>
      <c r="Q1027" s="8" t="n">
        <f aca="false">ROUND(SUM(M1027:P1027),2)</f>
        <v>6.65</v>
      </c>
      <c r="R1027" s="8" t="str">
        <f aca="false">IF(Q1027&gt;=Scoring!$C$10-0.000001,"Keep","Remove")</f>
        <v>Keep</v>
      </c>
      <c r="S1027" s="8" t="s">
        <v>166</v>
      </c>
    </row>
    <row r="1028" customFormat="false" ht="15" hidden="false" customHeight="false" outlineLevel="0" collapsed="false">
      <c r="A1028" s="8" t="s">
        <v>8060</v>
      </c>
      <c r="B1028" s="8" t="s">
        <v>8061</v>
      </c>
      <c r="C1028" s="8" t="s">
        <v>5958</v>
      </c>
      <c r="D1028" s="8" t="s">
        <v>206</v>
      </c>
      <c r="E1028" s="8" t="s">
        <v>103</v>
      </c>
      <c r="F1028" s="8" t="s">
        <v>95</v>
      </c>
      <c r="G1028" s="8" t="n">
        <v>3</v>
      </c>
      <c r="H1028" s="13" t="n">
        <v>2</v>
      </c>
      <c r="I1028" s="8" t="n">
        <v>4</v>
      </c>
      <c r="J1028" s="20" t="s">
        <v>259</v>
      </c>
      <c r="K1028" s="8"/>
      <c r="L1028" s="20" t="s">
        <v>218</v>
      </c>
      <c r="M1028" s="16" t="n">
        <f aca="false">H1028*Scoring!$C$5</f>
        <v>2.6</v>
      </c>
      <c r="N1028" s="16" t="n">
        <f aca="false">IF(I1028&gt;=5,1,IF(I1028=4,0.75,IF(I1028=3,0.5,IF(I1028=2,0.25,0))))*Scoring!$C$8</f>
        <v>0.75</v>
      </c>
      <c r="O1028" s="16" t="n">
        <f aca="false">IF(J1028="Yes",0,Scoring!$C$6)</f>
        <v>2</v>
      </c>
      <c r="P1028" s="16" t="n">
        <f aca="false">IF(L1028="Yes",0,Scoring!$C$7)</f>
        <v>0</v>
      </c>
      <c r="Q1028" s="8" t="n">
        <f aca="false">ROUND(SUM(M1028:P1028),2)</f>
        <v>5.35</v>
      </c>
      <c r="R1028" s="8" t="str">
        <f aca="false">IF(Q1028&gt;=Scoring!$C$10-0.000001,"Keep","Remove")</f>
        <v>Remove</v>
      </c>
      <c r="S1028" s="8" t="s">
        <v>7243</v>
      </c>
    </row>
    <row r="1029" customFormat="false" ht="15" hidden="false" customHeight="false" outlineLevel="0" collapsed="false">
      <c r="A1029" s="8" t="s">
        <v>6616</v>
      </c>
      <c r="B1029" s="8" t="s">
        <v>6617</v>
      </c>
      <c r="C1029" s="8" t="s">
        <v>5958</v>
      </c>
      <c r="D1029" s="8" t="s">
        <v>206</v>
      </c>
      <c r="E1029" s="8" t="s">
        <v>103</v>
      </c>
      <c r="F1029" s="8" t="s">
        <v>96</v>
      </c>
      <c r="G1029" s="8" t="n">
        <v>3</v>
      </c>
      <c r="H1029" s="13" t="n">
        <v>3</v>
      </c>
      <c r="I1029" s="8" t="n">
        <v>5</v>
      </c>
      <c r="J1029" s="20" t="s">
        <v>259</v>
      </c>
      <c r="K1029" s="8"/>
      <c r="L1029" s="20" t="s">
        <v>259</v>
      </c>
      <c r="M1029" s="16" t="n">
        <f aca="false">H1029*Scoring!$C$5</f>
        <v>3.9</v>
      </c>
      <c r="N1029" s="16" t="n">
        <f aca="false">IF(I1029&gt;=5,1,IF(I1029=4,0.75,IF(I1029=3,0.5,IF(I1029=2,0.25,0))))*Scoring!$C$8</f>
        <v>1</v>
      </c>
      <c r="O1029" s="16" t="n">
        <f aca="false">IF(J1029="Yes",0,Scoring!$C$6)</f>
        <v>2</v>
      </c>
      <c r="P1029" s="16" t="n">
        <f aca="false">IF(L1029="Yes",0,Scoring!$C$7)</f>
        <v>0.5</v>
      </c>
      <c r="Q1029" s="8" t="n">
        <f aca="false">ROUND(SUM(M1029:P1029),2)</f>
        <v>7.4</v>
      </c>
      <c r="R1029" s="8" t="str">
        <f aca="false">IF(Q1029&gt;=Scoring!$C$10-0.000001,"Keep","Remove")</f>
        <v>Keep</v>
      </c>
      <c r="S1029" s="8" t="s">
        <v>166</v>
      </c>
    </row>
    <row r="1030" customFormat="false" ht="15" hidden="false" customHeight="false" outlineLevel="0" collapsed="false">
      <c r="A1030" s="8" t="s">
        <v>7969</v>
      </c>
      <c r="B1030" s="8" t="s">
        <v>7970</v>
      </c>
      <c r="C1030" s="8" t="s">
        <v>5958</v>
      </c>
      <c r="D1030" s="8" t="s">
        <v>206</v>
      </c>
      <c r="E1030" s="8" t="s">
        <v>103</v>
      </c>
      <c r="F1030" s="8" t="s">
        <v>96</v>
      </c>
      <c r="G1030" s="8" t="n">
        <v>3</v>
      </c>
      <c r="H1030" s="13" t="n">
        <v>2</v>
      </c>
      <c r="I1030" s="8" t="n">
        <v>4</v>
      </c>
      <c r="J1030" s="20" t="s">
        <v>259</v>
      </c>
      <c r="K1030" s="8"/>
      <c r="L1030" s="20" t="s">
        <v>259</v>
      </c>
      <c r="M1030" s="16" t="n">
        <f aca="false">H1030*Scoring!$C$5</f>
        <v>2.6</v>
      </c>
      <c r="N1030" s="16" t="n">
        <f aca="false">IF(I1030&gt;=5,1,IF(I1030=4,0.75,IF(I1030=3,0.5,IF(I1030=2,0.25,0))))*Scoring!$C$8</f>
        <v>0.75</v>
      </c>
      <c r="O1030" s="16" t="n">
        <f aca="false">IF(J1030="Yes",0,Scoring!$C$6)</f>
        <v>2</v>
      </c>
      <c r="P1030" s="16" t="n">
        <f aca="false">IF(L1030="Yes",0,Scoring!$C$7)</f>
        <v>0.5</v>
      </c>
      <c r="Q1030" s="8" t="n">
        <f aca="false">ROUND(SUM(M1030:P1030),2)</f>
        <v>5.85</v>
      </c>
      <c r="R1030" s="8" t="str">
        <f aca="false">IF(Q1030&gt;=Scoring!$C$10-0.000001,"Keep","Remove")</f>
        <v>Remove</v>
      </c>
      <c r="S1030" s="8" t="s">
        <v>7243</v>
      </c>
    </row>
    <row r="1031" customFormat="false" ht="15" hidden="false" customHeight="false" outlineLevel="0" collapsed="false">
      <c r="A1031" s="8" t="s">
        <v>7922</v>
      </c>
      <c r="B1031" s="8" t="s">
        <v>7923</v>
      </c>
      <c r="C1031" s="8" t="s">
        <v>5958</v>
      </c>
      <c r="D1031" s="8" t="s">
        <v>206</v>
      </c>
      <c r="E1031" s="8" t="s">
        <v>103</v>
      </c>
      <c r="F1031" s="8" t="s">
        <v>96</v>
      </c>
      <c r="G1031" s="8" t="n">
        <v>3</v>
      </c>
      <c r="H1031" s="13" t="n">
        <v>2</v>
      </c>
      <c r="I1031" s="8" t="n">
        <v>5</v>
      </c>
      <c r="J1031" s="20" t="s">
        <v>259</v>
      </c>
      <c r="K1031" s="8"/>
      <c r="L1031" s="20" t="s">
        <v>259</v>
      </c>
      <c r="M1031" s="16" t="n">
        <f aca="false">H1031*Scoring!$C$5</f>
        <v>2.6</v>
      </c>
      <c r="N1031" s="16" t="n">
        <f aca="false">IF(I1031&gt;=5,1,IF(I1031=4,0.75,IF(I1031=3,0.5,IF(I1031=2,0.25,0))))*Scoring!$C$8</f>
        <v>1</v>
      </c>
      <c r="O1031" s="16" t="n">
        <f aca="false">IF(J1031="Yes",0,Scoring!$C$6)</f>
        <v>2</v>
      </c>
      <c r="P1031" s="16" t="n">
        <f aca="false">IF(L1031="Yes",0,Scoring!$C$7)</f>
        <v>0.5</v>
      </c>
      <c r="Q1031" s="8" t="n">
        <f aca="false">ROUND(SUM(M1031:P1031),2)</f>
        <v>6.1</v>
      </c>
      <c r="R1031" s="8" t="str">
        <f aca="false">IF(Q1031&gt;=Scoring!$C$10-0.000001,"Keep","Remove")</f>
        <v>Remove</v>
      </c>
      <c r="S1031" s="8" t="s">
        <v>7243</v>
      </c>
    </row>
    <row r="1032" customFormat="false" ht="15" hidden="false" customHeight="false" outlineLevel="0" collapsed="false">
      <c r="A1032" s="8" t="s">
        <v>8013</v>
      </c>
      <c r="B1032" s="8" t="s">
        <v>8014</v>
      </c>
      <c r="C1032" s="8" t="s">
        <v>5958</v>
      </c>
      <c r="D1032" s="8" t="s">
        <v>3763</v>
      </c>
      <c r="E1032" s="8"/>
      <c r="F1032" s="8" t="s">
        <v>96</v>
      </c>
      <c r="G1032" s="8" t="n">
        <v>3</v>
      </c>
      <c r="H1032" s="13" t="n">
        <v>2</v>
      </c>
      <c r="I1032" s="8" t="n">
        <v>3</v>
      </c>
      <c r="J1032" s="20" t="s">
        <v>259</v>
      </c>
      <c r="K1032" s="8"/>
      <c r="L1032" s="20" t="s">
        <v>259</v>
      </c>
      <c r="M1032" s="16" t="n">
        <f aca="false">H1032*Scoring!$C$5</f>
        <v>2.6</v>
      </c>
      <c r="N1032" s="16" t="n">
        <f aca="false">IF(I1032&gt;=5,1,IF(I1032=4,0.75,IF(I1032=3,0.5,IF(I1032=2,0.25,0))))*Scoring!$C$8</f>
        <v>0.5</v>
      </c>
      <c r="O1032" s="16" t="n">
        <f aca="false">IF(J1032="Yes",0,Scoring!$C$6)</f>
        <v>2</v>
      </c>
      <c r="P1032" s="16" t="n">
        <f aca="false">IF(L1032="Yes",0,Scoring!$C$7)</f>
        <v>0.5</v>
      </c>
      <c r="Q1032" s="8" t="n">
        <f aca="false">ROUND(SUM(M1032:P1032),2)</f>
        <v>5.6</v>
      </c>
      <c r="R1032" s="8" t="str">
        <f aca="false">IF(Q1032&gt;=Scoring!$C$10-0.000001,"Keep","Remove")</f>
        <v>Remove</v>
      </c>
      <c r="S1032" s="8" t="s">
        <v>7243</v>
      </c>
    </row>
    <row r="1033" customFormat="false" ht="15" hidden="false" customHeight="false" outlineLevel="0" collapsed="false">
      <c r="A1033" s="8" t="s">
        <v>7971</v>
      </c>
      <c r="B1033" s="8" t="s">
        <v>7972</v>
      </c>
      <c r="C1033" s="8" t="s">
        <v>5958</v>
      </c>
      <c r="D1033" s="8" t="s">
        <v>5207</v>
      </c>
      <c r="E1033" s="8"/>
      <c r="F1033" s="8" t="s">
        <v>96</v>
      </c>
      <c r="G1033" s="8" t="n">
        <v>3</v>
      </c>
      <c r="H1033" s="13" t="n">
        <v>2</v>
      </c>
      <c r="I1033" s="8" t="n">
        <v>4</v>
      </c>
      <c r="J1033" s="20" t="s">
        <v>259</v>
      </c>
      <c r="K1033" s="8"/>
      <c r="L1033" s="20" t="s">
        <v>259</v>
      </c>
      <c r="M1033" s="16" t="n">
        <f aca="false">H1033*Scoring!$C$5</f>
        <v>2.6</v>
      </c>
      <c r="N1033" s="16" t="n">
        <f aca="false">IF(I1033&gt;=5,1,IF(I1033=4,0.75,IF(I1033=3,0.5,IF(I1033=2,0.25,0))))*Scoring!$C$8</f>
        <v>0.75</v>
      </c>
      <c r="O1033" s="16" t="n">
        <f aca="false">IF(J1033="Yes",0,Scoring!$C$6)</f>
        <v>2</v>
      </c>
      <c r="P1033" s="16" t="n">
        <f aca="false">IF(L1033="Yes",0,Scoring!$C$7)</f>
        <v>0.5</v>
      </c>
      <c r="Q1033" s="8" t="n">
        <f aca="false">ROUND(SUM(M1033:P1033),2)</f>
        <v>5.85</v>
      </c>
      <c r="R1033" s="8" t="str">
        <f aca="false">IF(Q1033&gt;=Scoring!$C$10-0.000001,"Keep","Remove")</f>
        <v>Remove</v>
      </c>
      <c r="S1033" s="8" t="s">
        <v>7243</v>
      </c>
    </row>
    <row r="1034" customFormat="false" ht="15" hidden="false" customHeight="false" outlineLevel="0" collapsed="false">
      <c r="A1034" s="8" t="s">
        <v>7973</v>
      </c>
      <c r="B1034" s="8" t="s">
        <v>7974</v>
      </c>
      <c r="C1034" s="8" t="s">
        <v>5958</v>
      </c>
      <c r="D1034" s="8" t="s">
        <v>5446</v>
      </c>
      <c r="E1034" s="8"/>
      <c r="F1034" s="8" t="s">
        <v>96</v>
      </c>
      <c r="G1034" s="8" t="n">
        <v>3</v>
      </c>
      <c r="H1034" s="13" t="n">
        <v>2</v>
      </c>
      <c r="I1034" s="8" t="n">
        <v>4</v>
      </c>
      <c r="J1034" s="20" t="s">
        <v>259</v>
      </c>
      <c r="K1034" s="8"/>
      <c r="L1034" s="20" t="s">
        <v>259</v>
      </c>
      <c r="M1034" s="16" t="n">
        <f aca="false">H1034*Scoring!$C$5</f>
        <v>2.6</v>
      </c>
      <c r="N1034" s="16" t="n">
        <f aca="false">IF(I1034&gt;=5,1,IF(I1034=4,0.75,IF(I1034=3,0.5,IF(I1034=2,0.25,0))))*Scoring!$C$8</f>
        <v>0.75</v>
      </c>
      <c r="O1034" s="16" t="n">
        <f aca="false">IF(J1034="Yes",0,Scoring!$C$6)</f>
        <v>2</v>
      </c>
      <c r="P1034" s="16" t="n">
        <f aca="false">IF(L1034="Yes",0,Scoring!$C$7)</f>
        <v>0.5</v>
      </c>
      <c r="Q1034" s="8" t="n">
        <f aca="false">ROUND(SUM(M1034:P1034),2)</f>
        <v>5.85</v>
      </c>
      <c r="R1034" s="8" t="str">
        <f aca="false">IF(Q1034&gt;=Scoring!$C$10-0.000001,"Keep","Remove")</f>
        <v>Remove</v>
      </c>
      <c r="S1034" s="8" t="s">
        <v>7243</v>
      </c>
    </row>
    <row r="1035" customFormat="false" ht="15" hidden="false" customHeight="false" outlineLevel="0" collapsed="false">
      <c r="A1035" s="8" t="s">
        <v>8015</v>
      </c>
      <c r="B1035" s="8" t="s">
        <v>8016</v>
      </c>
      <c r="C1035" s="8" t="s">
        <v>5958</v>
      </c>
      <c r="D1035" s="8" t="s">
        <v>4833</v>
      </c>
      <c r="E1035" s="8"/>
      <c r="F1035" s="8" t="s">
        <v>96</v>
      </c>
      <c r="G1035" s="8" t="n">
        <v>3</v>
      </c>
      <c r="H1035" s="13" t="n">
        <v>2</v>
      </c>
      <c r="I1035" s="8" t="n">
        <v>3</v>
      </c>
      <c r="J1035" s="20" t="s">
        <v>259</v>
      </c>
      <c r="K1035" s="8"/>
      <c r="L1035" s="20" t="s">
        <v>259</v>
      </c>
      <c r="M1035" s="16" t="n">
        <f aca="false">H1035*Scoring!$C$5</f>
        <v>2.6</v>
      </c>
      <c r="N1035" s="16" t="n">
        <f aca="false">IF(I1035&gt;=5,1,IF(I1035=4,0.75,IF(I1035=3,0.5,IF(I1035=2,0.25,0))))*Scoring!$C$8</f>
        <v>0.5</v>
      </c>
      <c r="O1035" s="16" t="n">
        <f aca="false">IF(J1035="Yes",0,Scoring!$C$6)</f>
        <v>2</v>
      </c>
      <c r="P1035" s="16" t="n">
        <f aca="false">IF(L1035="Yes",0,Scoring!$C$7)</f>
        <v>0.5</v>
      </c>
      <c r="Q1035" s="8" t="n">
        <f aca="false">ROUND(SUM(M1035:P1035),2)</f>
        <v>5.6</v>
      </c>
      <c r="R1035" s="8" t="str">
        <f aca="false">IF(Q1035&gt;=Scoring!$C$10-0.000001,"Keep","Remove")</f>
        <v>Remove</v>
      </c>
      <c r="S1035" s="8" t="s">
        <v>7243</v>
      </c>
    </row>
    <row r="1036" customFormat="false" ht="15" hidden="false" customHeight="false" outlineLevel="0" collapsed="false">
      <c r="A1036" s="8" t="s">
        <v>8062</v>
      </c>
      <c r="B1036" s="8" t="s">
        <v>8063</v>
      </c>
      <c r="C1036" s="8" t="s">
        <v>5958</v>
      </c>
      <c r="D1036" s="8" t="s">
        <v>6579</v>
      </c>
      <c r="E1036" s="8"/>
      <c r="F1036" s="8" t="s">
        <v>96</v>
      </c>
      <c r="G1036" s="8" t="n">
        <v>3</v>
      </c>
      <c r="H1036" s="13" t="n">
        <v>2</v>
      </c>
      <c r="I1036" s="8" t="n">
        <v>2</v>
      </c>
      <c r="J1036" s="20" t="s">
        <v>259</v>
      </c>
      <c r="K1036" s="8"/>
      <c r="L1036" s="20" t="s">
        <v>259</v>
      </c>
      <c r="M1036" s="16" t="n">
        <f aca="false">H1036*Scoring!$C$5</f>
        <v>2.6</v>
      </c>
      <c r="N1036" s="16" t="n">
        <f aca="false">IF(I1036&gt;=5,1,IF(I1036=4,0.75,IF(I1036=3,0.5,IF(I1036=2,0.25,0))))*Scoring!$C$8</f>
        <v>0.25</v>
      </c>
      <c r="O1036" s="16" t="n">
        <f aca="false">IF(J1036="Yes",0,Scoring!$C$6)</f>
        <v>2</v>
      </c>
      <c r="P1036" s="16" t="n">
        <f aca="false">IF(L1036="Yes",0,Scoring!$C$7)</f>
        <v>0.5</v>
      </c>
      <c r="Q1036" s="8" t="n">
        <f aca="false">ROUND(SUM(M1036:P1036),2)</f>
        <v>5.35</v>
      </c>
      <c r="R1036" s="8" t="str">
        <f aca="false">IF(Q1036&gt;=Scoring!$C$10-0.000001,"Keep","Remove")</f>
        <v>Remove</v>
      </c>
      <c r="S1036" s="8" t="s">
        <v>7243</v>
      </c>
    </row>
    <row r="1037" customFormat="false" ht="15" hidden="false" customHeight="false" outlineLevel="0" collapsed="false">
      <c r="A1037" s="8" t="s">
        <v>7975</v>
      </c>
      <c r="B1037" s="8" t="s">
        <v>7976</v>
      </c>
      <c r="C1037" s="8" t="s">
        <v>5958</v>
      </c>
      <c r="D1037" s="8" t="s">
        <v>5817</v>
      </c>
      <c r="E1037" s="8"/>
      <c r="F1037" s="8" t="s">
        <v>96</v>
      </c>
      <c r="G1037" s="8" t="n">
        <v>3</v>
      </c>
      <c r="H1037" s="13" t="n">
        <v>2</v>
      </c>
      <c r="I1037" s="8" t="n">
        <v>4</v>
      </c>
      <c r="J1037" s="20" t="s">
        <v>259</v>
      </c>
      <c r="K1037" s="8"/>
      <c r="L1037" s="20" t="s">
        <v>259</v>
      </c>
      <c r="M1037" s="16" t="n">
        <f aca="false">H1037*Scoring!$C$5</f>
        <v>2.6</v>
      </c>
      <c r="N1037" s="16" t="n">
        <f aca="false">IF(I1037&gt;=5,1,IF(I1037=4,0.75,IF(I1037=3,0.5,IF(I1037=2,0.25,0))))*Scoring!$C$8</f>
        <v>0.75</v>
      </c>
      <c r="O1037" s="16" t="n">
        <f aca="false">IF(J1037="Yes",0,Scoring!$C$6)</f>
        <v>2</v>
      </c>
      <c r="P1037" s="16" t="n">
        <f aca="false">IF(L1037="Yes",0,Scoring!$C$7)</f>
        <v>0.5</v>
      </c>
      <c r="Q1037" s="8" t="n">
        <f aca="false">ROUND(SUM(M1037:P1037),2)</f>
        <v>5.85</v>
      </c>
      <c r="R1037" s="8" t="str">
        <f aca="false">IF(Q1037&gt;=Scoring!$C$10-0.000001,"Keep","Remove")</f>
        <v>Remove</v>
      </c>
      <c r="S1037" s="8" t="s">
        <v>7243</v>
      </c>
    </row>
    <row r="1038" customFormat="false" ht="15" hidden="false" customHeight="false" outlineLevel="0" collapsed="false">
      <c r="A1038" s="8" t="s">
        <v>7977</v>
      </c>
      <c r="B1038" s="8" t="s">
        <v>7978</v>
      </c>
      <c r="C1038" s="8" t="s">
        <v>5958</v>
      </c>
      <c r="D1038" s="8" t="s">
        <v>5829</v>
      </c>
      <c r="E1038" s="8"/>
      <c r="F1038" s="8" t="s">
        <v>96</v>
      </c>
      <c r="G1038" s="8" t="n">
        <v>3</v>
      </c>
      <c r="H1038" s="13" t="n">
        <v>2</v>
      </c>
      <c r="I1038" s="8" t="n">
        <v>4</v>
      </c>
      <c r="J1038" s="20" t="s">
        <v>259</v>
      </c>
      <c r="K1038" s="8"/>
      <c r="L1038" s="20" t="s">
        <v>259</v>
      </c>
      <c r="M1038" s="16" t="n">
        <f aca="false">H1038*Scoring!$C$5</f>
        <v>2.6</v>
      </c>
      <c r="N1038" s="16" t="n">
        <f aca="false">IF(I1038&gt;=5,1,IF(I1038=4,0.75,IF(I1038=3,0.5,IF(I1038=2,0.25,0))))*Scoring!$C$8</f>
        <v>0.75</v>
      </c>
      <c r="O1038" s="16" t="n">
        <f aca="false">IF(J1038="Yes",0,Scoring!$C$6)</f>
        <v>2</v>
      </c>
      <c r="P1038" s="16" t="n">
        <f aca="false">IF(L1038="Yes",0,Scoring!$C$7)</f>
        <v>0.5</v>
      </c>
      <c r="Q1038" s="8" t="n">
        <f aca="false">ROUND(SUM(M1038:P1038),2)</f>
        <v>5.85</v>
      </c>
      <c r="R1038" s="8" t="str">
        <f aca="false">IF(Q1038&gt;=Scoring!$C$10-0.000001,"Keep","Remove")</f>
        <v>Remove</v>
      </c>
      <c r="S1038" s="8" t="s">
        <v>7243</v>
      </c>
    </row>
    <row r="1039" customFormat="false" ht="15" hidden="false" customHeight="false" outlineLevel="0" collapsed="false">
      <c r="A1039" s="8" t="s">
        <v>6627</v>
      </c>
      <c r="B1039" s="8" t="s">
        <v>6628</v>
      </c>
      <c r="C1039" s="8" t="s">
        <v>5958</v>
      </c>
      <c r="D1039" s="8" t="s">
        <v>4448</v>
      </c>
      <c r="E1039" s="8"/>
      <c r="F1039" s="8" t="s">
        <v>96</v>
      </c>
      <c r="G1039" s="8" t="n">
        <v>2</v>
      </c>
      <c r="H1039" s="13" t="n">
        <v>3</v>
      </c>
      <c r="I1039" s="8" t="n">
        <v>3</v>
      </c>
      <c r="J1039" s="20" t="s">
        <v>259</v>
      </c>
      <c r="K1039" s="8"/>
      <c r="L1039" s="20" t="s">
        <v>259</v>
      </c>
      <c r="M1039" s="16" t="n">
        <f aca="false">H1039*Scoring!$C$5</f>
        <v>3.9</v>
      </c>
      <c r="N1039" s="16" t="n">
        <f aca="false">IF(I1039&gt;=5,1,IF(I1039=4,0.75,IF(I1039=3,0.5,IF(I1039=2,0.25,0))))*Scoring!$C$8</f>
        <v>0.5</v>
      </c>
      <c r="O1039" s="16" t="n">
        <f aca="false">IF(J1039="Yes",0,Scoring!$C$6)</f>
        <v>2</v>
      </c>
      <c r="P1039" s="16" t="n">
        <f aca="false">IF(L1039="Yes",0,Scoring!$C$7)</f>
        <v>0.5</v>
      </c>
      <c r="Q1039" s="8" t="n">
        <f aca="false">ROUND(SUM(M1039:P1039),2)</f>
        <v>6.9</v>
      </c>
      <c r="R1039" s="8" t="str">
        <f aca="false">IF(Q1039&gt;=Scoring!$C$10-0.000001,"Keep","Remove")</f>
        <v>Keep</v>
      </c>
      <c r="S1039" s="8" t="s">
        <v>166</v>
      </c>
    </row>
    <row r="1040" customFormat="false" ht="15" hidden="false" customHeight="false" outlineLevel="0" collapsed="false">
      <c r="A1040" s="8" t="s">
        <v>6637</v>
      </c>
      <c r="B1040" s="8" t="s">
        <v>6638</v>
      </c>
      <c r="C1040" s="8" t="s">
        <v>5958</v>
      </c>
      <c r="D1040" s="8" t="s">
        <v>2532</v>
      </c>
      <c r="E1040" s="8"/>
      <c r="F1040" s="8" t="s">
        <v>96</v>
      </c>
      <c r="G1040" s="8" t="n">
        <v>2</v>
      </c>
      <c r="H1040" s="13" t="n">
        <v>3</v>
      </c>
      <c r="I1040" s="8" t="n">
        <v>4</v>
      </c>
      <c r="J1040" s="20" t="s">
        <v>259</v>
      </c>
      <c r="K1040" s="8"/>
      <c r="L1040" s="20" t="s">
        <v>259</v>
      </c>
      <c r="M1040" s="16" t="n">
        <f aca="false">H1040*Scoring!$C$5</f>
        <v>3.9</v>
      </c>
      <c r="N1040" s="16" t="n">
        <f aca="false">IF(I1040&gt;=5,1,IF(I1040=4,0.75,IF(I1040=3,0.5,IF(I1040=2,0.25,0))))*Scoring!$C$8</f>
        <v>0.75</v>
      </c>
      <c r="O1040" s="16" t="n">
        <f aca="false">IF(J1040="Yes",0,Scoring!$C$6)</f>
        <v>2</v>
      </c>
      <c r="P1040" s="16" t="n">
        <f aca="false">IF(L1040="Yes",0,Scoring!$C$7)</f>
        <v>0.5</v>
      </c>
      <c r="Q1040" s="8" t="n">
        <f aca="false">ROUND(SUM(M1040:P1040),2)</f>
        <v>7.15</v>
      </c>
      <c r="R1040" s="8" t="str">
        <f aca="false">IF(Q1040&gt;=Scoring!$C$10-0.000001,"Keep","Remove")</f>
        <v>Keep</v>
      </c>
      <c r="S1040" s="8" t="s">
        <v>166</v>
      </c>
    </row>
    <row r="1041" customFormat="false" ht="15" hidden="false" customHeight="false" outlineLevel="0" collapsed="false">
      <c r="A1041" s="8" t="s">
        <v>7924</v>
      </c>
      <c r="B1041" s="8" t="s">
        <v>7925</v>
      </c>
      <c r="C1041" s="8" t="s">
        <v>5958</v>
      </c>
      <c r="D1041" s="8" t="s">
        <v>4833</v>
      </c>
      <c r="E1041" s="8"/>
      <c r="F1041" s="8" t="s">
        <v>96</v>
      </c>
      <c r="G1041" s="8" t="n">
        <v>3</v>
      </c>
      <c r="H1041" s="13" t="n">
        <v>2</v>
      </c>
      <c r="I1041" s="8" t="n">
        <v>5</v>
      </c>
      <c r="J1041" s="20" t="s">
        <v>259</v>
      </c>
      <c r="K1041" s="8"/>
      <c r="L1041" s="20" t="s">
        <v>259</v>
      </c>
      <c r="M1041" s="16" t="n">
        <f aca="false">H1041*Scoring!$C$5</f>
        <v>2.6</v>
      </c>
      <c r="N1041" s="16" t="n">
        <f aca="false">IF(I1041&gt;=5,1,IF(I1041=4,0.75,IF(I1041=3,0.5,IF(I1041=2,0.25,0))))*Scoring!$C$8</f>
        <v>1</v>
      </c>
      <c r="O1041" s="16" t="n">
        <f aca="false">IF(J1041="Yes",0,Scoring!$C$6)</f>
        <v>2</v>
      </c>
      <c r="P1041" s="16" t="n">
        <f aca="false">IF(L1041="Yes",0,Scoring!$C$7)</f>
        <v>0.5</v>
      </c>
      <c r="Q1041" s="8" t="n">
        <f aca="false">ROUND(SUM(M1041:P1041),2)</f>
        <v>6.1</v>
      </c>
      <c r="R1041" s="8" t="str">
        <f aca="false">IF(Q1041&gt;=Scoring!$C$10-0.000001,"Keep","Remove")</f>
        <v>Remove</v>
      </c>
      <c r="S1041" s="8" t="s">
        <v>7243</v>
      </c>
    </row>
    <row r="1042" customFormat="false" ht="15" hidden="false" customHeight="false" outlineLevel="0" collapsed="false">
      <c r="A1042" s="8" t="s">
        <v>6647</v>
      </c>
      <c r="B1042" s="8" t="s">
        <v>6648</v>
      </c>
      <c r="C1042" s="8" t="s">
        <v>5958</v>
      </c>
      <c r="D1042" s="8" t="s">
        <v>4987</v>
      </c>
      <c r="E1042" s="8"/>
      <c r="F1042" s="8" t="s">
        <v>96</v>
      </c>
      <c r="G1042" s="8" t="n">
        <v>2</v>
      </c>
      <c r="H1042" s="13" t="n">
        <v>3</v>
      </c>
      <c r="I1042" s="8" t="n">
        <v>3</v>
      </c>
      <c r="J1042" s="20" t="s">
        <v>259</v>
      </c>
      <c r="K1042" s="8"/>
      <c r="L1042" s="20" t="s">
        <v>259</v>
      </c>
      <c r="M1042" s="16" t="n">
        <f aca="false">H1042*Scoring!$C$5</f>
        <v>3.9</v>
      </c>
      <c r="N1042" s="16" t="n">
        <f aca="false">IF(I1042&gt;=5,1,IF(I1042=4,0.75,IF(I1042=3,0.5,IF(I1042=2,0.25,0))))*Scoring!$C$8</f>
        <v>0.5</v>
      </c>
      <c r="O1042" s="16" t="n">
        <f aca="false">IF(J1042="Yes",0,Scoring!$C$6)</f>
        <v>2</v>
      </c>
      <c r="P1042" s="16" t="n">
        <f aca="false">IF(L1042="Yes",0,Scoring!$C$7)</f>
        <v>0.5</v>
      </c>
      <c r="Q1042" s="8" t="n">
        <f aca="false">ROUND(SUM(M1042:P1042),2)</f>
        <v>6.9</v>
      </c>
      <c r="R1042" s="8" t="str">
        <f aca="false">IF(Q1042&gt;=Scoring!$C$10-0.000001,"Keep","Remove")</f>
        <v>Keep</v>
      </c>
      <c r="S1042" s="8" t="s">
        <v>166</v>
      </c>
    </row>
    <row r="1043" customFormat="false" ht="15" hidden="false" customHeight="false" outlineLevel="0" collapsed="false">
      <c r="A1043" s="8" t="s">
        <v>8017</v>
      </c>
      <c r="B1043" s="8" t="s">
        <v>8018</v>
      </c>
      <c r="C1043" s="8" t="s">
        <v>5958</v>
      </c>
      <c r="D1043" s="8" t="s">
        <v>5747</v>
      </c>
      <c r="E1043" s="8"/>
      <c r="F1043" s="8" t="s">
        <v>96</v>
      </c>
      <c r="G1043" s="8" t="n">
        <v>3</v>
      </c>
      <c r="H1043" s="13" t="n">
        <v>2</v>
      </c>
      <c r="I1043" s="8" t="n">
        <v>3</v>
      </c>
      <c r="J1043" s="20" t="s">
        <v>259</v>
      </c>
      <c r="K1043" s="8"/>
      <c r="L1043" s="20" t="s">
        <v>259</v>
      </c>
      <c r="M1043" s="16" t="n">
        <f aca="false">H1043*Scoring!$C$5</f>
        <v>2.6</v>
      </c>
      <c r="N1043" s="16" t="n">
        <f aca="false">IF(I1043&gt;=5,1,IF(I1043=4,0.75,IF(I1043=3,0.5,IF(I1043=2,0.25,0))))*Scoring!$C$8</f>
        <v>0.5</v>
      </c>
      <c r="O1043" s="16" t="n">
        <f aca="false">IF(J1043="Yes",0,Scoring!$C$6)</f>
        <v>2</v>
      </c>
      <c r="P1043" s="16" t="n">
        <f aca="false">IF(L1043="Yes",0,Scoring!$C$7)</f>
        <v>0.5</v>
      </c>
      <c r="Q1043" s="8" t="n">
        <f aca="false">ROUND(SUM(M1043:P1043),2)</f>
        <v>5.6</v>
      </c>
      <c r="R1043" s="8" t="str">
        <f aca="false">IF(Q1043&gt;=Scoring!$C$10-0.000001,"Keep","Remove")</f>
        <v>Remove</v>
      </c>
      <c r="S1043" s="8" t="s">
        <v>7243</v>
      </c>
    </row>
    <row r="1044" customFormat="false" ht="15" hidden="false" customHeight="false" outlineLevel="0" collapsed="false">
      <c r="A1044" s="8" t="s">
        <v>8019</v>
      </c>
      <c r="B1044" s="8" t="s">
        <v>8020</v>
      </c>
      <c r="C1044" s="8" t="s">
        <v>5958</v>
      </c>
      <c r="D1044" s="8" t="s">
        <v>7508</v>
      </c>
      <c r="E1044" s="8"/>
      <c r="F1044" s="8" t="s">
        <v>96</v>
      </c>
      <c r="G1044" s="8" t="n">
        <v>3</v>
      </c>
      <c r="H1044" s="13" t="n">
        <v>2</v>
      </c>
      <c r="I1044" s="8" t="n">
        <v>3</v>
      </c>
      <c r="J1044" s="20" t="s">
        <v>259</v>
      </c>
      <c r="K1044" s="8"/>
      <c r="L1044" s="20" t="s">
        <v>259</v>
      </c>
      <c r="M1044" s="16" t="n">
        <f aca="false">H1044*Scoring!$C$5</f>
        <v>2.6</v>
      </c>
      <c r="N1044" s="16" t="n">
        <f aca="false">IF(I1044&gt;=5,1,IF(I1044=4,0.75,IF(I1044=3,0.5,IF(I1044=2,0.25,0))))*Scoring!$C$8</f>
        <v>0.5</v>
      </c>
      <c r="O1044" s="16" t="n">
        <f aca="false">IF(J1044="Yes",0,Scoring!$C$6)</f>
        <v>2</v>
      </c>
      <c r="P1044" s="16" t="n">
        <f aca="false">IF(L1044="Yes",0,Scoring!$C$7)</f>
        <v>0.5</v>
      </c>
      <c r="Q1044" s="8" t="n">
        <f aca="false">ROUND(SUM(M1044:P1044),2)</f>
        <v>5.6</v>
      </c>
      <c r="R1044" s="8" t="str">
        <f aca="false">IF(Q1044&gt;=Scoring!$C$10-0.000001,"Keep","Remove")</f>
        <v>Remove</v>
      </c>
      <c r="S1044" s="8" t="s">
        <v>7243</v>
      </c>
    </row>
    <row r="1045" customFormat="false" ht="15" hidden="false" customHeight="false" outlineLevel="0" collapsed="false">
      <c r="A1045" s="8" t="s">
        <v>7899</v>
      </c>
      <c r="B1045" s="8" t="s">
        <v>7900</v>
      </c>
      <c r="C1045" s="8" t="s">
        <v>5958</v>
      </c>
      <c r="D1045" s="8" t="s">
        <v>4613</v>
      </c>
      <c r="E1045" s="8"/>
      <c r="F1045" s="8" t="s">
        <v>97</v>
      </c>
      <c r="G1045" s="8" t="n">
        <v>1</v>
      </c>
      <c r="H1045" s="13" t="n">
        <v>3</v>
      </c>
      <c r="I1045" s="8" t="n">
        <v>3</v>
      </c>
      <c r="J1045" s="20" t="s">
        <v>259</v>
      </c>
      <c r="K1045" s="8"/>
      <c r="L1045" s="20" t="s">
        <v>218</v>
      </c>
      <c r="M1045" s="16" t="n">
        <f aca="false">H1045*Scoring!$C$5</f>
        <v>3.9</v>
      </c>
      <c r="N1045" s="16" t="n">
        <f aca="false">IF(I1045&gt;=5,1,IF(I1045=4,0.75,IF(I1045=3,0.5,IF(I1045=2,0.25,0))))*Scoring!$C$8</f>
        <v>0.5</v>
      </c>
      <c r="O1045" s="16" t="n">
        <f aca="false">IF(J1045="Yes",0,Scoring!$C$6)</f>
        <v>2</v>
      </c>
      <c r="P1045" s="16" t="n">
        <f aca="false">IF(L1045="Yes",0,Scoring!$C$7)</f>
        <v>0</v>
      </c>
      <c r="Q1045" s="8" t="n">
        <f aca="false">ROUND(SUM(M1045:P1045),2)</f>
        <v>6.4</v>
      </c>
      <c r="R1045" s="8" t="str">
        <f aca="false">IF(Q1045&gt;=Scoring!$C$10-0.000001,"Keep","Remove")</f>
        <v>Remove</v>
      </c>
      <c r="S1045" s="8" t="s">
        <v>7901</v>
      </c>
    </row>
    <row r="1046" customFormat="false" ht="15" hidden="false" customHeight="false" outlineLevel="0" collapsed="false">
      <c r="A1046" s="8" t="s">
        <v>8021</v>
      </c>
      <c r="B1046" s="8" t="s">
        <v>8022</v>
      </c>
      <c r="C1046" s="8" t="s">
        <v>5958</v>
      </c>
      <c r="D1046" s="8" t="s">
        <v>7354</v>
      </c>
      <c r="E1046" s="8"/>
      <c r="F1046" s="8" t="s">
        <v>97</v>
      </c>
      <c r="G1046" s="8" t="n">
        <v>2</v>
      </c>
      <c r="H1046" s="13" t="n">
        <v>2</v>
      </c>
      <c r="I1046" s="8" t="n">
        <v>5</v>
      </c>
      <c r="J1046" s="20" t="s">
        <v>259</v>
      </c>
      <c r="K1046" s="8"/>
      <c r="L1046" s="20" t="s">
        <v>218</v>
      </c>
      <c r="M1046" s="16" t="n">
        <f aca="false">H1046*Scoring!$C$5</f>
        <v>2.6</v>
      </c>
      <c r="N1046" s="16" t="n">
        <f aca="false">IF(I1046&gt;=5,1,IF(I1046=4,0.75,IF(I1046=3,0.5,IF(I1046=2,0.25,0))))*Scoring!$C$8</f>
        <v>1</v>
      </c>
      <c r="O1046" s="16" t="n">
        <f aca="false">IF(J1046="Yes",0,Scoring!$C$6)</f>
        <v>2</v>
      </c>
      <c r="P1046" s="16" t="n">
        <f aca="false">IF(L1046="Yes",0,Scoring!$C$7)</f>
        <v>0</v>
      </c>
      <c r="Q1046" s="8" t="n">
        <f aca="false">ROUND(SUM(M1046:P1046),2)</f>
        <v>5.6</v>
      </c>
      <c r="R1046" s="8" t="str">
        <f aca="false">IF(Q1046&gt;=Scoring!$C$10-0.000001,"Keep","Remove")</f>
        <v>Remove</v>
      </c>
      <c r="S1046" s="8" t="s">
        <v>7243</v>
      </c>
    </row>
    <row r="1047" customFormat="false" ht="15" hidden="false" customHeight="false" outlineLevel="0" collapsed="false">
      <c r="A1047" s="8" t="s">
        <v>6654</v>
      </c>
      <c r="B1047" s="8" t="s">
        <v>6655</v>
      </c>
      <c r="C1047" s="8" t="s">
        <v>5958</v>
      </c>
      <c r="D1047" s="8" t="s">
        <v>4574</v>
      </c>
      <c r="E1047" s="8"/>
      <c r="F1047" s="8" t="s">
        <v>97</v>
      </c>
      <c r="G1047" s="8" t="n">
        <v>1</v>
      </c>
      <c r="H1047" s="13" t="n">
        <v>3</v>
      </c>
      <c r="I1047" s="8" t="n">
        <v>4</v>
      </c>
      <c r="J1047" s="20" t="s">
        <v>259</v>
      </c>
      <c r="K1047" s="8"/>
      <c r="L1047" s="20" t="s">
        <v>218</v>
      </c>
      <c r="M1047" s="16" t="n">
        <f aca="false">H1047*Scoring!$C$5</f>
        <v>3.9</v>
      </c>
      <c r="N1047" s="16" t="n">
        <f aca="false">IF(I1047&gt;=5,1,IF(I1047=4,0.75,IF(I1047=3,0.5,IF(I1047=2,0.25,0))))*Scoring!$C$8</f>
        <v>0.75</v>
      </c>
      <c r="O1047" s="16" t="n">
        <f aca="false">IF(J1047="Yes",0,Scoring!$C$6)</f>
        <v>2</v>
      </c>
      <c r="P1047" s="16" t="n">
        <f aca="false">IF(L1047="Yes",0,Scoring!$C$7)</f>
        <v>0</v>
      </c>
      <c r="Q1047" s="8" t="n">
        <f aca="false">ROUND(SUM(M1047:P1047),2)</f>
        <v>6.65</v>
      </c>
      <c r="R1047" s="8" t="str">
        <f aca="false">IF(Q1047&gt;=Scoring!$C$10-0.000001,"Keep","Remove")</f>
        <v>Keep</v>
      </c>
      <c r="S1047" s="8" t="s">
        <v>166</v>
      </c>
    </row>
    <row r="1048" customFormat="false" ht="15" hidden="false" customHeight="false" outlineLevel="0" collapsed="false">
      <c r="A1048" s="8" t="s">
        <v>7902</v>
      </c>
      <c r="B1048" s="8" t="s">
        <v>7903</v>
      </c>
      <c r="C1048" s="8" t="s">
        <v>5958</v>
      </c>
      <c r="D1048" s="8" t="s">
        <v>4448</v>
      </c>
      <c r="E1048" s="8"/>
      <c r="F1048" s="8" t="s">
        <v>97</v>
      </c>
      <c r="G1048" s="8" t="n">
        <v>1</v>
      </c>
      <c r="H1048" s="13" t="n">
        <v>3</v>
      </c>
      <c r="I1048" s="8" t="n">
        <v>3</v>
      </c>
      <c r="J1048" s="20" t="s">
        <v>259</v>
      </c>
      <c r="K1048" s="8"/>
      <c r="L1048" s="20" t="s">
        <v>218</v>
      </c>
      <c r="M1048" s="16" t="n">
        <f aca="false">H1048*Scoring!$C$5</f>
        <v>3.9</v>
      </c>
      <c r="N1048" s="16" t="n">
        <f aca="false">IF(I1048&gt;=5,1,IF(I1048=4,0.75,IF(I1048=3,0.5,IF(I1048=2,0.25,0))))*Scoring!$C$8</f>
        <v>0.5</v>
      </c>
      <c r="O1048" s="16" t="n">
        <f aca="false">IF(J1048="Yes",0,Scoring!$C$6)</f>
        <v>2</v>
      </c>
      <c r="P1048" s="16" t="n">
        <f aca="false">IF(L1048="Yes",0,Scoring!$C$7)</f>
        <v>0</v>
      </c>
      <c r="Q1048" s="8" t="n">
        <f aca="false">ROUND(SUM(M1048:P1048),2)</f>
        <v>6.4</v>
      </c>
      <c r="R1048" s="8" t="str">
        <f aca="false">IF(Q1048&gt;=Scoring!$C$10-0.000001,"Keep","Remove")</f>
        <v>Remove</v>
      </c>
      <c r="S1048" s="8" t="s">
        <v>7901</v>
      </c>
    </row>
    <row r="1049" customFormat="false" ht="15" hidden="false" customHeight="false" outlineLevel="0" collapsed="false">
      <c r="A1049" s="8" t="s">
        <v>8023</v>
      </c>
      <c r="B1049" s="8" t="s">
        <v>8024</v>
      </c>
      <c r="C1049" s="8" t="s">
        <v>5958</v>
      </c>
      <c r="D1049" s="8" t="s">
        <v>4613</v>
      </c>
      <c r="E1049" s="8"/>
      <c r="F1049" s="8" t="s">
        <v>97</v>
      </c>
      <c r="G1049" s="8" t="n">
        <v>2</v>
      </c>
      <c r="H1049" s="13" t="n">
        <v>2</v>
      </c>
      <c r="I1049" s="8" t="n">
        <v>5</v>
      </c>
      <c r="J1049" s="20" t="s">
        <v>259</v>
      </c>
      <c r="K1049" s="8"/>
      <c r="L1049" s="20" t="s">
        <v>218</v>
      </c>
      <c r="M1049" s="16" t="n">
        <f aca="false">H1049*Scoring!$C$5</f>
        <v>2.6</v>
      </c>
      <c r="N1049" s="16" t="n">
        <f aca="false">IF(I1049&gt;=5,1,IF(I1049=4,0.75,IF(I1049=3,0.5,IF(I1049=2,0.25,0))))*Scoring!$C$8</f>
        <v>1</v>
      </c>
      <c r="O1049" s="16" t="n">
        <f aca="false">IF(J1049="Yes",0,Scoring!$C$6)</f>
        <v>2</v>
      </c>
      <c r="P1049" s="16" t="n">
        <f aca="false">IF(L1049="Yes",0,Scoring!$C$7)</f>
        <v>0</v>
      </c>
      <c r="Q1049" s="8" t="n">
        <f aca="false">ROUND(SUM(M1049:P1049),2)</f>
        <v>5.6</v>
      </c>
      <c r="R1049" s="8" t="str">
        <f aca="false">IF(Q1049&gt;=Scoring!$C$10-0.000001,"Keep","Remove")</f>
        <v>Remove</v>
      </c>
      <c r="S1049" s="8" t="s">
        <v>7243</v>
      </c>
    </row>
    <row r="1050" customFormat="false" ht="15" hidden="false" customHeight="false" outlineLevel="0" collapsed="false">
      <c r="A1050" s="8" t="s">
        <v>8064</v>
      </c>
      <c r="B1050" s="8" t="s">
        <v>8065</v>
      </c>
      <c r="C1050" s="8" t="s">
        <v>5958</v>
      </c>
      <c r="D1050" s="8" t="s">
        <v>4693</v>
      </c>
      <c r="E1050" s="8"/>
      <c r="F1050" s="8" t="s">
        <v>97</v>
      </c>
      <c r="G1050" s="8" t="n">
        <v>3</v>
      </c>
      <c r="H1050" s="13" t="n">
        <v>2</v>
      </c>
      <c r="I1050" s="8" t="n">
        <v>4</v>
      </c>
      <c r="J1050" s="20" t="s">
        <v>259</v>
      </c>
      <c r="K1050" s="8"/>
      <c r="L1050" s="20" t="s">
        <v>218</v>
      </c>
      <c r="M1050" s="16" t="n">
        <f aca="false">H1050*Scoring!$C$5</f>
        <v>2.6</v>
      </c>
      <c r="N1050" s="16" t="n">
        <f aca="false">IF(I1050&gt;=5,1,IF(I1050=4,0.75,IF(I1050=3,0.5,IF(I1050=2,0.25,0))))*Scoring!$C$8</f>
        <v>0.75</v>
      </c>
      <c r="O1050" s="16" t="n">
        <f aca="false">IF(J1050="Yes",0,Scoring!$C$6)</f>
        <v>2</v>
      </c>
      <c r="P1050" s="16" t="n">
        <f aca="false">IF(L1050="Yes",0,Scoring!$C$7)</f>
        <v>0</v>
      </c>
      <c r="Q1050" s="8" t="n">
        <f aca="false">ROUND(SUM(M1050:P1050),2)</f>
        <v>5.35</v>
      </c>
      <c r="R1050" s="8" t="str">
        <f aca="false">IF(Q1050&gt;=Scoring!$C$10-0.000001,"Keep","Remove")</f>
        <v>Remove</v>
      </c>
      <c r="S1050" s="8" t="s">
        <v>7243</v>
      </c>
    </row>
    <row r="1051" customFormat="false" ht="15" hidden="false" customHeight="false" outlineLevel="0" collapsed="false">
      <c r="A1051" s="8" t="s">
        <v>8025</v>
      </c>
      <c r="B1051" s="8" t="s">
        <v>8026</v>
      </c>
      <c r="C1051" s="8" t="s">
        <v>5958</v>
      </c>
      <c r="D1051" s="8" t="s">
        <v>4693</v>
      </c>
      <c r="E1051" s="8"/>
      <c r="F1051" s="8" t="s">
        <v>97</v>
      </c>
      <c r="G1051" s="8" t="n">
        <v>3</v>
      </c>
      <c r="H1051" s="13" t="n">
        <v>2</v>
      </c>
      <c r="I1051" s="8" t="n">
        <v>5</v>
      </c>
      <c r="J1051" s="20" t="s">
        <v>259</v>
      </c>
      <c r="K1051" s="8"/>
      <c r="L1051" s="20" t="s">
        <v>218</v>
      </c>
      <c r="M1051" s="16" t="n">
        <f aca="false">H1051*Scoring!$C$5</f>
        <v>2.6</v>
      </c>
      <c r="N1051" s="16" t="n">
        <f aca="false">IF(I1051&gt;=5,1,IF(I1051=4,0.75,IF(I1051=3,0.5,IF(I1051=2,0.25,0))))*Scoring!$C$8</f>
        <v>1</v>
      </c>
      <c r="O1051" s="16" t="n">
        <f aca="false">IF(J1051="Yes",0,Scoring!$C$6)</f>
        <v>2</v>
      </c>
      <c r="P1051" s="16" t="n">
        <f aca="false">IF(L1051="Yes",0,Scoring!$C$7)</f>
        <v>0</v>
      </c>
      <c r="Q1051" s="8" t="n">
        <f aca="false">ROUND(SUM(M1051:P1051),2)</f>
        <v>5.6</v>
      </c>
      <c r="R1051" s="8" t="str">
        <f aca="false">IF(Q1051&gt;=Scoring!$C$10-0.000001,"Keep","Remove")</f>
        <v>Remove</v>
      </c>
      <c r="S1051" s="8" t="s">
        <v>7243</v>
      </c>
    </row>
    <row r="1052" customFormat="false" ht="15" hidden="false" customHeight="false" outlineLevel="0" collapsed="false">
      <c r="A1052" s="8" t="s">
        <v>7904</v>
      </c>
      <c r="B1052" s="8" t="s">
        <v>7905</v>
      </c>
      <c r="C1052" s="8" t="s">
        <v>5958</v>
      </c>
      <c r="D1052" s="8" t="s">
        <v>4448</v>
      </c>
      <c r="E1052" s="8"/>
      <c r="F1052" s="8" t="s">
        <v>97</v>
      </c>
      <c r="G1052" s="8" t="n">
        <v>2</v>
      </c>
      <c r="H1052" s="13" t="n">
        <v>3</v>
      </c>
      <c r="I1052" s="8" t="n">
        <v>3</v>
      </c>
      <c r="J1052" s="20" t="s">
        <v>259</v>
      </c>
      <c r="K1052" s="8"/>
      <c r="L1052" s="20" t="s">
        <v>218</v>
      </c>
      <c r="M1052" s="16" t="n">
        <f aca="false">H1052*Scoring!$C$5</f>
        <v>3.9</v>
      </c>
      <c r="N1052" s="16" t="n">
        <f aca="false">IF(I1052&gt;=5,1,IF(I1052=4,0.75,IF(I1052=3,0.5,IF(I1052=2,0.25,0))))*Scoring!$C$8</f>
        <v>0.5</v>
      </c>
      <c r="O1052" s="16" t="n">
        <f aca="false">IF(J1052="Yes",0,Scoring!$C$6)</f>
        <v>2</v>
      </c>
      <c r="P1052" s="16" t="n">
        <f aca="false">IF(L1052="Yes",0,Scoring!$C$7)</f>
        <v>0</v>
      </c>
      <c r="Q1052" s="8" t="n">
        <f aca="false">ROUND(SUM(M1052:P1052),2)</f>
        <v>6.4</v>
      </c>
      <c r="R1052" s="8" t="str">
        <f aca="false">IF(Q1052&gt;=Scoring!$C$10-0.000001,"Keep","Remove")</f>
        <v>Remove</v>
      </c>
      <c r="S1052" s="8" t="s">
        <v>7901</v>
      </c>
    </row>
    <row r="1053" customFormat="false" ht="15" hidden="false" customHeight="false" outlineLevel="0" collapsed="false">
      <c r="A1053" s="8" t="s">
        <v>6665</v>
      </c>
      <c r="B1053" s="8" t="s">
        <v>6666</v>
      </c>
      <c r="C1053" s="8" t="s">
        <v>5958</v>
      </c>
      <c r="D1053" s="8" t="s">
        <v>3828</v>
      </c>
      <c r="E1053" s="8"/>
      <c r="F1053" s="8" t="s">
        <v>94</v>
      </c>
      <c r="G1053" s="8" t="n">
        <v>1</v>
      </c>
      <c r="H1053" s="13" t="n">
        <v>5</v>
      </c>
      <c r="I1053" s="8" t="n">
        <v>4</v>
      </c>
      <c r="J1053" s="20" t="s">
        <v>259</v>
      </c>
      <c r="K1053" s="8"/>
      <c r="L1053" s="20" t="s">
        <v>259</v>
      </c>
      <c r="M1053" s="16" t="n">
        <f aca="false">H1053*Scoring!$C$5</f>
        <v>6.5</v>
      </c>
      <c r="N1053" s="16" t="n">
        <f aca="false">IF(I1053&gt;=5,1,IF(I1053=4,0.75,IF(I1053=3,0.5,IF(I1053=2,0.25,0))))*Scoring!$C$8</f>
        <v>0.75</v>
      </c>
      <c r="O1053" s="16" t="n">
        <f aca="false">IF(J1053="Yes",0,Scoring!$C$6)</f>
        <v>2</v>
      </c>
      <c r="P1053" s="16" t="n">
        <f aca="false">IF(L1053="Yes",0,Scoring!$C$7)</f>
        <v>0.5</v>
      </c>
      <c r="Q1053" s="8" t="n">
        <f aca="false">ROUND(SUM(M1053:P1053),2)</f>
        <v>9.75</v>
      </c>
      <c r="R1053" s="8" t="str">
        <f aca="false">IF(Q1053&gt;=Scoring!$C$10-0.000001,"Keep","Remove")</f>
        <v>Keep</v>
      </c>
      <c r="S1053" s="8" t="s">
        <v>166</v>
      </c>
    </row>
    <row r="1054" customFormat="false" ht="15" hidden="false" customHeight="false" outlineLevel="0" collapsed="false">
      <c r="A1054" s="8" t="s">
        <v>6677</v>
      </c>
      <c r="B1054" s="8" t="s">
        <v>6678</v>
      </c>
      <c r="C1054" s="8" t="s">
        <v>5958</v>
      </c>
      <c r="D1054" s="8" t="s">
        <v>3828</v>
      </c>
      <c r="E1054" s="8"/>
      <c r="F1054" s="8" t="s">
        <v>94</v>
      </c>
      <c r="G1054" s="8" t="n">
        <v>1</v>
      </c>
      <c r="H1054" s="13" t="n">
        <v>5</v>
      </c>
      <c r="I1054" s="8" t="n">
        <v>4</v>
      </c>
      <c r="J1054" s="20" t="s">
        <v>259</v>
      </c>
      <c r="K1054" s="8"/>
      <c r="L1054" s="20" t="s">
        <v>259</v>
      </c>
      <c r="M1054" s="16" t="n">
        <f aca="false">H1054*Scoring!$C$5</f>
        <v>6.5</v>
      </c>
      <c r="N1054" s="16" t="n">
        <f aca="false">IF(I1054&gt;=5,1,IF(I1054=4,0.75,IF(I1054=3,0.5,IF(I1054=2,0.25,0))))*Scoring!$C$8</f>
        <v>0.75</v>
      </c>
      <c r="O1054" s="16" t="n">
        <f aca="false">IF(J1054="Yes",0,Scoring!$C$6)</f>
        <v>2</v>
      </c>
      <c r="P1054" s="16" t="n">
        <f aca="false">IF(L1054="Yes",0,Scoring!$C$7)</f>
        <v>0.5</v>
      </c>
      <c r="Q1054" s="8" t="n">
        <f aca="false">ROUND(SUM(M1054:P1054),2)</f>
        <v>9.75</v>
      </c>
      <c r="R1054" s="8" t="str">
        <f aca="false">IF(Q1054&gt;=Scoring!$C$10-0.000001,"Keep","Remove")</f>
        <v>Keep</v>
      </c>
      <c r="S1054" s="8" t="s">
        <v>166</v>
      </c>
    </row>
    <row r="1055" customFormat="false" ht="15" hidden="false" customHeight="false" outlineLevel="0" collapsed="false">
      <c r="A1055" s="8" t="s">
        <v>6690</v>
      </c>
      <c r="B1055" s="8" t="s">
        <v>6691</v>
      </c>
      <c r="C1055" s="8" t="s">
        <v>5958</v>
      </c>
      <c r="D1055" s="8" t="s">
        <v>3828</v>
      </c>
      <c r="E1055" s="8"/>
      <c r="F1055" s="8" t="s">
        <v>94</v>
      </c>
      <c r="G1055" s="8" t="n">
        <v>1</v>
      </c>
      <c r="H1055" s="13" t="n">
        <v>5</v>
      </c>
      <c r="I1055" s="8" t="n">
        <v>4</v>
      </c>
      <c r="J1055" s="20" t="s">
        <v>259</v>
      </c>
      <c r="K1055" s="8"/>
      <c r="L1055" s="20" t="s">
        <v>259</v>
      </c>
      <c r="M1055" s="16" t="n">
        <f aca="false">H1055*Scoring!$C$5</f>
        <v>6.5</v>
      </c>
      <c r="N1055" s="16" t="n">
        <f aca="false">IF(I1055&gt;=5,1,IF(I1055=4,0.75,IF(I1055=3,0.5,IF(I1055=2,0.25,0))))*Scoring!$C$8</f>
        <v>0.75</v>
      </c>
      <c r="O1055" s="16" t="n">
        <f aca="false">IF(J1055="Yes",0,Scoring!$C$6)</f>
        <v>2</v>
      </c>
      <c r="P1055" s="16" t="n">
        <f aca="false">IF(L1055="Yes",0,Scoring!$C$7)</f>
        <v>0.5</v>
      </c>
      <c r="Q1055" s="8" t="n">
        <f aca="false">ROUND(SUM(M1055:P1055),2)</f>
        <v>9.75</v>
      </c>
      <c r="R1055" s="8" t="str">
        <f aca="false">IF(Q1055&gt;=Scoring!$C$10-0.000001,"Keep","Remove")</f>
        <v>Keep</v>
      </c>
      <c r="S1055" s="8" t="s">
        <v>166</v>
      </c>
    </row>
    <row r="1056" customFormat="false" ht="15" hidden="false" customHeight="false" outlineLevel="0" collapsed="false">
      <c r="A1056" s="8" t="s">
        <v>6701</v>
      </c>
      <c r="B1056" s="8" t="s">
        <v>6702</v>
      </c>
      <c r="C1056" s="8" t="s">
        <v>5958</v>
      </c>
      <c r="D1056" s="8" t="s">
        <v>5915</v>
      </c>
      <c r="E1056" s="8"/>
      <c r="F1056" s="8" t="s">
        <v>94</v>
      </c>
      <c r="G1056" s="8" t="n">
        <v>1</v>
      </c>
      <c r="H1056" s="13" t="n">
        <v>4</v>
      </c>
      <c r="I1056" s="8" t="n">
        <v>4</v>
      </c>
      <c r="J1056" s="20" t="s">
        <v>259</v>
      </c>
      <c r="K1056" s="8"/>
      <c r="L1056" s="20" t="s">
        <v>259</v>
      </c>
      <c r="M1056" s="16" t="n">
        <f aca="false">H1056*Scoring!$C$5</f>
        <v>5.2</v>
      </c>
      <c r="N1056" s="16" t="n">
        <f aca="false">IF(I1056&gt;=5,1,IF(I1056=4,0.75,IF(I1056=3,0.5,IF(I1056=2,0.25,0))))*Scoring!$C$8</f>
        <v>0.75</v>
      </c>
      <c r="O1056" s="16" t="n">
        <f aca="false">IF(J1056="Yes",0,Scoring!$C$6)</f>
        <v>2</v>
      </c>
      <c r="P1056" s="16" t="n">
        <f aca="false">IF(L1056="Yes",0,Scoring!$C$7)</f>
        <v>0.5</v>
      </c>
      <c r="Q1056" s="8" t="n">
        <f aca="false">ROUND(SUM(M1056:P1056),2)</f>
        <v>8.45</v>
      </c>
      <c r="R1056" s="8" t="str">
        <f aca="false">IF(Q1056&gt;=Scoring!$C$10-0.000001,"Keep","Remove")</f>
        <v>Keep</v>
      </c>
      <c r="S1056" s="8" t="s">
        <v>166</v>
      </c>
    </row>
    <row r="1057" customFormat="false" ht="15" hidden="false" customHeight="false" outlineLevel="0" collapsed="false">
      <c r="A1057" s="8" t="s">
        <v>6709</v>
      </c>
      <c r="B1057" s="8" t="s">
        <v>6710</v>
      </c>
      <c r="C1057" s="8" t="s">
        <v>5958</v>
      </c>
      <c r="D1057" s="8" t="s">
        <v>3828</v>
      </c>
      <c r="E1057" s="8"/>
      <c r="F1057" s="8" t="s">
        <v>94</v>
      </c>
      <c r="G1057" s="8" t="n">
        <v>2</v>
      </c>
      <c r="H1057" s="13" t="n">
        <v>3</v>
      </c>
      <c r="I1057" s="8" t="n">
        <v>2</v>
      </c>
      <c r="J1057" s="20" t="s">
        <v>259</v>
      </c>
      <c r="K1057" s="8"/>
      <c r="L1057" s="20" t="s">
        <v>259</v>
      </c>
      <c r="M1057" s="16" t="n">
        <f aca="false">H1057*Scoring!$C$5</f>
        <v>3.9</v>
      </c>
      <c r="N1057" s="16" t="n">
        <f aca="false">IF(I1057&gt;=5,1,IF(I1057=4,0.75,IF(I1057=3,0.5,IF(I1057=2,0.25,0))))*Scoring!$C$8</f>
        <v>0.25</v>
      </c>
      <c r="O1057" s="16" t="n">
        <f aca="false">IF(J1057="Yes",0,Scoring!$C$6)</f>
        <v>2</v>
      </c>
      <c r="P1057" s="16" t="n">
        <f aca="false">IF(L1057="Yes",0,Scoring!$C$7)</f>
        <v>0.5</v>
      </c>
      <c r="Q1057" s="8" t="n">
        <f aca="false">ROUND(SUM(M1057:P1057),2)</f>
        <v>6.65</v>
      </c>
      <c r="R1057" s="8" t="str">
        <f aca="false">IF(Q1057&gt;=Scoring!$C$10-0.000001,"Keep","Remove")</f>
        <v>Keep</v>
      </c>
      <c r="S1057" s="8" t="s">
        <v>166</v>
      </c>
    </row>
    <row r="1058" customFormat="false" ht="15" hidden="false" customHeight="false" outlineLevel="0" collapsed="false">
      <c r="A1058" s="8" t="s">
        <v>6718</v>
      </c>
      <c r="B1058" s="8" t="s">
        <v>6719</v>
      </c>
      <c r="C1058" s="8" t="s">
        <v>5958</v>
      </c>
      <c r="D1058" s="8" t="s">
        <v>3828</v>
      </c>
      <c r="E1058" s="8"/>
      <c r="F1058" s="8" t="s">
        <v>94</v>
      </c>
      <c r="G1058" s="8" t="n">
        <v>2</v>
      </c>
      <c r="H1058" s="13" t="n">
        <v>3</v>
      </c>
      <c r="I1058" s="8" t="n">
        <v>4</v>
      </c>
      <c r="J1058" s="20" t="s">
        <v>259</v>
      </c>
      <c r="K1058" s="8"/>
      <c r="L1058" s="20" t="s">
        <v>259</v>
      </c>
      <c r="M1058" s="16" t="n">
        <f aca="false">H1058*Scoring!$C$5</f>
        <v>3.9</v>
      </c>
      <c r="N1058" s="16" t="n">
        <f aca="false">IF(I1058&gt;=5,1,IF(I1058=4,0.75,IF(I1058=3,0.5,IF(I1058=2,0.25,0))))*Scoring!$C$8</f>
        <v>0.75</v>
      </c>
      <c r="O1058" s="16" t="n">
        <f aca="false">IF(J1058="Yes",0,Scoring!$C$6)</f>
        <v>2</v>
      </c>
      <c r="P1058" s="16" t="n">
        <f aca="false">IF(L1058="Yes",0,Scoring!$C$7)</f>
        <v>0.5</v>
      </c>
      <c r="Q1058" s="8" t="n">
        <f aca="false">ROUND(SUM(M1058:P1058),2)</f>
        <v>7.15</v>
      </c>
      <c r="R1058" s="8" t="str">
        <f aca="false">IF(Q1058&gt;=Scoring!$C$10-0.000001,"Keep","Remove")</f>
        <v>Keep</v>
      </c>
      <c r="S1058" s="8" t="s">
        <v>166</v>
      </c>
    </row>
    <row r="1059" customFormat="false" ht="15" hidden="false" customHeight="false" outlineLevel="0" collapsed="false">
      <c r="A1059" s="8" t="s">
        <v>6726</v>
      </c>
      <c r="B1059" s="8" t="s">
        <v>6727</v>
      </c>
      <c r="C1059" s="8" t="s">
        <v>5958</v>
      </c>
      <c r="D1059" s="8" t="s">
        <v>3828</v>
      </c>
      <c r="E1059" s="8"/>
      <c r="F1059" s="8" t="s">
        <v>94</v>
      </c>
      <c r="G1059" s="8" t="n">
        <v>2</v>
      </c>
      <c r="H1059" s="13" t="n">
        <v>3</v>
      </c>
      <c r="I1059" s="8" t="n">
        <v>4</v>
      </c>
      <c r="J1059" s="20" t="s">
        <v>259</v>
      </c>
      <c r="K1059" s="8"/>
      <c r="L1059" s="20" t="s">
        <v>259</v>
      </c>
      <c r="M1059" s="16" t="n">
        <f aca="false">H1059*Scoring!$C$5</f>
        <v>3.9</v>
      </c>
      <c r="N1059" s="16" t="n">
        <f aca="false">IF(I1059&gt;=5,1,IF(I1059=4,0.75,IF(I1059=3,0.5,IF(I1059=2,0.25,0))))*Scoring!$C$8</f>
        <v>0.75</v>
      </c>
      <c r="O1059" s="16" t="n">
        <f aca="false">IF(J1059="Yes",0,Scoring!$C$6)</f>
        <v>2</v>
      </c>
      <c r="P1059" s="16" t="n">
        <f aca="false">IF(L1059="Yes",0,Scoring!$C$7)</f>
        <v>0.5</v>
      </c>
      <c r="Q1059" s="8" t="n">
        <f aca="false">ROUND(SUM(M1059:P1059),2)</f>
        <v>7.15</v>
      </c>
      <c r="R1059" s="8" t="str">
        <f aca="false">IF(Q1059&gt;=Scoring!$C$10-0.000001,"Keep","Remove")</f>
        <v>Keep</v>
      </c>
      <c r="S1059" s="8" t="s">
        <v>166</v>
      </c>
    </row>
    <row r="1060" customFormat="false" ht="15" hidden="false" customHeight="false" outlineLevel="0" collapsed="false">
      <c r="A1060" s="8" t="s">
        <v>6733</v>
      </c>
      <c r="B1060" s="8" t="s">
        <v>6734</v>
      </c>
      <c r="C1060" s="8" t="s">
        <v>5958</v>
      </c>
      <c r="D1060" s="8" t="s">
        <v>4987</v>
      </c>
      <c r="E1060" s="8"/>
      <c r="F1060" s="8" t="s">
        <v>94</v>
      </c>
      <c r="G1060" s="8" t="n">
        <v>1</v>
      </c>
      <c r="H1060" s="13" t="n">
        <v>4</v>
      </c>
      <c r="I1060" s="8" t="n">
        <v>5</v>
      </c>
      <c r="J1060" s="20" t="s">
        <v>259</v>
      </c>
      <c r="K1060" s="8"/>
      <c r="L1060" s="20" t="s">
        <v>259</v>
      </c>
      <c r="M1060" s="16" t="n">
        <f aca="false">H1060*Scoring!$C$5</f>
        <v>5.2</v>
      </c>
      <c r="N1060" s="16" t="n">
        <f aca="false">IF(I1060&gt;=5,1,IF(I1060=4,0.75,IF(I1060=3,0.5,IF(I1060=2,0.25,0))))*Scoring!$C$8</f>
        <v>1</v>
      </c>
      <c r="O1060" s="16" t="n">
        <f aca="false">IF(J1060="Yes",0,Scoring!$C$6)</f>
        <v>2</v>
      </c>
      <c r="P1060" s="16" t="n">
        <f aca="false">IF(L1060="Yes",0,Scoring!$C$7)</f>
        <v>0.5</v>
      </c>
      <c r="Q1060" s="8" t="n">
        <f aca="false">ROUND(SUM(M1060:P1060),2)</f>
        <v>8.7</v>
      </c>
      <c r="R1060" s="8" t="str">
        <f aca="false">IF(Q1060&gt;=Scoring!$C$10-0.000001,"Keep","Remove")</f>
        <v>Keep</v>
      </c>
      <c r="S1060" s="8" t="s">
        <v>166</v>
      </c>
    </row>
    <row r="1061" customFormat="false" ht="15" hidden="false" customHeight="false" outlineLevel="0" collapsed="false">
      <c r="A1061" s="8" t="s">
        <v>7979</v>
      </c>
      <c r="B1061" s="8" t="s">
        <v>7980</v>
      </c>
      <c r="C1061" s="8" t="s">
        <v>5958</v>
      </c>
      <c r="D1061" s="8" t="s">
        <v>5207</v>
      </c>
      <c r="E1061" s="8"/>
      <c r="F1061" s="8" t="s">
        <v>94</v>
      </c>
      <c r="G1061" s="8" t="n">
        <v>3</v>
      </c>
      <c r="H1061" s="13" t="n">
        <v>2</v>
      </c>
      <c r="I1061" s="8" t="n">
        <v>4</v>
      </c>
      <c r="J1061" s="20" t="s">
        <v>259</v>
      </c>
      <c r="K1061" s="8"/>
      <c r="L1061" s="20" t="s">
        <v>259</v>
      </c>
      <c r="M1061" s="16" t="n">
        <f aca="false">H1061*Scoring!$C$5</f>
        <v>2.6</v>
      </c>
      <c r="N1061" s="16" t="n">
        <f aca="false">IF(I1061&gt;=5,1,IF(I1061=4,0.75,IF(I1061=3,0.5,IF(I1061=2,0.25,0))))*Scoring!$C$8</f>
        <v>0.75</v>
      </c>
      <c r="O1061" s="16" t="n">
        <f aca="false">IF(J1061="Yes",0,Scoring!$C$6)</f>
        <v>2</v>
      </c>
      <c r="P1061" s="16" t="n">
        <f aca="false">IF(L1061="Yes",0,Scoring!$C$7)</f>
        <v>0.5</v>
      </c>
      <c r="Q1061" s="8" t="n">
        <f aca="false">ROUND(SUM(M1061:P1061),2)</f>
        <v>5.85</v>
      </c>
      <c r="R1061" s="8" t="str">
        <f aca="false">IF(Q1061&gt;=Scoring!$C$10-0.000001,"Keep","Remove")</f>
        <v>Remove</v>
      </c>
      <c r="S1061" s="8" t="s">
        <v>7243</v>
      </c>
    </row>
    <row r="1062" customFormat="false" ht="15" hidden="false" customHeight="false" outlineLevel="0" collapsed="false">
      <c r="A1062" s="8" t="s">
        <v>6743</v>
      </c>
      <c r="B1062" s="8" t="s">
        <v>6744</v>
      </c>
      <c r="C1062" s="8" t="s">
        <v>5958</v>
      </c>
      <c r="D1062" s="8" t="s">
        <v>4325</v>
      </c>
      <c r="E1062" s="8"/>
      <c r="F1062" s="8" t="s">
        <v>94</v>
      </c>
      <c r="G1062" s="8" t="n">
        <v>2</v>
      </c>
      <c r="H1062" s="13" t="n">
        <v>3</v>
      </c>
      <c r="I1062" s="8" t="n">
        <v>4</v>
      </c>
      <c r="J1062" s="20" t="s">
        <v>259</v>
      </c>
      <c r="K1062" s="8"/>
      <c r="L1062" s="20" t="s">
        <v>259</v>
      </c>
      <c r="M1062" s="16" t="n">
        <f aca="false">H1062*Scoring!$C$5</f>
        <v>3.9</v>
      </c>
      <c r="N1062" s="16" t="n">
        <f aca="false">IF(I1062&gt;=5,1,IF(I1062=4,0.75,IF(I1062=3,0.5,IF(I1062=2,0.25,0))))*Scoring!$C$8</f>
        <v>0.75</v>
      </c>
      <c r="O1062" s="16" t="n">
        <f aca="false">IF(J1062="Yes",0,Scoring!$C$6)</f>
        <v>2</v>
      </c>
      <c r="P1062" s="16" t="n">
        <f aca="false">IF(L1062="Yes",0,Scoring!$C$7)</f>
        <v>0.5</v>
      </c>
      <c r="Q1062" s="8" t="n">
        <f aca="false">ROUND(SUM(M1062:P1062),2)</f>
        <v>7.15</v>
      </c>
      <c r="R1062" s="8" t="str">
        <f aca="false">IF(Q1062&gt;=Scoring!$C$10-0.000001,"Keep","Remove")</f>
        <v>Keep</v>
      </c>
      <c r="S1062" s="8" t="s">
        <v>166</v>
      </c>
    </row>
    <row r="1063" customFormat="false" ht="15" hidden="false" customHeight="false" outlineLevel="0" collapsed="false">
      <c r="A1063" s="8" t="s">
        <v>6750</v>
      </c>
      <c r="B1063" s="8" t="s">
        <v>6751</v>
      </c>
      <c r="C1063" s="8" t="s">
        <v>5958</v>
      </c>
      <c r="D1063" s="8" t="s">
        <v>3137</v>
      </c>
      <c r="E1063" s="8"/>
      <c r="F1063" s="8" t="s">
        <v>94</v>
      </c>
      <c r="G1063" s="8" t="n">
        <v>2</v>
      </c>
      <c r="H1063" s="13" t="n">
        <v>4</v>
      </c>
      <c r="I1063" s="8" t="n">
        <v>3</v>
      </c>
      <c r="J1063" s="20" t="s">
        <v>259</v>
      </c>
      <c r="K1063" s="8"/>
      <c r="L1063" s="20" t="s">
        <v>259</v>
      </c>
      <c r="M1063" s="16" t="n">
        <f aca="false">H1063*Scoring!$C$5</f>
        <v>5.2</v>
      </c>
      <c r="N1063" s="16" t="n">
        <f aca="false">IF(I1063&gt;=5,1,IF(I1063=4,0.75,IF(I1063=3,0.5,IF(I1063=2,0.25,0))))*Scoring!$C$8</f>
        <v>0.5</v>
      </c>
      <c r="O1063" s="16" t="n">
        <f aca="false">IF(J1063="Yes",0,Scoring!$C$6)</f>
        <v>2</v>
      </c>
      <c r="P1063" s="16" t="n">
        <f aca="false">IF(L1063="Yes",0,Scoring!$C$7)</f>
        <v>0.5</v>
      </c>
      <c r="Q1063" s="8" t="n">
        <f aca="false">ROUND(SUM(M1063:P1063),2)</f>
        <v>8.2</v>
      </c>
      <c r="R1063" s="8" t="str">
        <f aca="false">IF(Q1063&gt;=Scoring!$C$10-0.000001,"Keep","Remove")</f>
        <v>Keep</v>
      </c>
      <c r="S1063" s="8" t="s">
        <v>166</v>
      </c>
    </row>
    <row r="1064" customFormat="false" ht="15" hidden="false" customHeight="false" outlineLevel="0" collapsed="false">
      <c r="A1064" s="8" t="s">
        <v>6761</v>
      </c>
      <c r="B1064" s="8" t="s">
        <v>6762</v>
      </c>
      <c r="C1064" s="8" t="s">
        <v>5958</v>
      </c>
      <c r="D1064" s="8" t="s">
        <v>5207</v>
      </c>
      <c r="E1064" s="8"/>
      <c r="F1064" s="8" t="s">
        <v>94</v>
      </c>
      <c r="G1064" s="8" t="n">
        <v>1</v>
      </c>
      <c r="H1064" s="13" t="n">
        <v>5</v>
      </c>
      <c r="I1064" s="8" t="n">
        <v>4</v>
      </c>
      <c r="J1064" s="20" t="s">
        <v>259</v>
      </c>
      <c r="K1064" s="8"/>
      <c r="L1064" s="20" t="s">
        <v>259</v>
      </c>
      <c r="M1064" s="16" t="n">
        <f aca="false">H1064*Scoring!$C$5</f>
        <v>6.5</v>
      </c>
      <c r="N1064" s="16" t="n">
        <f aca="false">IF(I1064&gt;=5,1,IF(I1064=4,0.75,IF(I1064=3,0.5,IF(I1064=2,0.25,0))))*Scoring!$C$8</f>
        <v>0.75</v>
      </c>
      <c r="O1064" s="16" t="n">
        <f aca="false">IF(J1064="Yes",0,Scoring!$C$6)</f>
        <v>2</v>
      </c>
      <c r="P1064" s="16" t="n">
        <f aca="false">IF(L1064="Yes",0,Scoring!$C$7)</f>
        <v>0.5</v>
      </c>
      <c r="Q1064" s="8" t="n">
        <f aca="false">ROUND(SUM(M1064:P1064),2)</f>
        <v>9.75</v>
      </c>
      <c r="R1064" s="8" t="str">
        <f aca="false">IF(Q1064&gt;=Scoring!$C$10-0.000001,"Keep","Remove")</f>
        <v>Keep</v>
      </c>
      <c r="S1064" s="8" t="s">
        <v>166</v>
      </c>
    </row>
    <row r="1065" customFormat="false" ht="15" hidden="false" customHeight="false" outlineLevel="0" collapsed="false">
      <c r="A1065" s="8" t="s">
        <v>6768</v>
      </c>
      <c r="B1065" s="8" t="s">
        <v>6769</v>
      </c>
      <c r="C1065" s="8" t="s">
        <v>5958</v>
      </c>
      <c r="D1065" s="8" t="s">
        <v>2859</v>
      </c>
      <c r="E1065" s="8"/>
      <c r="F1065" s="8" t="s">
        <v>94</v>
      </c>
      <c r="G1065" s="8" t="n">
        <v>1</v>
      </c>
      <c r="H1065" s="13" t="n">
        <v>4</v>
      </c>
      <c r="I1065" s="8" t="n">
        <v>4</v>
      </c>
      <c r="J1065" s="20" t="s">
        <v>259</v>
      </c>
      <c r="K1065" s="8"/>
      <c r="L1065" s="20" t="s">
        <v>259</v>
      </c>
      <c r="M1065" s="16" t="n">
        <f aca="false">H1065*Scoring!$C$5</f>
        <v>5.2</v>
      </c>
      <c r="N1065" s="16" t="n">
        <f aca="false">IF(I1065&gt;=5,1,IF(I1065=4,0.75,IF(I1065=3,0.5,IF(I1065=2,0.25,0))))*Scoring!$C$8</f>
        <v>0.75</v>
      </c>
      <c r="O1065" s="16" t="n">
        <f aca="false">IF(J1065="Yes",0,Scoring!$C$6)</f>
        <v>2</v>
      </c>
      <c r="P1065" s="16" t="n">
        <f aca="false">IF(L1065="Yes",0,Scoring!$C$7)</f>
        <v>0.5</v>
      </c>
      <c r="Q1065" s="8" t="n">
        <f aca="false">ROUND(SUM(M1065:P1065),2)</f>
        <v>8.45</v>
      </c>
      <c r="R1065" s="8" t="str">
        <f aca="false">IF(Q1065&gt;=Scoring!$C$10-0.000001,"Keep","Remove")</f>
        <v>Keep</v>
      </c>
      <c r="S1065" s="8" t="s">
        <v>166</v>
      </c>
    </row>
    <row r="1066" customFormat="false" ht="15" hidden="false" customHeight="false" outlineLevel="0" collapsed="false">
      <c r="A1066" s="8" t="s">
        <v>6775</v>
      </c>
      <c r="B1066" s="8" t="s">
        <v>6776</v>
      </c>
      <c r="C1066" s="8" t="s">
        <v>5958</v>
      </c>
      <c r="D1066" s="8" t="s">
        <v>2859</v>
      </c>
      <c r="E1066" s="8"/>
      <c r="F1066" s="8" t="s">
        <v>94</v>
      </c>
      <c r="G1066" s="8" t="n">
        <v>2</v>
      </c>
      <c r="H1066" s="13" t="n">
        <v>3</v>
      </c>
      <c r="I1066" s="8" t="n">
        <v>4</v>
      </c>
      <c r="J1066" s="20" t="s">
        <v>259</v>
      </c>
      <c r="K1066" s="8"/>
      <c r="L1066" s="20" t="s">
        <v>218</v>
      </c>
      <c r="M1066" s="16" t="n">
        <f aca="false">H1066*Scoring!$C$5</f>
        <v>3.9</v>
      </c>
      <c r="N1066" s="16" t="n">
        <f aca="false">IF(I1066&gt;=5,1,IF(I1066=4,0.75,IF(I1066=3,0.5,IF(I1066=2,0.25,0))))*Scoring!$C$8</f>
        <v>0.75</v>
      </c>
      <c r="O1066" s="16" t="n">
        <f aca="false">IF(J1066="Yes",0,Scoring!$C$6)</f>
        <v>2</v>
      </c>
      <c r="P1066" s="16" t="n">
        <f aca="false">IF(L1066="Yes",0,Scoring!$C$7)</f>
        <v>0</v>
      </c>
      <c r="Q1066" s="8" t="n">
        <f aca="false">ROUND(SUM(M1066:P1066),2)</f>
        <v>6.65</v>
      </c>
      <c r="R1066" s="8" t="str">
        <f aca="false">IF(Q1066&gt;=Scoring!$C$10-0.000001,"Keep","Remove")</f>
        <v>Keep</v>
      </c>
      <c r="S1066" s="8" t="s">
        <v>166</v>
      </c>
    </row>
    <row r="1067" customFormat="false" ht="15" hidden="false" customHeight="false" outlineLevel="0" collapsed="false">
      <c r="A1067" s="8" t="s">
        <v>8081</v>
      </c>
      <c r="B1067" s="8" t="s">
        <v>8082</v>
      </c>
      <c r="C1067" s="8" t="s">
        <v>5958</v>
      </c>
      <c r="D1067" s="8" t="s">
        <v>2859</v>
      </c>
      <c r="E1067" s="8"/>
      <c r="F1067" s="8" t="s">
        <v>94</v>
      </c>
      <c r="G1067" s="8" t="n">
        <v>3</v>
      </c>
      <c r="H1067" s="13" t="n">
        <v>2</v>
      </c>
      <c r="I1067" s="8" t="n">
        <v>3</v>
      </c>
      <c r="J1067" s="20" t="s">
        <v>259</v>
      </c>
      <c r="K1067" s="8"/>
      <c r="L1067" s="20" t="s">
        <v>218</v>
      </c>
      <c r="M1067" s="16" t="n">
        <f aca="false">H1067*Scoring!$C$5</f>
        <v>2.6</v>
      </c>
      <c r="N1067" s="16" t="n">
        <f aca="false">IF(I1067&gt;=5,1,IF(I1067=4,0.75,IF(I1067=3,0.5,IF(I1067=2,0.25,0))))*Scoring!$C$8</f>
        <v>0.5</v>
      </c>
      <c r="O1067" s="16" t="n">
        <f aca="false">IF(J1067="Yes",0,Scoring!$C$6)</f>
        <v>2</v>
      </c>
      <c r="P1067" s="16" t="n">
        <f aca="false">IF(L1067="Yes",0,Scoring!$C$7)</f>
        <v>0</v>
      </c>
      <c r="Q1067" s="8" t="n">
        <f aca="false">ROUND(SUM(M1067:P1067),2)</f>
        <v>5.1</v>
      </c>
      <c r="R1067" s="8" t="str">
        <f aca="false">IF(Q1067&gt;=Scoring!$C$10-0.000001,"Keep","Remove")</f>
        <v>Remove</v>
      </c>
      <c r="S1067" s="8" t="s">
        <v>7243</v>
      </c>
    </row>
    <row r="1068" customFormat="false" ht="15" hidden="false" customHeight="false" outlineLevel="0" collapsed="false">
      <c r="A1068" s="8" t="s">
        <v>8083</v>
      </c>
      <c r="B1068" s="8" t="s">
        <v>8084</v>
      </c>
      <c r="C1068" s="8" t="s">
        <v>5958</v>
      </c>
      <c r="D1068" s="8" t="s">
        <v>2859</v>
      </c>
      <c r="E1068" s="8"/>
      <c r="F1068" s="8" t="s">
        <v>94</v>
      </c>
      <c r="G1068" s="8" t="n">
        <v>3</v>
      </c>
      <c r="H1068" s="13" t="n">
        <v>2</v>
      </c>
      <c r="I1068" s="8" t="n">
        <v>3</v>
      </c>
      <c r="J1068" s="20" t="s">
        <v>259</v>
      </c>
      <c r="K1068" s="8"/>
      <c r="L1068" s="20" t="s">
        <v>218</v>
      </c>
      <c r="M1068" s="16" t="n">
        <f aca="false">H1068*Scoring!$C$5</f>
        <v>2.6</v>
      </c>
      <c r="N1068" s="16" t="n">
        <f aca="false">IF(I1068&gt;=5,1,IF(I1068=4,0.75,IF(I1068=3,0.5,IF(I1068=2,0.25,0))))*Scoring!$C$8</f>
        <v>0.5</v>
      </c>
      <c r="O1068" s="16" t="n">
        <f aca="false">IF(J1068="Yes",0,Scoring!$C$6)</f>
        <v>2</v>
      </c>
      <c r="P1068" s="16" t="n">
        <f aca="false">IF(L1068="Yes",0,Scoring!$C$7)</f>
        <v>0</v>
      </c>
      <c r="Q1068" s="8" t="n">
        <f aca="false">ROUND(SUM(M1068:P1068),2)</f>
        <v>5.1</v>
      </c>
      <c r="R1068" s="8" t="str">
        <f aca="false">IF(Q1068&gt;=Scoring!$C$10-0.000001,"Keep","Remove")</f>
        <v>Remove</v>
      </c>
      <c r="S1068" s="8" t="s">
        <v>7243</v>
      </c>
    </row>
    <row r="1069" customFormat="false" ht="15" hidden="false" customHeight="false" outlineLevel="0" collapsed="false">
      <c r="A1069" s="8" t="s">
        <v>7906</v>
      </c>
      <c r="B1069" s="8" t="s">
        <v>7907</v>
      </c>
      <c r="C1069" s="8" t="s">
        <v>5958</v>
      </c>
      <c r="D1069" s="8" t="s">
        <v>2532</v>
      </c>
      <c r="E1069" s="8"/>
      <c r="F1069" s="8" t="s">
        <v>94</v>
      </c>
      <c r="G1069" s="8" t="n">
        <v>2</v>
      </c>
      <c r="H1069" s="13" t="n">
        <v>3</v>
      </c>
      <c r="I1069" s="8" t="n">
        <v>3</v>
      </c>
      <c r="J1069" s="20" t="s">
        <v>259</v>
      </c>
      <c r="K1069" s="8"/>
      <c r="L1069" s="20" t="s">
        <v>218</v>
      </c>
      <c r="M1069" s="16" t="n">
        <f aca="false">H1069*Scoring!$C$5</f>
        <v>3.9</v>
      </c>
      <c r="N1069" s="16" t="n">
        <f aca="false">IF(I1069&gt;=5,1,IF(I1069=4,0.75,IF(I1069=3,0.5,IF(I1069=2,0.25,0))))*Scoring!$C$8</f>
        <v>0.5</v>
      </c>
      <c r="O1069" s="16" t="n">
        <f aca="false">IF(J1069="Yes",0,Scoring!$C$6)</f>
        <v>2</v>
      </c>
      <c r="P1069" s="16" t="n">
        <f aca="false">IF(L1069="Yes",0,Scoring!$C$7)</f>
        <v>0</v>
      </c>
      <c r="Q1069" s="8" t="n">
        <f aca="false">ROUND(SUM(M1069:P1069),2)</f>
        <v>6.4</v>
      </c>
      <c r="R1069" s="8" t="str">
        <f aca="false">IF(Q1069&gt;=Scoring!$C$10-0.000001,"Keep","Remove")</f>
        <v>Remove</v>
      </c>
      <c r="S1069" s="8" t="s">
        <v>7901</v>
      </c>
    </row>
    <row r="1070" customFormat="false" ht="15" hidden="false" customHeight="false" outlineLevel="0" collapsed="false">
      <c r="A1070" s="8" t="s">
        <v>6787</v>
      </c>
      <c r="B1070" s="8" t="s">
        <v>6788</v>
      </c>
      <c r="C1070" s="8" t="s">
        <v>5958</v>
      </c>
      <c r="D1070" s="8" t="s">
        <v>2532</v>
      </c>
      <c r="E1070" s="8"/>
      <c r="F1070" s="8" t="s">
        <v>94</v>
      </c>
      <c r="G1070" s="8" t="n">
        <v>2</v>
      </c>
      <c r="H1070" s="13" t="n">
        <v>3</v>
      </c>
      <c r="I1070" s="8" t="n">
        <v>4</v>
      </c>
      <c r="J1070" s="20" t="s">
        <v>259</v>
      </c>
      <c r="K1070" s="8"/>
      <c r="L1070" s="20" t="s">
        <v>218</v>
      </c>
      <c r="M1070" s="16" t="n">
        <f aca="false">H1070*Scoring!$C$5</f>
        <v>3.9</v>
      </c>
      <c r="N1070" s="16" t="n">
        <f aca="false">IF(I1070&gt;=5,1,IF(I1070=4,0.75,IF(I1070=3,0.5,IF(I1070=2,0.25,0))))*Scoring!$C$8</f>
        <v>0.75</v>
      </c>
      <c r="O1070" s="16" t="n">
        <f aca="false">IF(J1070="Yes",0,Scoring!$C$6)</f>
        <v>2</v>
      </c>
      <c r="P1070" s="16" t="n">
        <f aca="false">IF(L1070="Yes",0,Scoring!$C$7)</f>
        <v>0</v>
      </c>
      <c r="Q1070" s="8" t="n">
        <f aca="false">ROUND(SUM(M1070:P1070),2)</f>
        <v>6.65</v>
      </c>
      <c r="R1070" s="8" t="str">
        <f aca="false">IF(Q1070&gt;=Scoring!$C$10-0.000001,"Keep","Remove")</f>
        <v>Keep</v>
      </c>
      <c r="S1070" s="8" t="s">
        <v>166</v>
      </c>
    </row>
    <row r="1071" customFormat="false" ht="15" hidden="false" customHeight="false" outlineLevel="0" collapsed="false">
      <c r="A1071" s="8" t="s">
        <v>8066</v>
      </c>
      <c r="B1071" s="8" t="s">
        <v>8067</v>
      </c>
      <c r="C1071" s="8" t="s">
        <v>5958</v>
      </c>
      <c r="D1071" s="8" t="s">
        <v>2532</v>
      </c>
      <c r="E1071" s="8"/>
      <c r="F1071" s="8" t="s">
        <v>94</v>
      </c>
      <c r="G1071" s="8" t="n">
        <v>3</v>
      </c>
      <c r="H1071" s="13" t="n">
        <v>2</v>
      </c>
      <c r="I1071" s="8" t="n">
        <v>4</v>
      </c>
      <c r="J1071" s="20" t="s">
        <v>259</v>
      </c>
      <c r="K1071" s="8"/>
      <c r="L1071" s="20" t="s">
        <v>218</v>
      </c>
      <c r="M1071" s="16" t="n">
        <f aca="false">H1071*Scoring!$C$5</f>
        <v>2.6</v>
      </c>
      <c r="N1071" s="16" t="n">
        <f aca="false">IF(I1071&gt;=5,1,IF(I1071=4,0.75,IF(I1071=3,0.5,IF(I1071=2,0.25,0))))*Scoring!$C$8</f>
        <v>0.75</v>
      </c>
      <c r="O1071" s="16" t="n">
        <f aca="false">IF(J1071="Yes",0,Scoring!$C$6)</f>
        <v>2</v>
      </c>
      <c r="P1071" s="16" t="n">
        <f aca="false">IF(L1071="Yes",0,Scoring!$C$7)</f>
        <v>0</v>
      </c>
      <c r="Q1071" s="8" t="n">
        <f aca="false">ROUND(SUM(M1071:P1071),2)</f>
        <v>5.35</v>
      </c>
      <c r="R1071" s="8" t="str">
        <f aca="false">IF(Q1071&gt;=Scoring!$C$10-0.000001,"Keep","Remove")</f>
        <v>Remove</v>
      </c>
      <c r="S1071" s="8" t="s">
        <v>7243</v>
      </c>
    </row>
    <row r="1072" customFormat="false" ht="15" hidden="false" customHeight="false" outlineLevel="0" collapsed="false">
      <c r="A1072" s="8" t="s">
        <v>6796</v>
      </c>
      <c r="B1072" s="8" t="s">
        <v>6797</v>
      </c>
      <c r="C1072" s="8" t="s">
        <v>5958</v>
      </c>
      <c r="D1072" s="8" t="s">
        <v>6793</v>
      </c>
      <c r="E1072" s="8"/>
      <c r="F1072" s="8" t="s">
        <v>93</v>
      </c>
      <c r="G1072" s="8" t="n">
        <v>1</v>
      </c>
      <c r="H1072" s="13" t="n">
        <v>4</v>
      </c>
      <c r="I1072" s="8" t="n">
        <v>4</v>
      </c>
      <c r="J1072" s="20" t="s">
        <v>259</v>
      </c>
      <c r="K1072" s="8"/>
      <c r="L1072" s="20" t="s">
        <v>259</v>
      </c>
      <c r="M1072" s="16" t="n">
        <f aca="false">H1072*Scoring!$C$5</f>
        <v>5.2</v>
      </c>
      <c r="N1072" s="16" t="n">
        <f aca="false">IF(I1072&gt;=5,1,IF(I1072=4,0.75,IF(I1072=3,0.5,IF(I1072=2,0.25,0))))*Scoring!$C$8</f>
        <v>0.75</v>
      </c>
      <c r="O1072" s="16" t="n">
        <f aca="false">IF(J1072="Yes",0,Scoring!$C$6)</f>
        <v>2</v>
      </c>
      <c r="P1072" s="16" t="n">
        <f aca="false">IF(L1072="Yes",0,Scoring!$C$7)</f>
        <v>0.5</v>
      </c>
      <c r="Q1072" s="8" t="n">
        <f aca="false">ROUND(SUM(M1072:P1072),2)</f>
        <v>8.45</v>
      </c>
      <c r="R1072" s="8" t="str">
        <f aca="false">IF(Q1072&gt;=Scoring!$C$10-0.000001,"Keep","Remove")</f>
        <v>Keep</v>
      </c>
      <c r="S1072" s="8" t="s">
        <v>166</v>
      </c>
    </row>
    <row r="1073" customFormat="false" ht="15" hidden="false" customHeight="false" outlineLevel="0" collapsed="false">
      <c r="A1073" s="8" t="s">
        <v>6807</v>
      </c>
      <c r="B1073" s="8" t="s">
        <v>6808</v>
      </c>
      <c r="C1073" s="8" t="s">
        <v>5958</v>
      </c>
      <c r="D1073" s="8" t="s">
        <v>2532</v>
      </c>
      <c r="E1073" s="8"/>
      <c r="F1073" s="8" t="s">
        <v>94</v>
      </c>
      <c r="G1073" s="8" t="n">
        <v>2</v>
      </c>
      <c r="H1073" s="13" t="n">
        <v>3</v>
      </c>
      <c r="I1073" s="8" t="n">
        <v>3</v>
      </c>
      <c r="J1073" s="20" t="s">
        <v>259</v>
      </c>
      <c r="K1073" s="8"/>
      <c r="L1073" s="20" t="s">
        <v>259</v>
      </c>
      <c r="M1073" s="16" t="n">
        <f aca="false">H1073*Scoring!$C$5</f>
        <v>3.9</v>
      </c>
      <c r="N1073" s="16" t="n">
        <f aca="false">IF(I1073&gt;=5,1,IF(I1073=4,0.75,IF(I1073=3,0.5,IF(I1073=2,0.25,0))))*Scoring!$C$8</f>
        <v>0.5</v>
      </c>
      <c r="O1073" s="16" t="n">
        <f aca="false">IF(J1073="Yes",0,Scoring!$C$6)</f>
        <v>2</v>
      </c>
      <c r="P1073" s="16" t="n">
        <f aca="false">IF(L1073="Yes",0,Scoring!$C$7)</f>
        <v>0.5</v>
      </c>
      <c r="Q1073" s="8" t="n">
        <f aca="false">ROUND(SUM(M1073:P1073),2)</f>
        <v>6.9</v>
      </c>
      <c r="R1073" s="8" t="str">
        <f aca="false">IF(Q1073&gt;=Scoring!$C$10-0.000001,"Keep","Remove")</f>
        <v>Keep</v>
      </c>
      <c r="S1073" s="8" t="s">
        <v>166</v>
      </c>
    </row>
    <row r="1074" customFormat="false" ht="15" hidden="false" customHeight="false" outlineLevel="0" collapsed="false">
      <c r="A1074" s="8" t="s">
        <v>6817</v>
      </c>
      <c r="B1074" s="8" t="s">
        <v>6818</v>
      </c>
      <c r="C1074" s="8" t="s">
        <v>5958</v>
      </c>
      <c r="D1074" s="8" t="s">
        <v>3508</v>
      </c>
      <c r="E1074" s="8"/>
      <c r="F1074" s="8" t="s">
        <v>94</v>
      </c>
      <c r="G1074" s="8" t="n">
        <v>2</v>
      </c>
      <c r="H1074" s="13" t="n">
        <v>3</v>
      </c>
      <c r="I1074" s="8" t="n">
        <v>4</v>
      </c>
      <c r="J1074" s="20" t="s">
        <v>259</v>
      </c>
      <c r="K1074" s="8"/>
      <c r="L1074" s="20" t="s">
        <v>259</v>
      </c>
      <c r="M1074" s="16" t="n">
        <f aca="false">H1074*Scoring!$C$5</f>
        <v>3.9</v>
      </c>
      <c r="N1074" s="16" t="n">
        <f aca="false">IF(I1074&gt;=5,1,IF(I1074=4,0.75,IF(I1074=3,0.5,IF(I1074=2,0.25,0))))*Scoring!$C$8</f>
        <v>0.75</v>
      </c>
      <c r="O1074" s="16" t="n">
        <f aca="false">IF(J1074="Yes",0,Scoring!$C$6)</f>
        <v>2</v>
      </c>
      <c r="P1074" s="16" t="n">
        <f aca="false">IF(L1074="Yes",0,Scoring!$C$7)</f>
        <v>0.5</v>
      </c>
      <c r="Q1074" s="8" t="n">
        <f aca="false">ROUND(SUM(M1074:P1074),2)</f>
        <v>7.15</v>
      </c>
      <c r="R1074" s="8" t="str">
        <f aca="false">IF(Q1074&gt;=Scoring!$C$10-0.000001,"Keep","Remove")</f>
        <v>Keep</v>
      </c>
      <c r="S1074" s="8" t="s">
        <v>166</v>
      </c>
    </row>
    <row r="1075" customFormat="false" ht="15" hidden="false" customHeight="false" outlineLevel="0" collapsed="false">
      <c r="A1075" s="8" t="s">
        <v>6826</v>
      </c>
      <c r="B1075" s="8" t="s">
        <v>6827</v>
      </c>
      <c r="C1075" s="8" t="s">
        <v>5958</v>
      </c>
      <c r="D1075" s="8" t="s">
        <v>5544</v>
      </c>
      <c r="E1075" s="8"/>
      <c r="F1075" s="8" t="s">
        <v>94</v>
      </c>
      <c r="G1075" s="8" t="n">
        <v>1</v>
      </c>
      <c r="H1075" s="13" t="n">
        <v>4</v>
      </c>
      <c r="I1075" s="8" t="n">
        <v>4</v>
      </c>
      <c r="J1075" s="20" t="s">
        <v>259</v>
      </c>
      <c r="K1075" s="8"/>
      <c r="L1075" s="20" t="s">
        <v>259</v>
      </c>
      <c r="M1075" s="16" t="n">
        <f aca="false">H1075*Scoring!$C$5</f>
        <v>5.2</v>
      </c>
      <c r="N1075" s="16" t="n">
        <f aca="false">IF(I1075&gt;=5,1,IF(I1075=4,0.75,IF(I1075=3,0.5,IF(I1075=2,0.25,0))))*Scoring!$C$8</f>
        <v>0.75</v>
      </c>
      <c r="O1075" s="16" t="n">
        <f aca="false">IF(J1075="Yes",0,Scoring!$C$6)</f>
        <v>2</v>
      </c>
      <c r="P1075" s="16" t="n">
        <f aca="false">IF(L1075="Yes",0,Scoring!$C$7)</f>
        <v>0.5</v>
      </c>
      <c r="Q1075" s="8" t="n">
        <f aca="false">ROUND(SUM(M1075:P1075),2)</f>
        <v>8.45</v>
      </c>
      <c r="R1075" s="8" t="str">
        <f aca="false">IF(Q1075&gt;=Scoring!$C$10-0.000001,"Keep","Remove")</f>
        <v>Keep</v>
      </c>
      <c r="S1075" s="8" t="s">
        <v>166</v>
      </c>
    </row>
    <row r="1076" customFormat="false" ht="15" hidden="false" customHeight="false" outlineLevel="0" collapsed="false">
      <c r="A1076" s="8" t="s">
        <v>6837</v>
      </c>
      <c r="B1076" s="8" t="s">
        <v>6838</v>
      </c>
      <c r="C1076" s="8" t="s">
        <v>5958</v>
      </c>
      <c r="D1076" s="8" t="s">
        <v>5872</v>
      </c>
      <c r="E1076" s="8"/>
      <c r="F1076" s="8" t="s">
        <v>94</v>
      </c>
      <c r="G1076" s="8" t="n">
        <v>2</v>
      </c>
      <c r="H1076" s="13" t="n">
        <v>3</v>
      </c>
      <c r="I1076" s="8" t="n">
        <v>5</v>
      </c>
      <c r="J1076" s="20" t="s">
        <v>259</v>
      </c>
      <c r="K1076" s="8"/>
      <c r="L1076" s="20" t="s">
        <v>259</v>
      </c>
      <c r="M1076" s="16" t="n">
        <f aca="false">H1076*Scoring!$C$5</f>
        <v>3.9</v>
      </c>
      <c r="N1076" s="16" t="n">
        <f aca="false">IF(I1076&gt;=5,1,IF(I1076=4,0.75,IF(I1076=3,0.5,IF(I1076=2,0.25,0))))*Scoring!$C$8</f>
        <v>1</v>
      </c>
      <c r="O1076" s="16" t="n">
        <f aca="false">IF(J1076="Yes",0,Scoring!$C$6)</f>
        <v>2</v>
      </c>
      <c r="P1076" s="16" t="n">
        <f aca="false">IF(L1076="Yes",0,Scoring!$C$7)</f>
        <v>0.5</v>
      </c>
      <c r="Q1076" s="8" t="n">
        <f aca="false">ROUND(SUM(M1076:P1076),2)</f>
        <v>7.4</v>
      </c>
      <c r="R1076" s="8" t="str">
        <f aca="false">IF(Q1076&gt;=Scoring!$C$10-0.000001,"Keep","Remove")</f>
        <v>Keep</v>
      </c>
      <c r="S1076" s="8" t="s">
        <v>166</v>
      </c>
    </row>
    <row r="1077" customFormat="false" ht="15" hidden="false" customHeight="false" outlineLevel="0" collapsed="false">
      <c r="A1077" s="8" t="s">
        <v>6844</v>
      </c>
      <c r="B1077" s="8" t="s">
        <v>6845</v>
      </c>
      <c r="C1077" s="8" t="s">
        <v>5958</v>
      </c>
      <c r="D1077" s="8" t="s">
        <v>5783</v>
      </c>
      <c r="E1077" s="8"/>
      <c r="F1077" s="8" t="s">
        <v>94</v>
      </c>
      <c r="G1077" s="8" t="n">
        <v>1</v>
      </c>
      <c r="H1077" s="13" t="n">
        <v>4</v>
      </c>
      <c r="I1077" s="8" t="n">
        <v>3</v>
      </c>
      <c r="J1077" s="20" t="s">
        <v>259</v>
      </c>
      <c r="K1077" s="8"/>
      <c r="L1077" s="20" t="s">
        <v>259</v>
      </c>
      <c r="M1077" s="16" t="n">
        <f aca="false">H1077*Scoring!$C$5</f>
        <v>5.2</v>
      </c>
      <c r="N1077" s="16" t="n">
        <f aca="false">IF(I1077&gt;=5,1,IF(I1077=4,0.75,IF(I1077=3,0.5,IF(I1077=2,0.25,0))))*Scoring!$C$8</f>
        <v>0.5</v>
      </c>
      <c r="O1077" s="16" t="n">
        <f aca="false">IF(J1077="Yes",0,Scoring!$C$6)</f>
        <v>2</v>
      </c>
      <c r="P1077" s="16" t="n">
        <f aca="false">IF(L1077="Yes",0,Scoring!$C$7)</f>
        <v>0.5</v>
      </c>
      <c r="Q1077" s="8" t="n">
        <f aca="false">ROUND(SUM(M1077:P1077),2)</f>
        <v>8.2</v>
      </c>
      <c r="R1077" s="8" t="str">
        <f aca="false">IF(Q1077&gt;=Scoring!$C$10-0.000001,"Keep","Remove")</f>
        <v>Keep</v>
      </c>
      <c r="S1077" s="8" t="s">
        <v>166</v>
      </c>
    </row>
    <row r="1078" customFormat="false" ht="15" hidden="false" customHeight="false" outlineLevel="0" collapsed="false">
      <c r="A1078" s="8" t="s">
        <v>7981</v>
      </c>
      <c r="B1078" s="8" t="s">
        <v>7982</v>
      </c>
      <c r="C1078" s="8" t="s">
        <v>5958</v>
      </c>
      <c r="D1078" s="8" t="s">
        <v>7404</v>
      </c>
      <c r="E1078" s="8"/>
      <c r="F1078" s="8" t="s">
        <v>94</v>
      </c>
      <c r="G1078" s="8" t="n">
        <v>3</v>
      </c>
      <c r="H1078" s="13" t="n">
        <v>2</v>
      </c>
      <c r="I1078" s="8" t="n">
        <v>4</v>
      </c>
      <c r="J1078" s="20" t="s">
        <v>259</v>
      </c>
      <c r="K1078" s="8"/>
      <c r="L1078" s="20" t="s">
        <v>259</v>
      </c>
      <c r="M1078" s="16" t="n">
        <f aca="false">H1078*Scoring!$C$5</f>
        <v>2.6</v>
      </c>
      <c r="N1078" s="16" t="n">
        <f aca="false">IF(I1078&gt;=5,1,IF(I1078=4,0.75,IF(I1078=3,0.5,IF(I1078=2,0.25,0))))*Scoring!$C$8</f>
        <v>0.75</v>
      </c>
      <c r="O1078" s="16" t="n">
        <f aca="false">IF(J1078="Yes",0,Scoring!$C$6)</f>
        <v>2</v>
      </c>
      <c r="P1078" s="16" t="n">
        <f aca="false">IF(L1078="Yes",0,Scoring!$C$7)</f>
        <v>0.5</v>
      </c>
      <c r="Q1078" s="8" t="n">
        <f aca="false">ROUND(SUM(M1078:P1078),2)</f>
        <v>5.85</v>
      </c>
      <c r="R1078" s="8" t="str">
        <f aca="false">IF(Q1078&gt;=Scoring!$C$10-0.000001,"Keep","Remove")</f>
        <v>Remove</v>
      </c>
      <c r="S1078" s="8" t="s">
        <v>7243</v>
      </c>
    </row>
    <row r="1079" customFormat="false" ht="15" hidden="false" customHeight="false" outlineLevel="0" collapsed="false">
      <c r="A1079" s="8" t="s">
        <v>7926</v>
      </c>
      <c r="B1079" s="8" t="s">
        <v>7927</v>
      </c>
      <c r="C1079" s="8" t="s">
        <v>5958</v>
      </c>
      <c r="D1079" s="8" t="s">
        <v>5621</v>
      </c>
      <c r="E1079" s="8"/>
      <c r="F1079" s="8" t="s">
        <v>94</v>
      </c>
      <c r="G1079" s="8" t="n">
        <v>3</v>
      </c>
      <c r="H1079" s="13" t="n">
        <v>2</v>
      </c>
      <c r="I1079" s="8" t="n">
        <v>5</v>
      </c>
      <c r="J1079" s="20" t="s">
        <v>259</v>
      </c>
      <c r="K1079" s="8"/>
      <c r="L1079" s="20" t="s">
        <v>259</v>
      </c>
      <c r="M1079" s="16" t="n">
        <f aca="false">H1079*Scoring!$C$5</f>
        <v>2.6</v>
      </c>
      <c r="N1079" s="16" t="n">
        <f aca="false">IF(I1079&gt;=5,1,IF(I1079=4,0.75,IF(I1079=3,0.5,IF(I1079=2,0.25,0))))*Scoring!$C$8</f>
        <v>1</v>
      </c>
      <c r="O1079" s="16" t="n">
        <f aca="false">IF(J1079="Yes",0,Scoring!$C$6)</f>
        <v>2</v>
      </c>
      <c r="P1079" s="16" t="n">
        <f aca="false">IF(L1079="Yes",0,Scoring!$C$7)</f>
        <v>0.5</v>
      </c>
      <c r="Q1079" s="8" t="n">
        <f aca="false">ROUND(SUM(M1079:P1079),2)</f>
        <v>6.1</v>
      </c>
      <c r="R1079" s="8" t="str">
        <f aca="false">IF(Q1079&gt;=Scoring!$C$10-0.000001,"Keep","Remove")</f>
        <v>Remove</v>
      </c>
      <c r="S1079" s="8" t="s">
        <v>7243</v>
      </c>
    </row>
    <row r="1080" customFormat="false" ht="15" hidden="false" customHeight="false" outlineLevel="0" collapsed="false">
      <c r="A1080" s="8" t="s">
        <v>8027</v>
      </c>
      <c r="B1080" s="8" t="s">
        <v>8028</v>
      </c>
      <c r="C1080" s="8" t="s">
        <v>5958</v>
      </c>
      <c r="D1080" s="8" t="s">
        <v>4987</v>
      </c>
      <c r="E1080" s="8"/>
      <c r="F1080" s="8" t="s">
        <v>94</v>
      </c>
      <c r="G1080" s="8" t="n">
        <v>3</v>
      </c>
      <c r="H1080" s="13" t="n">
        <v>2</v>
      </c>
      <c r="I1080" s="8" t="n">
        <v>3</v>
      </c>
      <c r="J1080" s="20" t="s">
        <v>259</v>
      </c>
      <c r="K1080" s="8"/>
      <c r="L1080" s="20" t="s">
        <v>259</v>
      </c>
      <c r="M1080" s="16" t="n">
        <f aca="false">H1080*Scoring!$C$5</f>
        <v>2.6</v>
      </c>
      <c r="N1080" s="16" t="n">
        <f aca="false">IF(I1080&gt;=5,1,IF(I1080=4,0.75,IF(I1080=3,0.5,IF(I1080=2,0.25,0))))*Scoring!$C$8</f>
        <v>0.5</v>
      </c>
      <c r="O1080" s="16" t="n">
        <f aca="false">IF(J1080="Yes",0,Scoring!$C$6)</f>
        <v>2</v>
      </c>
      <c r="P1080" s="16" t="n">
        <f aca="false">IF(L1080="Yes",0,Scoring!$C$7)</f>
        <v>0.5</v>
      </c>
      <c r="Q1080" s="8" t="n">
        <f aca="false">ROUND(SUM(M1080:P1080),2)</f>
        <v>5.6</v>
      </c>
      <c r="R1080" s="8" t="str">
        <f aca="false">IF(Q1080&gt;=Scoring!$C$10-0.000001,"Keep","Remove")</f>
        <v>Remove</v>
      </c>
      <c r="S1080" s="8" t="s">
        <v>7243</v>
      </c>
    </row>
    <row r="1081" customFormat="false" ht="15" hidden="false" customHeight="false" outlineLevel="0" collapsed="false">
      <c r="A1081" s="8" t="s">
        <v>6855</v>
      </c>
      <c r="B1081" s="8" t="s">
        <v>6856</v>
      </c>
      <c r="C1081" s="8" t="s">
        <v>5958</v>
      </c>
      <c r="D1081" s="8" t="s">
        <v>5621</v>
      </c>
      <c r="E1081" s="8"/>
      <c r="F1081" s="8" t="s">
        <v>93</v>
      </c>
      <c r="G1081" s="8" t="n">
        <v>2</v>
      </c>
      <c r="H1081" s="13" t="n">
        <v>3</v>
      </c>
      <c r="I1081" s="8" t="n">
        <v>3</v>
      </c>
      <c r="J1081" s="20" t="s">
        <v>259</v>
      </c>
      <c r="K1081" s="8"/>
      <c r="L1081" s="20" t="s">
        <v>259</v>
      </c>
      <c r="M1081" s="16" t="n">
        <f aca="false">H1081*Scoring!$C$5</f>
        <v>3.9</v>
      </c>
      <c r="N1081" s="16" t="n">
        <f aca="false">IF(I1081&gt;=5,1,IF(I1081=4,0.75,IF(I1081=3,0.5,IF(I1081=2,0.25,0))))*Scoring!$C$8</f>
        <v>0.5</v>
      </c>
      <c r="O1081" s="16" t="n">
        <f aca="false">IF(J1081="Yes",0,Scoring!$C$6)</f>
        <v>2</v>
      </c>
      <c r="P1081" s="16" t="n">
        <f aca="false">IF(L1081="Yes",0,Scoring!$C$7)</f>
        <v>0.5</v>
      </c>
      <c r="Q1081" s="8" t="n">
        <f aca="false">ROUND(SUM(M1081:P1081),2)</f>
        <v>6.9</v>
      </c>
      <c r="R1081" s="8" t="str">
        <f aca="false">IF(Q1081&gt;=Scoring!$C$10-0.000001,"Keep","Remove")</f>
        <v>Keep</v>
      </c>
      <c r="S1081" s="8" t="s">
        <v>166</v>
      </c>
    </row>
    <row r="1082" customFormat="false" ht="15" hidden="false" customHeight="false" outlineLevel="0" collapsed="false">
      <c r="A1082" s="8" t="s">
        <v>7928</v>
      </c>
      <c r="B1082" s="8" t="s">
        <v>7929</v>
      </c>
      <c r="C1082" s="8" t="s">
        <v>5958</v>
      </c>
      <c r="D1082" s="8" t="s">
        <v>5207</v>
      </c>
      <c r="E1082" s="8"/>
      <c r="F1082" s="8" t="s">
        <v>94</v>
      </c>
      <c r="G1082" s="8" t="n">
        <v>3</v>
      </c>
      <c r="H1082" s="13" t="n">
        <v>2</v>
      </c>
      <c r="I1082" s="8" t="n">
        <v>5</v>
      </c>
      <c r="J1082" s="20" t="s">
        <v>259</v>
      </c>
      <c r="K1082" s="8"/>
      <c r="L1082" s="20" t="s">
        <v>259</v>
      </c>
      <c r="M1082" s="16" t="n">
        <f aca="false">H1082*Scoring!$C$5</f>
        <v>2.6</v>
      </c>
      <c r="N1082" s="16" t="n">
        <f aca="false">IF(I1082&gt;=5,1,IF(I1082=4,0.75,IF(I1082=3,0.5,IF(I1082=2,0.25,0))))*Scoring!$C$8</f>
        <v>1</v>
      </c>
      <c r="O1082" s="16" t="n">
        <f aca="false">IF(J1082="Yes",0,Scoring!$C$6)</f>
        <v>2</v>
      </c>
      <c r="P1082" s="16" t="n">
        <f aca="false">IF(L1082="Yes",0,Scoring!$C$7)</f>
        <v>0.5</v>
      </c>
      <c r="Q1082" s="8" t="n">
        <f aca="false">ROUND(SUM(M1082:P1082),2)</f>
        <v>6.1</v>
      </c>
      <c r="R1082" s="8" t="str">
        <f aca="false">IF(Q1082&gt;=Scoring!$C$10-0.000001,"Keep","Remove")</f>
        <v>Remove</v>
      </c>
      <c r="S1082" s="8" t="s">
        <v>7243</v>
      </c>
    </row>
    <row r="1083" customFormat="false" ht="15" hidden="false" customHeight="false" outlineLevel="0" collapsed="false">
      <c r="A1083" s="8" t="s">
        <v>6865</v>
      </c>
      <c r="B1083" s="8" t="s">
        <v>6866</v>
      </c>
      <c r="C1083" s="8" t="s">
        <v>5958</v>
      </c>
      <c r="D1083" s="8" t="s">
        <v>206</v>
      </c>
      <c r="E1083" s="8" t="s">
        <v>103</v>
      </c>
      <c r="F1083" s="8" t="s">
        <v>94</v>
      </c>
      <c r="G1083" s="8" t="n">
        <v>2</v>
      </c>
      <c r="H1083" s="13" t="n">
        <v>4</v>
      </c>
      <c r="I1083" s="8" t="n">
        <v>2</v>
      </c>
      <c r="J1083" s="20" t="s">
        <v>259</v>
      </c>
      <c r="K1083" s="8"/>
      <c r="L1083" s="20" t="s">
        <v>259</v>
      </c>
      <c r="M1083" s="16" t="n">
        <f aca="false">H1083*Scoring!$C$5</f>
        <v>5.2</v>
      </c>
      <c r="N1083" s="16" t="n">
        <f aca="false">IF(I1083&gt;=5,1,IF(I1083=4,0.75,IF(I1083=3,0.5,IF(I1083=2,0.25,0))))*Scoring!$C$8</f>
        <v>0.25</v>
      </c>
      <c r="O1083" s="16" t="n">
        <f aca="false">IF(J1083="Yes",0,Scoring!$C$6)</f>
        <v>2</v>
      </c>
      <c r="P1083" s="16" t="n">
        <f aca="false">IF(L1083="Yes",0,Scoring!$C$7)</f>
        <v>0.5</v>
      </c>
      <c r="Q1083" s="8" t="n">
        <f aca="false">ROUND(SUM(M1083:P1083),2)</f>
        <v>7.95</v>
      </c>
      <c r="R1083" s="8" t="str">
        <f aca="false">IF(Q1083&gt;=Scoring!$C$10-0.000001,"Keep","Remove")</f>
        <v>Keep</v>
      </c>
      <c r="S1083" s="8" t="s">
        <v>166</v>
      </c>
    </row>
    <row r="1084" customFormat="false" ht="15" hidden="false" customHeight="false" outlineLevel="0" collapsed="false">
      <c r="A1084" s="8" t="s">
        <v>6878</v>
      </c>
      <c r="B1084" s="8" t="s">
        <v>6879</v>
      </c>
      <c r="C1084" s="8" t="s">
        <v>5958</v>
      </c>
      <c r="D1084" s="8" t="s">
        <v>206</v>
      </c>
      <c r="E1084" s="8" t="s">
        <v>103</v>
      </c>
      <c r="F1084" s="8" t="s">
        <v>94</v>
      </c>
      <c r="G1084" s="8" t="n">
        <v>3</v>
      </c>
      <c r="H1084" s="13" t="n">
        <v>3</v>
      </c>
      <c r="I1084" s="8" t="n">
        <v>3</v>
      </c>
      <c r="J1084" s="20" t="s">
        <v>259</v>
      </c>
      <c r="K1084" s="8"/>
      <c r="L1084" s="20" t="s">
        <v>259</v>
      </c>
      <c r="M1084" s="16" t="n">
        <f aca="false">H1084*Scoring!$C$5</f>
        <v>3.9</v>
      </c>
      <c r="N1084" s="16" t="n">
        <f aca="false">IF(I1084&gt;=5,1,IF(I1084=4,0.75,IF(I1084=3,0.5,IF(I1084=2,0.25,0))))*Scoring!$C$8</f>
        <v>0.5</v>
      </c>
      <c r="O1084" s="16" t="n">
        <f aca="false">IF(J1084="Yes",0,Scoring!$C$6)</f>
        <v>2</v>
      </c>
      <c r="P1084" s="16" t="n">
        <f aca="false">IF(L1084="Yes",0,Scoring!$C$7)</f>
        <v>0.5</v>
      </c>
      <c r="Q1084" s="8" t="n">
        <f aca="false">ROUND(SUM(M1084:P1084),2)</f>
        <v>6.9</v>
      </c>
      <c r="R1084" s="8" t="str">
        <f aca="false">IF(Q1084&gt;=Scoring!$C$10-0.000001,"Keep","Remove")</f>
        <v>Keep</v>
      </c>
      <c r="S1084" s="8" t="s">
        <v>166</v>
      </c>
    </row>
    <row r="1085" customFormat="false" ht="15" hidden="false" customHeight="false" outlineLevel="0" collapsed="false">
      <c r="A1085" s="8" t="s">
        <v>6885</v>
      </c>
      <c r="B1085" s="8" t="s">
        <v>6886</v>
      </c>
      <c r="C1085" s="8" t="s">
        <v>5958</v>
      </c>
      <c r="D1085" s="8" t="s">
        <v>206</v>
      </c>
      <c r="E1085" s="8" t="s">
        <v>103</v>
      </c>
      <c r="F1085" s="8" t="s">
        <v>94</v>
      </c>
      <c r="G1085" s="8" t="n">
        <v>3</v>
      </c>
      <c r="H1085" s="13" t="n">
        <v>3</v>
      </c>
      <c r="I1085" s="8" t="n">
        <v>4</v>
      </c>
      <c r="J1085" s="20" t="s">
        <v>259</v>
      </c>
      <c r="K1085" s="8"/>
      <c r="L1085" s="20" t="s">
        <v>259</v>
      </c>
      <c r="M1085" s="16" t="n">
        <f aca="false">H1085*Scoring!$C$5</f>
        <v>3.9</v>
      </c>
      <c r="N1085" s="16" t="n">
        <f aca="false">IF(I1085&gt;=5,1,IF(I1085=4,0.75,IF(I1085=3,0.5,IF(I1085=2,0.25,0))))*Scoring!$C$8</f>
        <v>0.75</v>
      </c>
      <c r="O1085" s="16" t="n">
        <f aca="false">IF(J1085="Yes",0,Scoring!$C$6)</f>
        <v>2</v>
      </c>
      <c r="P1085" s="16" t="n">
        <f aca="false">IF(L1085="Yes",0,Scoring!$C$7)</f>
        <v>0.5</v>
      </c>
      <c r="Q1085" s="8" t="n">
        <f aca="false">ROUND(SUM(M1085:P1085),2)</f>
        <v>7.15</v>
      </c>
      <c r="R1085" s="8" t="str">
        <f aca="false">IF(Q1085&gt;=Scoring!$C$10-0.000001,"Keep","Remove")</f>
        <v>Keep</v>
      </c>
      <c r="S1085" s="8" t="s">
        <v>166</v>
      </c>
    </row>
    <row r="1086" customFormat="false" ht="15" hidden="false" customHeight="false" outlineLevel="0" collapsed="false">
      <c r="A1086" s="8" t="s">
        <v>6894</v>
      </c>
      <c r="B1086" s="8" t="s">
        <v>6895</v>
      </c>
      <c r="C1086" s="8" t="s">
        <v>5958</v>
      </c>
      <c r="D1086" s="8" t="s">
        <v>206</v>
      </c>
      <c r="E1086" s="8" t="s">
        <v>103</v>
      </c>
      <c r="F1086" s="8" t="s">
        <v>94</v>
      </c>
      <c r="G1086" s="8" t="n">
        <v>2</v>
      </c>
      <c r="H1086" s="13" t="n">
        <v>4</v>
      </c>
      <c r="I1086" s="8" t="n">
        <v>4</v>
      </c>
      <c r="J1086" s="20" t="s">
        <v>259</v>
      </c>
      <c r="K1086" s="8"/>
      <c r="L1086" s="20" t="s">
        <v>259</v>
      </c>
      <c r="M1086" s="16" t="n">
        <f aca="false">H1086*Scoring!$C$5</f>
        <v>5.2</v>
      </c>
      <c r="N1086" s="16" t="n">
        <f aca="false">IF(I1086&gt;=5,1,IF(I1086=4,0.75,IF(I1086=3,0.5,IF(I1086=2,0.25,0))))*Scoring!$C$8</f>
        <v>0.75</v>
      </c>
      <c r="O1086" s="16" t="n">
        <f aca="false">IF(J1086="Yes",0,Scoring!$C$6)</f>
        <v>2</v>
      </c>
      <c r="P1086" s="16" t="n">
        <f aca="false">IF(L1086="Yes",0,Scoring!$C$7)</f>
        <v>0.5</v>
      </c>
      <c r="Q1086" s="8" t="n">
        <f aca="false">ROUND(SUM(M1086:P1086),2)</f>
        <v>8.45</v>
      </c>
      <c r="R1086" s="8" t="str">
        <f aca="false">IF(Q1086&gt;=Scoring!$C$10-0.000001,"Keep","Remove")</f>
        <v>Keep</v>
      </c>
      <c r="S1086" s="8" t="s">
        <v>166</v>
      </c>
    </row>
    <row r="1087" customFormat="false" ht="15" hidden="false" customHeight="false" outlineLevel="0" collapsed="false">
      <c r="A1087" s="8" t="s">
        <v>6902</v>
      </c>
      <c r="B1087" s="8" t="s">
        <v>6903</v>
      </c>
      <c r="C1087" s="8" t="s">
        <v>5958</v>
      </c>
      <c r="D1087" s="8" t="s">
        <v>5207</v>
      </c>
      <c r="E1087" s="8"/>
      <c r="F1087" s="8" t="s">
        <v>93</v>
      </c>
      <c r="G1087" s="8" t="n">
        <v>1</v>
      </c>
      <c r="H1087" s="13" t="n">
        <v>4</v>
      </c>
      <c r="I1087" s="8" t="n">
        <v>3</v>
      </c>
      <c r="J1087" s="20" t="s">
        <v>259</v>
      </c>
      <c r="K1087" s="8"/>
      <c r="L1087" s="20" t="s">
        <v>259</v>
      </c>
      <c r="M1087" s="16" t="n">
        <f aca="false">H1087*Scoring!$C$5</f>
        <v>5.2</v>
      </c>
      <c r="N1087" s="16" t="n">
        <f aca="false">IF(I1087&gt;=5,1,IF(I1087=4,0.75,IF(I1087=3,0.5,IF(I1087=2,0.25,0))))*Scoring!$C$8</f>
        <v>0.5</v>
      </c>
      <c r="O1087" s="16" t="n">
        <f aca="false">IF(J1087="Yes",0,Scoring!$C$6)</f>
        <v>2</v>
      </c>
      <c r="P1087" s="16" t="n">
        <f aca="false">IF(L1087="Yes",0,Scoring!$C$7)</f>
        <v>0.5</v>
      </c>
      <c r="Q1087" s="8" t="n">
        <f aca="false">ROUND(SUM(M1087:P1087),2)</f>
        <v>8.2</v>
      </c>
      <c r="R1087" s="8" t="str">
        <f aca="false">IF(Q1087&gt;=Scoring!$C$10-0.000001,"Keep","Remove")</f>
        <v>Keep</v>
      </c>
      <c r="S1087" s="8" t="s">
        <v>166</v>
      </c>
    </row>
    <row r="1088" customFormat="false" ht="15" hidden="false" customHeight="false" outlineLevel="0" collapsed="false">
      <c r="A1088" s="8" t="s">
        <v>8090</v>
      </c>
      <c r="B1088" s="8" t="s">
        <v>8091</v>
      </c>
      <c r="C1088" s="8" t="s">
        <v>5958</v>
      </c>
      <c r="D1088" s="8" t="s">
        <v>5207</v>
      </c>
      <c r="E1088" s="8"/>
      <c r="F1088" s="8" t="s">
        <v>93</v>
      </c>
      <c r="G1088" s="8" t="n">
        <v>2</v>
      </c>
      <c r="H1088" s="13" t="n">
        <v>3</v>
      </c>
      <c r="I1088" s="8" t="n">
        <v>2</v>
      </c>
      <c r="J1088" s="20" t="s">
        <v>218</v>
      </c>
      <c r="K1088" s="8" t="s">
        <v>8193</v>
      </c>
      <c r="L1088" s="20" t="s">
        <v>259</v>
      </c>
      <c r="M1088" s="16" t="n">
        <f aca="false">H1088*Scoring!$C$5</f>
        <v>3.9</v>
      </c>
      <c r="N1088" s="16" t="n">
        <f aca="false">IF(I1088&gt;=5,1,IF(I1088=4,0.75,IF(I1088=3,0.5,IF(I1088=2,0.25,0))))*Scoring!$C$8</f>
        <v>0.25</v>
      </c>
      <c r="O1088" s="16" t="n">
        <f aca="false">IF(J1088="Yes",0,Scoring!$C$6)</f>
        <v>0</v>
      </c>
      <c r="P1088" s="16" t="n">
        <f aca="false">IF(L1088="Yes",0,Scoring!$C$7)</f>
        <v>0.5</v>
      </c>
      <c r="Q1088" s="8" t="n">
        <f aca="false">ROUND(SUM(M1088:P1088),2)</f>
        <v>4.65</v>
      </c>
      <c r="R1088" s="8" t="str">
        <f aca="false">IF(Q1088&gt;=Scoring!$C$10-0.000001,"Keep","Remove")</f>
        <v>Remove</v>
      </c>
      <c r="S1088" s="8" t="s">
        <v>8092</v>
      </c>
    </row>
    <row r="1089" customFormat="false" ht="15" hidden="false" customHeight="false" outlineLevel="0" collapsed="false">
      <c r="A1089" s="8" t="s">
        <v>8135</v>
      </c>
      <c r="B1089" s="8" t="s">
        <v>8136</v>
      </c>
      <c r="C1089" s="8" t="s">
        <v>5958</v>
      </c>
      <c r="D1089" s="8" t="s">
        <v>5207</v>
      </c>
      <c r="E1089" s="8"/>
      <c r="F1089" s="8" t="s">
        <v>93</v>
      </c>
      <c r="G1089" s="8" t="n">
        <v>3</v>
      </c>
      <c r="H1089" s="13" t="n">
        <v>2</v>
      </c>
      <c r="I1089" s="8" t="n">
        <v>1</v>
      </c>
      <c r="J1089" s="20" t="s">
        <v>218</v>
      </c>
      <c r="K1089" s="8" t="s">
        <v>8194</v>
      </c>
      <c r="L1089" s="20" t="s">
        <v>259</v>
      </c>
      <c r="M1089" s="16" t="n">
        <f aca="false">H1089*Scoring!$C$5</f>
        <v>2.6</v>
      </c>
      <c r="N1089" s="16" t="n">
        <f aca="false">IF(I1089&gt;=5,1,IF(I1089=4,0.75,IF(I1089=3,0.5,IF(I1089=2,0.25,0))))*Scoring!$C$8</f>
        <v>0</v>
      </c>
      <c r="O1089" s="16" t="n">
        <f aca="false">IF(J1089="Yes",0,Scoring!$C$6)</f>
        <v>0</v>
      </c>
      <c r="P1089" s="16" t="n">
        <f aca="false">IF(L1089="Yes",0,Scoring!$C$7)</f>
        <v>0.5</v>
      </c>
      <c r="Q1089" s="8" t="n">
        <f aca="false">ROUND(SUM(M1089:P1089),2)</f>
        <v>3.1</v>
      </c>
      <c r="R1089" s="8" t="str">
        <f aca="false">IF(Q1089&gt;=Scoring!$C$10-0.000001,"Keep","Remove")</f>
        <v>Remove</v>
      </c>
      <c r="S1089" s="8" t="s">
        <v>8137</v>
      </c>
    </row>
    <row r="1090" customFormat="false" ht="15" hidden="false" customHeight="false" outlineLevel="0" collapsed="false">
      <c r="A1090" s="8" t="s">
        <v>6909</v>
      </c>
      <c r="B1090" s="8" t="s">
        <v>6910</v>
      </c>
      <c r="C1090" s="8" t="s">
        <v>5958</v>
      </c>
      <c r="D1090" s="8" t="s">
        <v>5046</v>
      </c>
      <c r="E1090" s="8"/>
      <c r="F1090" s="8" t="s">
        <v>93</v>
      </c>
      <c r="G1090" s="8" t="n">
        <v>1</v>
      </c>
      <c r="H1090" s="13" t="n">
        <v>5</v>
      </c>
      <c r="I1090" s="8" t="n">
        <v>1</v>
      </c>
      <c r="J1090" s="20" t="s">
        <v>259</v>
      </c>
      <c r="K1090" s="8"/>
      <c r="L1090" s="20" t="s">
        <v>259</v>
      </c>
      <c r="M1090" s="16" t="n">
        <f aca="false">H1090*Scoring!$C$5</f>
        <v>6.5</v>
      </c>
      <c r="N1090" s="16" t="n">
        <f aca="false">IF(I1090&gt;=5,1,IF(I1090=4,0.75,IF(I1090=3,0.5,IF(I1090=2,0.25,0))))*Scoring!$C$8</f>
        <v>0</v>
      </c>
      <c r="O1090" s="16" t="n">
        <f aca="false">IF(J1090="Yes",0,Scoring!$C$6)</f>
        <v>2</v>
      </c>
      <c r="P1090" s="16" t="n">
        <f aca="false">IF(L1090="Yes",0,Scoring!$C$7)</f>
        <v>0.5</v>
      </c>
      <c r="Q1090" s="8" t="n">
        <f aca="false">ROUND(SUM(M1090:P1090),2)</f>
        <v>9</v>
      </c>
      <c r="R1090" s="8" t="str">
        <f aca="false">IF(Q1090&gt;=Scoring!$C$10-0.000001,"Keep","Remove")</f>
        <v>Keep</v>
      </c>
      <c r="S1090" s="8" t="s">
        <v>166</v>
      </c>
    </row>
    <row r="1091" customFormat="false" ht="15" hidden="false" customHeight="false" outlineLevel="0" collapsed="false">
      <c r="A1091" s="8" t="s">
        <v>6919</v>
      </c>
      <c r="B1091" s="8" t="s">
        <v>6920</v>
      </c>
      <c r="C1091" s="8" t="s">
        <v>5958</v>
      </c>
      <c r="D1091" s="8" t="s">
        <v>5046</v>
      </c>
      <c r="E1091" s="8"/>
      <c r="F1091" s="8" t="s">
        <v>93</v>
      </c>
      <c r="G1091" s="8" t="n">
        <v>1</v>
      </c>
      <c r="H1091" s="13" t="n">
        <v>5</v>
      </c>
      <c r="I1091" s="8" t="n">
        <v>2</v>
      </c>
      <c r="J1091" s="20" t="s">
        <v>259</v>
      </c>
      <c r="K1091" s="8"/>
      <c r="L1091" s="20" t="s">
        <v>259</v>
      </c>
      <c r="M1091" s="16" t="n">
        <f aca="false">H1091*Scoring!$C$5</f>
        <v>6.5</v>
      </c>
      <c r="N1091" s="16" t="n">
        <f aca="false">IF(I1091&gt;=5,1,IF(I1091=4,0.75,IF(I1091=3,0.5,IF(I1091=2,0.25,0))))*Scoring!$C$8</f>
        <v>0.25</v>
      </c>
      <c r="O1091" s="16" t="n">
        <f aca="false">IF(J1091="Yes",0,Scoring!$C$6)</f>
        <v>2</v>
      </c>
      <c r="P1091" s="16" t="n">
        <f aca="false">IF(L1091="Yes",0,Scoring!$C$7)</f>
        <v>0.5</v>
      </c>
      <c r="Q1091" s="8" t="n">
        <f aca="false">ROUND(SUM(M1091:P1091),2)</f>
        <v>9.25</v>
      </c>
      <c r="R1091" s="8" t="str">
        <f aca="false">IF(Q1091&gt;=Scoring!$C$10-0.000001,"Keep","Remove")</f>
        <v>Keep</v>
      </c>
      <c r="S1091" s="8" t="s">
        <v>166</v>
      </c>
    </row>
    <row r="1092" customFormat="false" ht="15" hidden="false" customHeight="false" outlineLevel="0" collapsed="false">
      <c r="A1092" s="8" t="s">
        <v>6929</v>
      </c>
      <c r="B1092" s="8" t="s">
        <v>6930</v>
      </c>
      <c r="C1092" s="8" t="s">
        <v>5958</v>
      </c>
      <c r="D1092" s="8" t="s">
        <v>5046</v>
      </c>
      <c r="E1092" s="8"/>
      <c r="F1092" s="8" t="s">
        <v>93</v>
      </c>
      <c r="G1092" s="8" t="n">
        <v>2</v>
      </c>
      <c r="H1092" s="13" t="n">
        <v>3</v>
      </c>
      <c r="I1092" s="8" t="n">
        <v>3</v>
      </c>
      <c r="J1092" s="20" t="s">
        <v>259</v>
      </c>
      <c r="K1092" s="8"/>
      <c r="L1092" s="20" t="s">
        <v>259</v>
      </c>
      <c r="M1092" s="16" t="n">
        <f aca="false">H1092*Scoring!$C$5</f>
        <v>3.9</v>
      </c>
      <c r="N1092" s="16" t="n">
        <f aca="false">IF(I1092&gt;=5,1,IF(I1092=4,0.75,IF(I1092=3,0.5,IF(I1092=2,0.25,0))))*Scoring!$C$8</f>
        <v>0.5</v>
      </c>
      <c r="O1092" s="16" t="n">
        <f aca="false">IF(J1092="Yes",0,Scoring!$C$6)</f>
        <v>2</v>
      </c>
      <c r="P1092" s="16" t="n">
        <f aca="false">IF(L1092="Yes",0,Scoring!$C$7)</f>
        <v>0.5</v>
      </c>
      <c r="Q1092" s="8" t="n">
        <f aca="false">ROUND(SUM(M1092:P1092),2)</f>
        <v>6.9</v>
      </c>
      <c r="R1092" s="8" t="str">
        <f aca="false">IF(Q1092&gt;=Scoring!$C$10-0.000001,"Keep","Remove")</f>
        <v>Keep</v>
      </c>
      <c r="S1092" s="8" t="s">
        <v>166</v>
      </c>
    </row>
    <row r="1093" customFormat="false" ht="15" hidden="false" customHeight="false" outlineLevel="0" collapsed="false">
      <c r="A1093" s="8" t="s">
        <v>6937</v>
      </c>
      <c r="B1093" s="8" t="s">
        <v>6938</v>
      </c>
      <c r="C1093" s="8" t="s">
        <v>5958</v>
      </c>
      <c r="D1093" s="8" t="s">
        <v>5046</v>
      </c>
      <c r="E1093" s="8"/>
      <c r="F1093" s="8" t="s">
        <v>93</v>
      </c>
      <c r="G1093" s="8" t="n">
        <v>1</v>
      </c>
      <c r="H1093" s="13" t="n">
        <v>5</v>
      </c>
      <c r="I1093" s="8" t="n">
        <v>4</v>
      </c>
      <c r="J1093" s="20" t="s">
        <v>259</v>
      </c>
      <c r="K1093" s="8"/>
      <c r="L1093" s="20" t="s">
        <v>259</v>
      </c>
      <c r="M1093" s="16" t="n">
        <f aca="false">H1093*Scoring!$C$5</f>
        <v>6.5</v>
      </c>
      <c r="N1093" s="16" t="n">
        <f aca="false">IF(I1093&gt;=5,1,IF(I1093=4,0.75,IF(I1093=3,0.5,IF(I1093=2,0.25,0))))*Scoring!$C$8</f>
        <v>0.75</v>
      </c>
      <c r="O1093" s="16" t="n">
        <f aca="false">IF(J1093="Yes",0,Scoring!$C$6)</f>
        <v>2</v>
      </c>
      <c r="P1093" s="16" t="n">
        <f aca="false">IF(L1093="Yes",0,Scoring!$C$7)</f>
        <v>0.5</v>
      </c>
      <c r="Q1093" s="8" t="n">
        <f aca="false">ROUND(SUM(M1093:P1093),2)</f>
        <v>9.75</v>
      </c>
      <c r="R1093" s="8" t="str">
        <f aca="false">IF(Q1093&gt;=Scoring!$C$10-0.000001,"Keep","Remove")</f>
        <v>Keep</v>
      </c>
      <c r="S1093" s="8" t="s">
        <v>166</v>
      </c>
    </row>
    <row r="1094" customFormat="false" ht="15" hidden="false" customHeight="false" outlineLevel="0" collapsed="false">
      <c r="A1094" s="8" t="s">
        <v>6944</v>
      </c>
      <c r="B1094" s="8" t="s">
        <v>6945</v>
      </c>
      <c r="C1094" s="8" t="s">
        <v>5958</v>
      </c>
      <c r="D1094" s="8" t="s">
        <v>5046</v>
      </c>
      <c r="E1094" s="8"/>
      <c r="F1094" s="8" t="s">
        <v>93</v>
      </c>
      <c r="G1094" s="8" t="n">
        <v>2</v>
      </c>
      <c r="H1094" s="13" t="n">
        <v>3</v>
      </c>
      <c r="I1094" s="8" t="n">
        <v>4</v>
      </c>
      <c r="J1094" s="20" t="s">
        <v>259</v>
      </c>
      <c r="K1094" s="8"/>
      <c r="L1094" s="20" t="s">
        <v>259</v>
      </c>
      <c r="M1094" s="16" t="n">
        <f aca="false">H1094*Scoring!$C$5</f>
        <v>3.9</v>
      </c>
      <c r="N1094" s="16" t="n">
        <f aca="false">IF(I1094&gt;=5,1,IF(I1094=4,0.75,IF(I1094=3,0.5,IF(I1094=2,0.25,0))))*Scoring!$C$8</f>
        <v>0.75</v>
      </c>
      <c r="O1094" s="16" t="n">
        <f aca="false">IF(J1094="Yes",0,Scoring!$C$6)</f>
        <v>2</v>
      </c>
      <c r="P1094" s="16" t="n">
        <f aca="false">IF(L1094="Yes",0,Scoring!$C$7)</f>
        <v>0.5</v>
      </c>
      <c r="Q1094" s="8" t="n">
        <f aca="false">ROUND(SUM(M1094:P1094),2)</f>
        <v>7.15</v>
      </c>
      <c r="R1094" s="8" t="str">
        <f aca="false">IF(Q1094&gt;=Scoring!$C$10-0.000001,"Keep","Remove")</f>
        <v>Keep</v>
      </c>
      <c r="S1094" s="8" t="s">
        <v>166</v>
      </c>
    </row>
    <row r="1095" customFormat="false" ht="15" hidden="false" customHeight="false" outlineLevel="0" collapsed="false">
      <c r="A1095" s="8" t="s">
        <v>7930</v>
      </c>
      <c r="B1095" s="8" t="s">
        <v>7931</v>
      </c>
      <c r="C1095" s="8" t="s">
        <v>5958</v>
      </c>
      <c r="D1095" s="8" t="s">
        <v>5046</v>
      </c>
      <c r="E1095" s="8"/>
      <c r="F1095" s="8" t="s">
        <v>93</v>
      </c>
      <c r="G1095" s="8" t="n">
        <v>3</v>
      </c>
      <c r="H1095" s="13" t="n">
        <v>2</v>
      </c>
      <c r="I1095" s="8" t="n">
        <v>5</v>
      </c>
      <c r="J1095" s="20" t="s">
        <v>259</v>
      </c>
      <c r="K1095" s="8"/>
      <c r="L1095" s="20" t="s">
        <v>259</v>
      </c>
      <c r="M1095" s="16" t="n">
        <f aca="false">H1095*Scoring!$C$5</f>
        <v>2.6</v>
      </c>
      <c r="N1095" s="16" t="n">
        <f aca="false">IF(I1095&gt;=5,1,IF(I1095=4,0.75,IF(I1095=3,0.5,IF(I1095=2,0.25,0))))*Scoring!$C$8</f>
        <v>1</v>
      </c>
      <c r="O1095" s="16" t="n">
        <f aca="false">IF(J1095="Yes",0,Scoring!$C$6)</f>
        <v>2</v>
      </c>
      <c r="P1095" s="16" t="n">
        <f aca="false">IF(L1095="Yes",0,Scoring!$C$7)</f>
        <v>0.5</v>
      </c>
      <c r="Q1095" s="8" t="n">
        <f aca="false">ROUND(SUM(M1095:P1095),2)</f>
        <v>6.1</v>
      </c>
      <c r="R1095" s="8" t="str">
        <f aca="false">IF(Q1095&gt;=Scoring!$C$10-0.000001,"Keep","Remove")</f>
        <v>Remove</v>
      </c>
      <c r="S1095" s="8" t="s">
        <v>7243</v>
      </c>
    </row>
    <row r="1096" customFormat="false" ht="15" hidden="false" customHeight="false" outlineLevel="0" collapsed="false">
      <c r="A1096" s="8" t="s">
        <v>6955</v>
      </c>
      <c r="B1096" s="8" t="s">
        <v>6956</v>
      </c>
      <c r="C1096" s="8" t="s">
        <v>5958</v>
      </c>
      <c r="D1096" s="8" t="s">
        <v>4923</v>
      </c>
      <c r="E1096" s="8"/>
      <c r="F1096" s="8" t="s">
        <v>93</v>
      </c>
      <c r="G1096" s="8" t="n">
        <v>2</v>
      </c>
      <c r="H1096" s="13" t="n">
        <v>3</v>
      </c>
      <c r="I1096" s="8" t="n">
        <v>3</v>
      </c>
      <c r="J1096" s="20" t="s">
        <v>259</v>
      </c>
      <c r="K1096" s="8"/>
      <c r="L1096" s="20" t="s">
        <v>259</v>
      </c>
      <c r="M1096" s="16" t="n">
        <f aca="false">H1096*Scoring!$C$5</f>
        <v>3.9</v>
      </c>
      <c r="N1096" s="16" t="n">
        <f aca="false">IF(I1096&gt;=5,1,IF(I1096=4,0.75,IF(I1096=3,0.5,IF(I1096=2,0.25,0))))*Scoring!$C$8</f>
        <v>0.5</v>
      </c>
      <c r="O1096" s="16" t="n">
        <f aca="false">IF(J1096="Yes",0,Scoring!$C$6)</f>
        <v>2</v>
      </c>
      <c r="P1096" s="16" t="n">
        <f aca="false">IF(L1096="Yes",0,Scoring!$C$7)</f>
        <v>0.5</v>
      </c>
      <c r="Q1096" s="8" t="n">
        <f aca="false">ROUND(SUM(M1096:P1096),2)</f>
        <v>6.9</v>
      </c>
      <c r="R1096" s="8" t="str">
        <f aca="false">IF(Q1096&gt;=Scoring!$C$10-0.000001,"Keep","Remove")</f>
        <v>Keep</v>
      </c>
      <c r="S1096" s="8" t="s">
        <v>166</v>
      </c>
    </row>
    <row r="1097" customFormat="false" ht="15" hidden="false" customHeight="false" outlineLevel="0" collapsed="false">
      <c r="A1097" s="8" t="s">
        <v>6960</v>
      </c>
      <c r="B1097" s="8" t="s">
        <v>6961</v>
      </c>
      <c r="C1097" s="8" t="s">
        <v>5958</v>
      </c>
      <c r="D1097" s="8" t="s">
        <v>5046</v>
      </c>
      <c r="E1097" s="8"/>
      <c r="F1097" s="8" t="s">
        <v>93</v>
      </c>
      <c r="G1097" s="8" t="n">
        <v>2</v>
      </c>
      <c r="H1097" s="13" t="n">
        <v>3</v>
      </c>
      <c r="I1097" s="8" t="n">
        <v>3</v>
      </c>
      <c r="J1097" s="20" t="s">
        <v>259</v>
      </c>
      <c r="K1097" s="8"/>
      <c r="L1097" s="20" t="s">
        <v>259</v>
      </c>
      <c r="M1097" s="16" t="n">
        <f aca="false">H1097*Scoring!$C$5</f>
        <v>3.9</v>
      </c>
      <c r="N1097" s="16" t="n">
        <f aca="false">IF(I1097&gt;=5,1,IF(I1097=4,0.75,IF(I1097=3,0.5,IF(I1097=2,0.25,0))))*Scoring!$C$8</f>
        <v>0.5</v>
      </c>
      <c r="O1097" s="16" t="n">
        <f aca="false">IF(J1097="Yes",0,Scoring!$C$6)</f>
        <v>2</v>
      </c>
      <c r="P1097" s="16" t="n">
        <f aca="false">IF(L1097="Yes",0,Scoring!$C$7)</f>
        <v>0.5</v>
      </c>
      <c r="Q1097" s="8" t="n">
        <f aca="false">ROUND(SUM(M1097:P1097),2)</f>
        <v>6.9</v>
      </c>
      <c r="R1097" s="8" t="str">
        <f aca="false">IF(Q1097&gt;=Scoring!$C$10-0.000001,"Keep","Remove")</f>
        <v>Keep</v>
      </c>
      <c r="S1097" s="8" t="s">
        <v>166</v>
      </c>
    </row>
    <row r="1098" customFormat="false" ht="15" hidden="false" customHeight="false" outlineLevel="0" collapsed="false">
      <c r="A1098" s="8" t="s">
        <v>8068</v>
      </c>
      <c r="B1098" s="8" t="s">
        <v>8069</v>
      </c>
      <c r="C1098" s="8" t="s">
        <v>5958</v>
      </c>
      <c r="D1098" s="8" t="s">
        <v>4448</v>
      </c>
      <c r="E1098" s="8"/>
      <c r="F1098" s="8" t="s">
        <v>93</v>
      </c>
      <c r="G1098" s="8" t="n">
        <v>3</v>
      </c>
      <c r="H1098" s="13" t="n">
        <v>2</v>
      </c>
      <c r="I1098" s="8" t="n">
        <v>2</v>
      </c>
      <c r="J1098" s="20" t="s">
        <v>259</v>
      </c>
      <c r="K1098" s="8"/>
      <c r="L1098" s="20" t="s">
        <v>259</v>
      </c>
      <c r="M1098" s="16" t="n">
        <f aca="false">H1098*Scoring!$C$5</f>
        <v>2.6</v>
      </c>
      <c r="N1098" s="16" t="n">
        <f aca="false">IF(I1098&gt;=5,1,IF(I1098=4,0.75,IF(I1098=3,0.5,IF(I1098=2,0.25,0))))*Scoring!$C$8</f>
        <v>0.25</v>
      </c>
      <c r="O1098" s="16" t="n">
        <f aca="false">IF(J1098="Yes",0,Scoring!$C$6)</f>
        <v>2</v>
      </c>
      <c r="P1098" s="16" t="n">
        <f aca="false">IF(L1098="Yes",0,Scoring!$C$7)</f>
        <v>0.5</v>
      </c>
      <c r="Q1098" s="8" t="n">
        <f aca="false">ROUND(SUM(M1098:P1098),2)</f>
        <v>5.35</v>
      </c>
      <c r="R1098" s="8" t="str">
        <f aca="false">IF(Q1098&gt;=Scoring!$C$10-0.000001,"Keep","Remove")</f>
        <v>Remove</v>
      </c>
      <c r="S1098" s="8" t="s">
        <v>7243</v>
      </c>
    </row>
    <row r="1099" customFormat="false" ht="15" hidden="false" customHeight="false" outlineLevel="0" collapsed="false">
      <c r="A1099" s="8" t="s">
        <v>6969</v>
      </c>
      <c r="B1099" s="8" t="s">
        <v>6970</v>
      </c>
      <c r="C1099" s="8" t="s">
        <v>5958</v>
      </c>
      <c r="D1099" s="8" t="s">
        <v>5405</v>
      </c>
      <c r="E1099" s="8"/>
      <c r="F1099" s="8" t="s">
        <v>93</v>
      </c>
      <c r="G1099" s="8" t="n">
        <v>2</v>
      </c>
      <c r="H1099" s="13" t="n">
        <v>3</v>
      </c>
      <c r="I1099" s="8" t="n">
        <v>4</v>
      </c>
      <c r="J1099" s="20" t="s">
        <v>259</v>
      </c>
      <c r="K1099" s="8"/>
      <c r="L1099" s="20" t="s">
        <v>259</v>
      </c>
      <c r="M1099" s="16" t="n">
        <f aca="false">H1099*Scoring!$C$5</f>
        <v>3.9</v>
      </c>
      <c r="N1099" s="16" t="n">
        <f aca="false">IF(I1099&gt;=5,1,IF(I1099=4,0.75,IF(I1099=3,0.5,IF(I1099=2,0.25,0))))*Scoring!$C$8</f>
        <v>0.75</v>
      </c>
      <c r="O1099" s="16" t="n">
        <f aca="false">IF(J1099="Yes",0,Scoring!$C$6)</f>
        <v>2</v>
      </c>
      <c r="P1099" s="16" t="n">
        <f aca="false">IF(L1099="Yes",0,Scoring!$C$7)</f>
        <v>0.5</v>
      </c>
      <c r="Q1099" s="8" t="n">
        <f aca="false">ROUND(SUM(M1099:P1099),2)</f>
        <v>7.15</v>
      </c>
      <c r="R1099" s="8" t="str">
        <f aca="false">IF(Q1099&gt;=Scoring!$C$10-0.000001,"Keep","Remove")</f>
        <v>Keep</v>
      </c>
      <c r="S1099" s="8" t="s">
        <v>166</v>
      </c>
    </row>
    <row r="1100" customFormat="false" ht="15" hidden="false" customHeight="false" outlineLevel="0" collapsed="false">
      <c r="A1100" s="8" t="s">
        <v>8111</v>
      </c>
      <c r="B1100" s="8" t="s">
        <v>8112</v>
      </c>
      <c r="C1100" s="8" t="s">
        <v>5958</v>
      </c>
      <c r="D1100" s="8" t="s">
        <v>5405</v>
      </c>
      <c r="E1100" s="8"/>
      <c r="F1100" s="8" t="s">
        <v>93</v>
      </c>
      <c r="G1100" s="8" t="n">
        <v>3</v>
      </c>
      <c r="H1100" s="13" t="n">
        <v>2</v>
      </c>
      <c r="I1100" s="8" t="n">
        <v>3</v>
      </c>
      <c r="J1100" s="20" t="s">
        <v>218</v>
      </c>
      <c r="K1100" s="8" t="s">
        <v>8195</v>
      </c>
      <c r="L1100" s="20" t="s">
        <v>259</v>
      </c>
      <c r="M1100" s="16" t="n">
        <f aca="false">H1100*Scoring!$C$5</f>
        <v>2.6</v>
      </c>
      <c r="N1100" s="16" t="n">
        <f aca="false">IF(I1100&gt;=5,1,IF(I1100=4,0.75,IF(I1100=3,0.5,IF(I1100=2,0.25,0))))*Scoring!$C$8</f>
        <v>0.5</v>
      </c>
      <c r="O1100" s="16" t="n">
        <f aca="false">IF(J1100="Yes",0,Scoring!$C$6)</f>
        <v>0</v>
      </c>
      <c r="P1100" s="16" t="n">
        <f aca="false">IF(L1100="Yes",0,Scoring!$C$7)</f>
        <v>0.5</v>
      </c>
      <c r="Q1100" s="8" t="n">
        <f aca="false">ROUND(SUM(M1100:P1100),2)</f>
        <v>3.6</v>
      </c>
      <c r="R1100" s="8" t="str">
        <f aca="false">IF(Q1100&gt;=Scoring!$C$10-0.000001,"Keep","Remove")</f>
        <v>Remove</v>
      </c>
      <c r="S1100" s="8" t="s">
        <v>8113</v>
      </c>
    </row>
    <row r="1101" customFormat="false" ht="15" hidden="false" customHeight="false" outlineLevel="0" collapsed="false">
      <c r="A1101" s="8" t="s">
        <v>8029</v>
      </c>
      <c r="B1101" s="8" t="s">
        <v>8030</v>
      </c>
      <c r="C1101" s="8" t="s">
        <v>5958</v>
      </c>
      <c r="D1101" s="8" t="s">
        <v>7583</v>
      </c>
      <c r="E1101" s="8"/>
      <c r="F1101" s="8" t="s">
        <v>93</v>
      </c>
      <c r="G1101" s="8" t="n">
        <v>3</v>
      </c>
      <c r="H1101" s="13" t="n">
        <v>2</v>
      </c>
      <c r="I1101" s="8" t="n">
        <v>3</v>
      </c>
      <c r="J1101" s="20" t="s">
        <v>259</v>
      </c>
      <c r="K1101" s="8"/>
      <c r="L1101" s="20" t="s">
        <v>259</v>
      </c>
      <c r="M1101" s="16" t="n">
        <f aca="false">H1101*Scoring!$C$5</f>
        <v>2.6</v>
      </c>
      <c r="N1101" s="16" t="n">
        <f aca="false">IF(I1101&gt;=5,1,IF(I1101=4,0.75,IF(I1101=3,0.5,IF(I1101=2,0.25,0))))*Scoring!$C$8</f>
        <v>0.5</v>
      </c>
      <c r="O1101" s="16" t="n">
        <f aca="false">IF(J1101="Yes",0,Scoring!$C$6)</f>
        <v>2</v>
      </c>
      <c r="P1101" s="16" t="n">
        <f aca="false">IF(L1101="Yes",0,Scoring!$C$7)</f>
        <v>0.5</v>
      </c>
      <c r="Q1101" s="8" t="n">
        <f aca="false">ROUND(SUM(M1101:P1101),2)</f>
        <v>5.6</v>
      </c>
      <c r="R1101" s="8" t="str">
        <f aca="false">IF(Q1101&gt;=Scoring!$C$10-0.000001,"Keep","Remove")</f>
        <v>Remove</v>
      </c>
      <c r="S1101" s="8" t="s">
        <v>7243</v>
      </c>
    </row>
    <row r="1102" customFormat="false" ht="15" hidden="false" customHeight="false" outlineLevel="0" collapsed="false">
      <c r="A1102" s="8" t="s">
        <v>8085</v>
      </c>
      <c r="B1102" s="8" t="s">
        <v>8086</v>
      </c>
      <c r="C1102" s="8" t="s">
        <v>5958</v>
      </c>
      <c r="D1102" s="8" t="s">
        <v>3309</v>
      </c>
      <c r="E1102" s="8"/>
      <c r="F1102" s="8" t="s">
        <v>93</v>
      </c>
      <c r="G1102" s="8" t="n">
        <v>3</v>
      </c>
      <c r="H1102" s="13" t="n">
        <v>2</v>
      </c>
      <c r="I1102" s="8" t="n">
        <v>1</v>
      </c>
      <c r="J1102" s="20" t="s">
        <v>259</v>
      </c>
      <c r="K1102" s="8"/>
      <c r="L1102" s="20" t="s">
        <v>259</v>
      </c>
      <c r="M1102" s="16" t="n">
        <f aca="false">H1102*Scoring!$C$5</f>
        <v>2.6</v>
      </c>
      <c r="N1102" s="16" t="n">
        <f aca="false">IF(I1102&gt;=5,1,IF(I1102=4,0.75,IF(I1102=3,0.5,IF(I1102=2,0.25,0))))*Scoring!$C$8</f>
        <v>0</v>
      </c>
      <c r="O1102" s="16" t="n">
        <f aca="false">IF(J1102="Yes",0,Scoring!$C$6)</f>
        <v>2</v>
      </c>
      <c r="P1102" s="16" t="n">
        <f aca="false">IF(L1102="Yes",0,Scoring!$C$7)</f>
        <v>0.5</v>
      </c>
      <c r="Q1102" s="8" t="n">
        <f aca="false">ROUND(SUM(M1102:P1102),2)</f>
        <v>5.1</v>
      </c>
      <c r="R1102" s="8" t="str">
        <f aca="false">IF(Q1102&gt;=Scoring!$C$10-0.000001,"Keep","Remove")</f>
        <v>Remove</v>
      </c>
      <c r="S1102" s="8" t="s">
        <v>7243</v>
      </c>
    </row>
    <row r="1103" customFormat="false" ht="15" hidden="false" customHeight="false" outlineLevel="0" collapsed="false">
      <c r="A1103" s="8" t="s">
        <v>8031</v>
      </c>
      <c r="B1103" s="8" t="s">
        <v>8032</v>
      </c>
      <c r="C1103" s="8" t="s">
        <v>5958</v>
      </c>
      <c r="D1103" s="8" t="s">
        <v>3137</v>
      </c>
      <c r="E1103" s="8"/>
      <c r="F1103" s="8" t="s">
        <v>93</v>
      </c>
      <c r="G1103" s="8" t="n">
        <v>3</v>
      </c>
      <c r="H1103" s="13" t="n">
        <v>2</v>
      </c>
      <c r="I1103" s="8" t="n">
        <v>3</v>
      </c>
      <c r="J1103" s="20" t="s">
        <v>259</v>
      </c>
      <c r="K1103" s="8"/>
      <c r="L1103" s="20" t="s">
        <v>259</v>
      </c>
      <c r="M1103" s="16" t="n">
        <f aca="false">H1103*Scoring!$C$5</f>
        <v>2.6</v>
      </c>
      <c r="N1103" s="16" t="n">
        <f aca="false">IF(I1103&gt;=5,1,IF(I1103=4,0.75,IF(I1103=3,0.5,IF(I1103=2,0.25,0))))*Scoring!$C$8</f>
        <v>0.5</v>
      </c>
      <c r="O1103" s="16" t="n">
        <f aca="false">IF(J1103="Yes",0,Scoring!$C$6)</f>
        <v>2</v>
      </c>
      <c r="P1103" s="16" t="n">
        <f aca="false">IF(L1103="Yes",0,Scoring!$C$7)</f>
        <v>0.5</v>
      </c>
      <c r="Q1103" s="8" t="n">
        <f aca="false">ROUND(SUM(M1103:P1103),2)</f>
        <v>5.6</v>
      </c>
      <c r="R1103" s="8" t="str">
        <f aca="false">IF(Q1103&gt;=Scoring!$C$10-0.000001,"Keep","Remove")</f>
        <v>Remove</v>
      </c>
      <c r="S1103" s="8" t="s">
        <v>7243</v>
      </c>
    </row>
    <row r="1104" customFormat="false" ht="15" hidden="false" customHeight="false" outlineLevel="0" collapsed="false">
      <c r="A1104" s="8" t="s">
        <v>8070</v>
      </c>
      <c r="B1104" s="8" t="s">
        <v>8071</v>
      </c>
      <c r="C1104" s="8" t="s">
        <v>5958</v>
      </c>
      <c r="D1104" s="8" t="s">
        <v>3653</v>
      </c>
      <c r="E1104" s="8"/>
      <c r="F1104" s="8" t="s">
        <v>93</v>
      </c>
      <c r="G1104" s="8" t="n">
        <v>3</v>
      </c>
      <c r="H1104" s="13" t="n">
        <v>2</v>
      </c>
      <c r="I1104" s="8" t="n">
        <v>2</v>
      </c>
      <c r="J1104" s="20" t="s">
        <v>259</v>
      </c>
      <c r="K1104" s="8"/>
      <c r="L1104" s="20" t="s">
        <v>259</v>
      </c>
      <c r="M1104" s="16" t="n">
        <f aca="false">H1104*Scoring!$C$5</f>
        <v>2.6</v>
      </c>
      <c r="N1104" s="16" t="n">
        <f aca="false">IF(I1104&gt;=5,1,IF(I1104=4,0.75,IF(I1104=3,0.5,IF(I1104=2,0.25,0))))*Scoring!$C$8</f>
        <v>0.25</v>
      </c>
      <c r="O1104" s="16" t="n">
        <f aca="false">IF(J1104="Yes",0,Scoring!$C$6)</f>
        <v>2</v>
      </c>
      <c r="P1104" s="16" t="n">
        <f aca="false">IF(L1104="Yes",0,Scoring!$C$7)</f>
        <v>0.5</v>
      </c>
      <c r="Q1104" s="8" t="n">
        <f aca="false">ROUND(SUM(M1104:P1104),2)</f>
        <v>5.35</v>
      </c>
      <c r="R1104" s="8" t="str">
        <f aca="false">IF(Q1104&gt;=Scoring!$C$10-0.000001,"Keep","Remove")</f>
        <v>Remove</v>
      </c>
      <c r="S1104" s="8" t="s">
        <v>7243</v>
      </c>
    </row>
    <row r="1105" customFormat="false" ht="15" hidden="false" customHeight="false" outlineLevel="0" collapsed="false">
      <c r="A1105" s="8" t="s">
        <v>8033</v>
      </c>
      <c r="B1105" s="8" t="s">
        <v>8034</v>
      </c>
      <c r="C1105" s="8" t="s">
        <v>5958</v>
      </c>
      <c r="D1105" s="8" t="s">
        <v>3653</v>
      </c>
      <c r="E1105" s="8"/>
      <c r="F1105" s="8" t="s">
        <v>93</v>
      </c>
      <c r="G1105" s="8" t="n">
        <v>3</v>
      </c>
      <c r="H1105" s="13" t="n">
        <v>2</v>
      </c>
      <c r="I1105" s="8" t="n">
        <v>3</v>
      </c>
      <c r="J1105" s="20" t="s">
        <v>259</v>
      </c>
      <c r="K1105" s="8"/>
      <c r="L1105" s="20" t="s">
        <v>259</v>
      </c>
      <c r="M1105" s="16" t="n">
        <f aca="false">H1105*Scoring!$C$5</f>
        <v>2.6</v>
      </c>
      <c r="N1105" s="16" t="n">
        <f aca="false">IF(I1105&gt;=5,1,IF(I1105=4,0.75,IF(I1105=3,0.5,IF(I1105=2,0.25,0))))*Scoring!$C$8</f>
        <v>0.5</v>
      </c>
      <c r="O1105" s="16" t="n">
        <f aca="false">IF(J1105="Yes",0,Scoring!$C$6)</f>
        <v>2</v>
      </c>
      <c r="P1105" s="16" t="n">
        <f aca="false">IF(L1105="Yes",0,Scoring!$C$7)</f>
        <v>0.5</v>
      </c>
      <c r="Q1105" s="8" t="n">
        <f aca="false">ROUND(SUM(M1105:P1105),2)</f>
        <v>5.6</v>
      </c>
      <c r="R1105" s="8" t="str">
        <f aca="false">IF(Q1105&gt;=Scoring!$C$10-0.000001,"Keep","Remove")</f>
        <v>Remove</v>
      </c>
      <c r="S1105" s="8" t="s">
        <v>7243</v>
      </c>
    </row>
    <row r="1106" customFormat="false" ht="15" hidden="false" customHeight="false" outlineLevel="0" collapsed="false">
      <c r="A1106" s="8" t="s">
        <v>6976</v>
      </c>
      <c r="B1106" s="8" t="s">
        <v>6977</v>
      </c>
      <c r="C1106" s="8" t="s">
        <v>5958</v>
      </c>
      <c r="D1106" s="8" t="s">
        <v>5478</v>
      </c>
      <c r="E1106" s="8"/>
      <c r="F1106" s="8" t="s">
        <v>93</v>
      </c>
      <c r="G1106" s="8" t="n">
        <v>2</v>
      </c>
      <c r="H1106" s="13" t="n">
        <v>3</v>
      </c>
      <c r="I1106" s="8" t="n">
        <v>3</v>
      </c>
      <c r="J1106" s="20" t="s">
        <v>259</v>
      </c>
      <c r="K1106" s="8"/>
      <c r="L1106" s="20" t="s">
        <v>259</v>
      </c>
      <c r="M1106" s="16" t="n">
        <f aca="false">H1106*Scoring!$C$5</f>
        <v>3.9</v>
      </c>
      <c r="N1106" s="16" t="n">
        <f aca="false">IF(I1106&gt;=5,1,IF(I1106=4,0.75,IF(I1106=3,0.5,IF(I1106=2,0.25,0))))*Scoring!$C$8</f>
        <v>0.5</v>
      </c>
      <c r="O1106" s="16" t="n">
        <f aca="false">IF(J1106="Yes",0,Scoring!$C$6)</f>
        <v>2</v>
      </c>
      <c r="P1106" s="16" t="n">
        <f aca="false">IF(L1106="Yes",0,Scoring!$C$7)</f>
        <v>0.5</v>
      </c>
      <c r="Q1106" s="8" t="n">
        <f aca="false">ROUND(SUM(M1106:P1106),2)</f>
        <v>6.9</v>
      </c>
      <c r="R1106" s="8" t="str">
        <f aca="false">IF(Q1106&gt;=Scoring!$C$10-0.000001,"Keep","Remove")</f>
        <v>Keep</v>
      </c>
      <c r="S1106" s="8" t="s">
        <v>166</v>
      </c>
    </row>
    <row r="1107" customFormat="false" ht="15" hidden="false" customHeight="false" outlineLevel="0" collapsed="false">
      <c r="A1107" s="8" t="s">
        <v>8035</v>
      </c>
      <c r="B1107" s="8" t="s">
        <v>8036</v>
      </c>
      <c r="C1107" s="8" t="s">
        <v>5958</v>
      </c>
      <c r="D1107" s="8" t="s">
        <v>5446</v>
      </c>
      <c r="E1107" s="8"/>
      <c r="F1107" s="8" t="s">
        <v>93</v>
      </c>
      <c r="G1107" s="8" t="n">
        <v>3</v>
      </c>
      <c r="H1107" s="13" t="n">
        <v>2</v>
      </c>
      <c r="I1107" s="8" t="n">
        <v>3</v>
      </c>
      <c r="J1107" s="20" t="s">
        <v>259</v>
      </c>
      <c r="K1107" s="8"/>
      <c r="L1107" s="20" t="s">
        <v>259</v>
      </c>
      <c r="M1107" s="16" t="n">
        <f aca="false">H1107*Scoring!$C$5</f>
        <v>2.6</v>
      </c>
      <c r="N1107" s="16" t="n">
        <f aca="false">IF(I1107&gt;=5,1,IF(I1107=4,0.75,IF(I1107=3,0.5,IF(I1107=2,0.25,0))))*Scoring!$C$8</f>
        <v>0.5</v>
      </c>
      <c r="O1107" s="16" t="n">
        <f aca="false">IF(J1107="Yes",0,Scoring!$C$6)</f>
        <v>2</v>
      </c>
      <c r="P1107" s="16" t="n">
        <f aca="false">IF(L1107="Yes",0,Scoring!$C$7)</f>
        <v>0.5</v>
      </c>
      <c r="Q1107" s="8" t="n">
        <f aca="false">ROUND(SUM(M1107:P1107),2)</f>
        <v>5.6</v>
      </c>
      <c r="R1107" s="8" t="str">
        <f aca="false">IF(Q1107&gt;=Scoring!$C$10-0.000001,"Keep","Remove")</f>
        <v>Remove</v>
      </c>
      <c r="S1107" s="8" t="s">
        <v>7243</v>
      </c>
    </row>
    <row r="1108" customFormat="false" ht="15" hidden="false" customHeight="false" outlineLevel="0" collapsed="false">
      <c r="A1108" s="8" t="s">
        <v>6984</v>
      </c>
      <c r="B1108" s="8" t="s">
        <v>6985</v>
      </c>
      <c r="C1108" s="8" t="s">
        <v>5958</v>
      </c>
      <c r="D1108" s="8" t="s">
        <v>5446</v>
      </c>
      <c r="E1108" s="8"/>
      <c r="F1108" s="8" t="s">
        <v>93</v>
      </c>
      <c r="G1108" s="8" t="n">
        <v>2</v>
      </c>
      <c r="H1108" s="13" t="n">
        <v>3</v>
      </c>
      <c r="I1108" s="8" t="n">
        <v>5</v>
      </c>
      <c r="J1108" s="20" t="s">
        <v>259</v>
      </c>
      <c r="K1108" s="8"/>
      <c r="L1108" s="20" t="s">
        <v>259</v>
      </c>
      <c r="M1108" s="16" t="n">
        <f aca="false">H1108*Scoring!$C$5</f>
        <v>3.9</v>
      </c>
      <c r="N1108" s="16" t="n">
        <f aca="false">IF(I1108&gt;=5,1,IF(I1108=4,0.75,IF(I1108=3,0.5,IF(I1108=2,0.25,0))))*Scoring!$C$8</f>
        <v>1</v>
      </c>
      <c r="O1108" s="16" t="n">
        <f aca="false">IF(J1108="Yes",0,Scoring!$C$6)</f>
        <v>2</v>
      </c>
      <c r="P1108" s="16" t="n">
        <f aca="false">IF(L1108="Yes",0,Scoring!$C$7)</f>
        <v>0.5</v>
      </c>
      <c r="Q1108" s="8" t="n">
        <f aca="false">ROUND(SUM(M1108:P1108),2)</f>
        <v>7.4</v>
      </c>
      <c r="R1108" s="8" t="str">
        <f aca="false">IF(Q1108&gt;=Scoring!$C$10-0.000001,"Keep","Remove")</f>
        <v>Keep</v>
      </c>
      <c r="S1108" s="8" t="s">
        <v>166</v>
      </c>
    </row>
    <row r="1109" customFormat="false" ht="15" hidden="false" customHeight="false" outlineLevel="0" collapsed="false">
      <c r="A1109" s="8" t="s">
        <v>8037</v>
      </c>
      <c r="B1109" s="8" t="s">
        <v>8038</v>
      </c>
      <c r="C1109" s="8" t="s">
        <v>5958</v>
      </c>
      <c r="D1109" s="8" t="s">
        <v>7393</v>
      </c>
      <c r="E1109" s="8"/>
      <c r="F1109" s="8" t="s">
        <v>93</v>
      </c>
      <c r="G1109" s="8" t="n">
        <v>3</v>
      </c>
      <c r="H1109" s="13" t="n">
        <v>2</v>
      </c>
      <c r="I1109" s="8" t="n">
        <v>3</v>
      </c>
      <c r="J1109" s="20" t="s">
        <v>259</v>
      </c>
      <c r="K1109" s="8"/>
      <c r="L1109" s="20" t="s">
        <v>259</v>
      </c>
      <c r="M1109" s="16" t="n">
        <f aca="false">H1109*Scoring!$C$5</f>
        <v>2.6</v>
      </c>
      <c r="N1109" s="16" t="n">
        <f aca="false">IF(I1109&gt;=5,1,IF(I1109=4,0.75,IF(I1109=3,0.5,IF(I1109=2,0.25,0))))*Scoring!$C$8</f>
        <v>0.5</v>
      </c>
      <c r="O1109" s="16" t="n">
        <f aca="false">IF(J1109="Yes",0,Scoring!$C$6)</f>
        <v>2</v>
      </c>
      <c r="P1109" s="16" t="n">
        <f aca="false">IF(L1109="Yes",0,Scoring!$C$7)</f>
        <v>0.5</v>
      </c>
      <c r="Q1109" s="8" t="n">
        <f aca="false">ROUND(SUM(M1109:P1109),2)</f>
        <v>5.6</v>
      </c>
      <c r="R1109" s="8" t="str">
        <f aca="false">IF(Q1109&gt;=Scoring!$C$10-0.000001,"Keep","Remove")</f>
        <v>Remove</v>
      </c>
      <c r="S1109" s="8" t="s">
        <v>7243</v>
      </c>
    </row>
    <row r="1110" customFormat="false" ht="15" hidden="false" customHeight="false" outlineLevel="0" collapsed="false">
      <c r="A1110" s="8" t="s">
        <v>7932</v>
      </c>
      <c r="B1110" s="8" t="s">
        <v>7933</v>
      </c>
      <c r="C1110" s="8" t="s">
        <v>5958</v>
      </c>
      <c r="D1110" s="8" t="s">
        <v>5609</v>
      </c>
      <c r="E1110" s="8"/>
      <c r="F1110" s="8" t="s">
        <v>93</v>
      </c>
      <c r="G1110" s="8" t="n">
        <v>3</v>
      </c>
      <c r="H1110" s="13" t="n">
        <v>2</v>
      </c>
      <c r="I1110" s="8" t="n">
        <v>5</v>
      </c>
      <c r="J1110" s="20" t="s">
        <v>259</v>
      </c>
      <c r="K1110" s="8"/>
      <c r="L1110" s="20" t="s">
        <v>259</v>
      </c>
      <c r="M1110" s="16" t="n">
        <f aca="false">H1110*Scoring!$C$5</f>
        <v>2.6</v>
      </c>
      <c r="N1110" s="16" t="n">
        <f aca="false">IF(I1110&gt;=5,1,IF(I1110=4,0.75,IF(I1110=3,0.5,IF(I1110=2,0.25,0))))*Scoring!$C$8</f>
        <v>1</v>
      </c>
      <c r="O1110" s="16" t="n">
        <f aca="false">IF(J1110="Yes",0,Scoring!$C$6)</f>
        <v>2</v>
      </c>
      <c r="P1110" s="16" t="n">
        <f aca="false">IF(L1110="Yes",0,Scoring!$C$7)</f>
        <v>0.5</v>
      </c>
      <c r="Q1110" s="8" t="n">
        <f aca="false">ROUND(SUM(M1110:P1110),2)</f>
        <v>6.1</v>
      </c>
      <c r="R1110" s="8" t="str">
        <f aca="false">IF(Q1110&gt;=Scoring!$C$10-0.000001,"Keep","Remove")</f>
        <v>Remove</v>
      </c>
      <c r="S1110" s="8" t="s">
        <v>7243</v>
      </c>
    </row>
    <row r="1111" customFormat="false" ht="15" hidden="false" customHeight="false" outlineLevel="0" collapsed="false">
      <c r="A1111" s="8" t="s">
        <v>8072</v>
      </c>
      <c r="B1111" s="8" t="s">
        <v>8073</v>
      </c>
      <c r="C1111" s="8" t="s">
        <v>5958</v>
      </c>
      <c r="D1111" s="8" t="s">
        <v>5621</v>
      </c>
      <c r="E1111" s="8"/>
      <c r="F1111" s="8" t="s">
        <v>93</v>
      </c>
      <c r="G1111" s="8" t="n">
        <v>3</v>
      </c>
      <c r="H1111" s="13" t="n">
        <v>2</v>
      </c>
      <c r="I1111" s="8" t="n">
        <v>2</v>
      </c>
      <c r="J1111" s="20" t="s">
        <v>259</v>
      </c>
      <c r="K1111" s="8"/>
      <c r="L1111" s="20" t="s">
        <v>259</v>
      </c>
      <c r="M1111" s="16" t="n">
        <f aca="false">H1111*Scoring!$C$5</f>
        <v>2.6</v>
      </c>
      <c r="N1111" s="16" t="n">
        <f aca="false">IF(I1111&gt;=5,1,IF(I1111=4,0.75,IF(I1111=3,0.5,IF(I1111=2,0.25,0))))*Scoring!$C$8</f>
        <v>0.25</v>
      </c>
      <c r="O1111" s="16" t="n">
        <f aca="false">IF(J1111="Yes",0,Scoring!$C$6)</f>
        <v>2</v>
      </c>
      <c r="P1111" s="16" t="n">
        <f aca="false">IF(L1111="Yes",0,Scoring!$C$7)</f>
        <v>0.5</v>
      </c>
      <c r="Q1111" s="8" t="n">
        <f aca="false">ROUND(SUM(M1111:P1111),2)</f>
        <v>5.35</v>
      </c>
      <c r="R1111" s="8" t="str">
        <f aca="false">IF(Q1111&gt;=Scoring!$C$10-0.000001,"Keep","Remove")</f>
        <v>Remove</v>
      </c>
      <c r="S1111" s="8" t="s">
        <v>7243</v>
      </c>
    </row>
    <row r="1112" customFormat="false" ht="15" hidden="false" customHeight="false" outlineLevel="0" collapsed="false">
      <c r="A1112" s="8" t="s">
        <v>6992</v>
      </c>
      <c r="B1112" s="8" t="s">
        <v>6993</v>
      </c>
      <c r="C1112" s="8" t="s">
        <v>5958</v>
      </c>
      <c r="D1112" s="8" t="s">
        <v>5687</v>
      </c>
      <c r="E1112" s="8"/>
      <c r="F1112" s="8" t="s">
        <v>93</v>
      </c>
      <c r="G1112" s="8" t="n">
        <v>2</v>
      </c>
      <c r="H1112" s="13" t="n">
        <v>3</v>
      </c>
      <c r="I1112" s="8" t="n">
        <v>3</v>
      </c>
      <c r="J1112" s="20" t="s">
        <v>259</v>
      </c>
      <c r="K1112" s="8"/>
      <c r="L1112" s="20" t="s">
        <v>259</v>
      </c>
      <c r="M1112" s="16" t="n">
        <f aca="false">H1112*Scoring!$C$5</f>
        <v>3.9</v>
      </c>
      <c r="N1112" s="16" t="n">
        <f aca="false">IF(I1112&gt;=5,1,IF(I1112=4,0.75,IF(I1112=3,0.5,IF(I1112=2,0.25,0))))*Scoring!$C$8</f>
        <v>0.5</v>
      </c>
      <c r="O1112" s="16" t="n">
        <f aca="false">IF(J1112="Yes",0,Scoring!$C$6)</f>
        <v>2</v>
      </c>
      <c r="P1112" s="16" t="n">
        <f aca="false">IF(L1112="Yes",0,Scoring!$C$7)</f>
        <v>0.5</v>
      </c>
      <c r="Q1112" s="8" t="n">
        <f aca="false">ROUND(SUM(M1112:P1112),2)</f>
        <v>6.9</v>
      </c>
      <c r="R1112" s="8" t="str">
        <f aca="false">IF(Q1112&gt;=Scoring!$C$10-0.000001,"Keep","Remove")</f>
        <v>Keep</v>
      </c>
      <c r="S1112" s="8" t="s">
        <v>166</v>
      </c>
    </row>
    <row r="1113" customFormat="false" ht="15" hidden="false" customHeight="false" outlineLevel="0" collapsed="false">
      <c r="A1113" s="8" t="s">
        <v>8074</v>
      </c>
      <c r="B1113" s="8" t="s">
        <v>8075</v>
      </c>
      <c r="C1113" s="8" t="s">
        <v>5958</v>
      </c>
      <c r="D1113" s="8" t="s">
        <v>8076</v>
      </c>
      <c r="E1113" s="8"/>
      <c r="F1113" s="8" t="s">
        <v>93</v>
      </c>
      <c r="G1113" s="8" t="n">
        <v>3</v>
      </c>
      <c r="H1113" s="13" t="n">
        <v>2</v>
      </c>
      <c r="I1113" s="8" t="n">
        <v>2</v>
      </c>
      <c r="J1113" s="20" t="s">
        <v>259</v>
      </c>
      <c r="K1113" s="8"/>
      <c r="L1113" s="20" t="s">
        <v>259</v>
      </c>
      <c r="M1113" s="16" t="n">
        <f aca="false">H1113*Scoring!$C$5</f>
        <v>2.6</v>
      </c>
      <c r="N1113" s="16" t="n">
        <f aca="false">IF(I1113&gt;=5,1,IF(I1113=4,0.75,IF(I1113=3,0.5,IF(I1113=2,0.25,0))))*Scoring!$C$8</f>
        <v>0.25</v>
      </c>
      <c r="O1113" s="16" t="n">
        <f aca="false">IF(J1113="Yes",0,Scoring!$C$6)</f>
        <v>2</v>
      </c>
      <c r="P1113" s="16" t="n">
        <f aca="false">IF(L1113="Yes",0,Scoring!$C$7)</f>
        <v>0.5</v>
      </c>
      <c r="Q1113" s="8" t="n">
        <f aca="false">ROUND(SUM(M1113:P1113),2)</f>
        <v>5.35</v>
      </c>
      <c r="R1113" s="8" t="str">
        <f aca="false">IF(Q1113&gt;=Scoring!$C$10-0.000001,"Keep","Remove")</f>
        <v>Remove</v>
      </c>
      <c r="S1113" s="8" t="s">
        <v>7243</v>
      </c>
    </row>
    <row r="1114" customFormat="false" ht="15" hidden="false" customHeight="false" outlineLevel="0" collapsed="false">
      <c r="A1114" s="8" t="s">
        <v>7983</v>
      </c>
      <c r="B1114" s="8" t="s">
        <v>7984</v>
      </c>
      <c r="C1114" s="8" t="s">
        <v>5958</v>
      </c>
      <c r="D1114" s="8" t="s">
        <v>3508</v>
      </c>
      <c r="E1114" s="8"/>
      <c r="F1114" s="8" t="s">
        <v>93</v>
      </c>
      <c r="G1114" s="8" t="n">
        <v>3</v>
      </c>
      <c r="H1114" s="13" t="n">
        <v>2</v>
      </c>
      <c r="I1114" s="8" t="n">
        <v>4</v>
      </c>
      <c r="J1114" s="20" t="s">
        <v>259</v>
      </c>
      <c r="K1114" s="8"/>
      <c r="L1114" s="20" t="s">
        <v>259</v>
      </c>
      <c r="M1114" s="16" t="n">
        <f aca="false">H1114*Scoring!$C$5</f>
        <v>2.6</v>
      </c>
      <c r="N1114" s="16" t="n">
        <f aca="false">IF(I1114&gt;=5,1,IF(I1114=4,0.75,IF(I1114=3,0.5,IF(I1114=2,0.25,0))))*Scoring!$C$8</f>
        <v>0.75</v>
      </c>
      <c r="O1114" s="16" t="n">
        <f aca="false">IF(J1114="Yes",0,Scoring!$C$6)</f>
        <v>2</v>
      </c>
      <c r="P1114" s="16" t="n">
        <f aca="false">IF(L1114="Yes",0,Scoring!$C$7)</f>
        <v>0.5</v>
      </c>
      <c r="Q1114" s="8" t="n">
        <f aca="false">ROUND(SUM(M1114:P1114),2)</f>
        <v>5.85</v>
      </c>
      <c r="R1114" s="8" t="str">
        <f aca="false">IF(Q1114&gt;=Scoring!$C$10-0.000001,"Keep","Remove")</f>
        <v>Remove</v>
      </c>
      <c r="S1114" s="8" t="s">
        <v>7243</v>
      </c>
    </row>
    <row r="1115" customFormat="false" ht="15" hidden="false" customHeight="false" outlineLevel="0" collapsed="false">
      <c r="A1115" s="8" t="s">
        <v>7000</v>
      </c>
      <c r="B1115" s="8" t="s">
        <v>7001</v>
      </c>
      <c r="C1115" s="8" t="s">
        <v>5958</v>
      </c>
      <c r="D1115" s="8" t="s">
        <v>3508</v>
      </c>
      <c r="E1115" s="8"/>
      <c r="F1115" s="8" t="s">
        <v>93</v>
      </c>
      <c r="G1115" s="8" t="n">
        <v>2</v>
      </c>
      <c r="H1115" s="13" t="n">
        <v>3</v>
      </c>
      <c r="I1115" s="8" t="n">
        <v>4</v>
      </c>
      <c r="J1115" s="20" t="s">
        <v>259</v>
      </c>
      <c r="K1115" s="8"/>
      <c r="L1115" s="20" t="s">
        <v>259</v>
      </c>
      <c r="M1115" s="16" t="n">
        <f aca="false">H1115*Scoring!$C$5</f>
        <v>3.9</v>
      </c>
      <c r="N1115" s="16" t="n">
        <f aca="false">IF(I1115&gt;=5,1,IF(I1115=4,0.75,IF(I1115=3,0.5,IF(I1115=2,0.25,0))))*Scoring!$C$8</f>
        <v>0.75</v>
      </c>
      <c r="O1115" s="16" t="n">
        <f aca="false">IF(J1115="Yes",0,Scoring!$C$6)</f>
        <v>2</v>
      </c>
      <c r="P1115" s="16" t="n">
        <f aca="false">IF(L1115="Yes",0,Scoring!$C$7)</f>
        <v>0.5</v>
      </c>
      <c r="Q1115" s="8" t="n">
        <f aca="false">ROUND(SUM(M1115:P1115),2)</f>
        <v>7.15</v>
      </c>
      <c r="R1115" s="8" t="str">
        <f aca="false">IF(Q1115&gt;=Scoring!$C$10-0.000001,"Keep","Remove")</f>
        <v>Keep</v>
      </c>
      <c r="S1115" s="8" t="s">
        <v>166</v>
      </c>
    </row>
    <row r="1116" customFormat="false" ht="15" hidden="false" customHeight="false" outlineLevel="0" collapsed="false">
      <c r="A1116" s="8" t="s">
        <v>7934</v>
      </c>
      <c r="B1116" s="8" t="s">
        <v>7935</v>
      </c>
      <c r="C1116" s="8" t="s">
        <v>5958</v>
      </c>
      <c r="D1116" s="8" t="s">
        <v>3547</v>
      </c>
      <c r="E1116" s="8"/>
      <c r="F1116" s="8" t="s">
        <v>93</v>
      </c>
      <c r="G1116" s="8" t="n">
        <v>3</v>
      </c>
      <c r="H1116" s="13" t="n">
        <v>2</v>
      </c>
      <c r="I1116" s="8" t="n">
        <v>5</v>
      </c>
      <c r="J1116" s="20" t="s">
        <v>259</v>
      </c>
      <c r="K1116" s="8"/>
      <c r="L1116" s="20" t="s">
        <v>259</v>
      </c>
      <c r="M1116" s="16" t="n">
        <f aca="false">H1116*Scoring!$C$5</f>
        <v>2.6</v>
      </c>
      <c r="N1116" s="16" t="n">
        <f aca="false">IF(I1116&gt;=5,1,IF(I1116=4,0.75,IF(I1116=3,0.5,IF(I1116=2,0.25,0))))*Scoring!$C$8</f>
        <v>1</v>
      </c>
      <c r="O1116" s="16" t="n">
        <f aca="false">IF(J1116="Yes",0,Scoring!$C$6)</f>
        <v>2</v>
      </c>
      <c r="P1116" s="16" t="n">
        <f aca="false">IF(L1116="Yes",0,Scoring!$C$7)</f>
        <v>0.5</v>
      </c>
      <c r="Q1116" s="8" t="n">
        <f aca="false">ROUND(SUM(M1116:P1116),2)</f>
        <v>6.1</v>
      </c>
      <c r="R1116" s="8" t="str">
        <f aca="false">IF(Q1116&gt;=Scoring!$C$10-0.000001,"Keep","Remove")</f>
        <v>Remove</v>
      </c>
      <c r="S1116" s="8" t="s">
        <v>7243</v>
      </c>
    </row>
    <row r="1117" customFormat="false" ht="15" hidden="false" customHeight="false" outlineLevel="0" collapsed="false">
      <c r="A1117" s="8" t="s">
        <v>8126</v>
      </c>
      <c r="B1117" s="8" t="s">
        <v>8127</v>
      </c>
      <c r="C1117" s="8" t="s">
        <v>5958</v>
      </c>
      <c r="D1117" s="8" t="s">
        <v>5862</v>
      </c>
      <c r="E1117" s="8"/>
      <c r="F1117" s="8" t="s">
        <v>93</v>
      </c>
      <c r="G1117" s="8" t="n">
        <v>3</v>
      </c>
      <c r="H1117" s="13" t="n">
        <v>2</v>
      </c>
      <c r="I1117" s="8" t="n">
        <v>2</v>
      </c>
      <c r="J1117" s="20" t="s">
        <v>218</v>
      </c>
      <c r="K1117" s="8" t="s">
        <v>8196</v>
      </c>
      <c r="L1117" s="20" t="s">
        <v>259</v>
      </c>
      <c r="M1117" s="16" t="n">
        <f aca="false">H1117*Scoring!$C$5</f>
        <v>2.6</v>
      </c>
      <c r="N1117" s="16" t="n">
        <f aca="false">IF(I1117&gt;=5,1,IF(I1117=4,0.75,IF(I1117=3,0.5,IF(I1117=2,0.25,0))))*Scoring!$C$8</f>
        <v>0.25</v>
      </c>
      <c r="O1117" s="16" t="n">
        <f aca="false">IF(J1117="Yes",0,Scoring!$C$6)</f>
        <v>0</v>
      </c>
      <c r="P1117" s="16" t="n">
        <f aca="false">IF(L1117="Yes",0,Scoring!$C$7)</f>
        <v>0.5</v>
      </c>
      <c r="Q1117" s="8" t="n">
        <f aca="false">ROUND(SUM(M1117:P1117),2)</f>
        <v>3.35</v>
      </c>
      <c r="R1117" s="8" t="str">
        <f aca="false">IF(Q1117&gt;=Scoring!$C$10-0.000001,"Keep","Remove")</f>
        <v>Remove</v>
      </c>
      <c r="S1117" s="8" t="s">
        <v>8128</v>
      </c>
    </row>
    <row r="1118" customFormat="false" ht="15" hidden="false" customHeight="false" outlineLevel="0" collapsed="false">
      <c r="A1118" s="8" t="s">
        <v>8114</v>
      </c>
      <c r="B1118" s="8" t="s">
        <v>8115</v>
      </c>
      <c r="C1118" s="8" t="s">
        <v>5958</v>
      </c>
      <c r="D1118" s="8" t="s">
        <v>5829</v>
      </c>
      <c r="E1118" s="8"/>
      <c r="F1118" s="8" t="s">
        <v>93</v>
      </c>
      <c r="G1118" s="8" t="n">
        <v>3</v>
      </c>
      <c r="H1118" s="13" t="n">
        <v>2</v>
      </c>
      <c r="I1118" s="8" t="n">
        <v>3</v>
      </c>
      <c r="J1118" s="20" t="s">
        <v>218</v>
      </c>
      <c r="K1118" s="8" t="s">
        <v>8197</v>
      </c>
      <c r="L1118" s="20" t="s">
        <v>259</v>
      </c>
      <c r="M1118" s="16" t="n">
        <f aca="false">H1118*Scoring!$C$5</f>
        <v>2.6</v>
      </c>
      <c r="N1118" s="16" t="n">
        <f aca="false">IF(I1118&gt;=5,1,IF(I1118=4,0.75,IF(I1118=3,0.5,IF(I1118=2,0.25,0))))*Scoring!$C$8</f>
        <v>0.5</v>
      </c>
      <c r="O1118" s="16" t="n">
        <f aca="false">IF(J1118="Yes",0,Scoring!$C$6)</f>
        <v>0</v>
      </c>
      <c r="P1118" s="16" t="n">
        <f aca="false">IF(L1118="Yes",0,Scoring!$C$7)</f>
        <v>0.5</v>
      </c>
      <c r="Q1118" s="8" t="n">
        <f aca="false">ROUND(SUM(M1118:P1118),2)</f>
        <v>3.6</v>
      </c>
      <c r="R1118" s="8" t="str">
        <f aca="false">IF(Q1118&gt;=Scoring!$C$10-0.000001,"Keep","Remove")</f>
        <v>Remove</v>
      </c>
      <c r="S1118" s="8" t="s">
        <v>8116</v>
      </c>
    </row>
    <row r="1119" customFormat="false" ht="15" hidden="false" customHeight="false" outlineLevel="0" collapsed="false">
      <c r="A1119" s="8" t="s">
        <v>7936</v>
      </c>
      <c r="B1119" s="8" t="s">
        <v>7937</v>
      </c>
      <c r="C1119" s="8" t="s">
        <v>5958</v>
      </c>
      <c r="D1119" s="8" t="s">
        <v>5829</v>
      </c>
      <c r="E1119" s="8"/>
      <c r="F1119" s="8" t="s">
        <v>93</v>
      </c>
      <c r="G1119" s="8" t="n">
        <v>3</v>
      </c>
      <c r="H1119" s="13" t="n">
        <v>2</v>
      </c>
      <c r="I1119" s="8" t="n">
        <v>5</v>
      </c>
      <c r="J1119" s="20" t="s">
        <v>259</v>
      </c>
      <c r="K1119" s="8"/>
      <c r="L1119" s="20" t="s">
        <v>259</v>
      </c>
      <c r="M1119" s="16" t="n">
        <f aca="false">H1119*Scoring!$C$5</f>
        <v>2.6</v>
      </c>
      <c r="N1119" s="16" t="n">
        <f aca="false">IF(I1119&gt;=5,1,IF(I1119=4,0.75,IF(I1119=3,0.5,IF(I1119=2,0.25,0))))*Scoring!$C$8</f>
        <v>1</v>
      </c>
      <c r="O1119" s="16" t="n">
        <f aca="false">IF(J1119="Yes",0,Scoring!$C$6)</f>
        <v>2</v>
      </c>
      <c r="P1119" s="16" t="n">
        <f aca="false">IF(L1119="Yes",0,Scoring!$C$7)</f>
        <v>0.5</v>
      </c>
      <c r="Q1119" s="8" t="n">
        <f aca="false">ROUND(SUM(M1119:P1119),2)</f>
        <v>6.1</v>
      </c>
      <c r="R1119" s="8" t="str">
        <f aca="false">IF(Q1119&gt;=Scoring!$C$10-0.000001,"Keep","Remove")</f>
        <v>Remove</v>
      </c>
      <c r="S1119" s="8" t="s">
        <v>7243</v>
      </c>
    </row>
    <row r="1120" customFormat="false" ht="15" hidden="false" customHeight="false" outlineLevel="0" collapsed="false">
      <c r="A1120" s="8" t="s">
        <v>8129</v>
      </c>
      <c r="B1120" s="8" t="s">
        <v>8130</v>
      </c>
      <c r="C1120" s="8" t="s">
        <v>5958</v>
      </c>
      <c r="D1120" s="8" t="s">
        <v>5852</v>
      </c>
      <c r="E1120" s="8"/>
      <c r="F1120" s="8" t="s">
        <v>93</v>
      </c>
      <c r="G1120" s="8" t="n">
        <v>3</v>
      </c>
      <c r="H1120" s="13" t="n">
        <v>2</v>
      </c>
      <c r="I1120" s="8" t="n">
        <v>2</v>
      </c>
      <c r="J1120" s="20" t="s">
        <v>218</v>
      </c>
      <c r="K1120" s="8" t="s">
        <v>8198</v>
      </c>
      <c r="L1120" s="20" t="s">
        <v>259</v>
      </c>
      <c r="M1120" s="16" t="n">
        <f aca="false">H1120*Scoring!$C$5</f>
        <v>2.6</v>
      </c>
      <c r="N1120" s="16" t="n">
        <f aca="false">IF(I1120&gt;=5,1,IF(I1120=4,0.75,IF(I1120=3,0.5,IF(I1120=2,0.25,0))))*Scoring!$C$8</f>
        <v>0.25</v>
      </c>
      <c r="O1120" s="16" t="n">
        <f aca="false">IF(J1120="Yes",0,Scoring!$C$6)</f>
        <v>0</v>
      </c>
      <c r="P1120" s="16" t="n">
        <f aca="false">IF(L1120="Yes",0,Scoring!$C$7)</f>
        <v>0.5</v>
      </c>
      <c r="Q1120" s="8" t="n">
        <f aca="false">ROUND(SUM(M1120:P1120),2)</f>
        <v>3.35</v>
      </c>
      <c r="R1120" s="8" t="str">
        <f aca="false">IF(Q1120&gt;=Scoring!$C$10-0.000001,"Keep","Remove")</f>
        <v>Remove</v>
      </c>
      <c r="S1120" s="8" t="s">
        <v>8131</v>
      </c>
    </row>
    <row r="1121" customFormat="false" ht="15" hidden="false" customHeight="false" outlineLevel="0" collapsed="false">
      <c r="A1121" s="8" t="s">
        <v>7908</v>
      </c>
      <c r="B1121" s="8" t="s">
        <v>7909</v>
      </c>
      <c r="C1121" s="8" t="s">
        <v>5958</v>
      </c>
      <c r="D1121" s="8" t="s">
        <v>206</v>
      </c>
      <c r="E1121" s="8" t="s">
        <v>103</v>
      </c>
      <c r="F1121" s="8" t="s">
        <v>93</v>
      </c>
      <c r="G1121" s="8" t="n">
        <v>3</v>
      </c>
      <c r="H1121" s="13" t="n">
        <v>3</v>
      </c>
      <c r="I1121" s="8" t="n">
        <v>1</v>
      </c>
      <c r="J1121" s="20" t="s">
        <v>259</v>
      </c>
      <c r="K1121" s="8"/>
      <c r="L1121" s="20" t="s">
        <v>259</v>
      </c>
      <c r="M1121" s="16" t="n">
        <f aca="false">H1121*Scoring!$C$5</f>
        <v>3.9</v>
      </c>
      <c r="N1121" s="16" t="n">
        <f aca="false">IF(I1121&gt;=5,1,IF(I1121=4,0.75,IF(I1121=3,0.5,IF(I1121=2,0.25,0))))*Scoring!$C$8</f>
        <v>0</v>
      </c>
      <c r="O1121" s="16" t="n">
        <f aca="false">IF(J1121="Yes",0,Scoring!$C$6)</f>
        <v>2</v>
      </c>
      <c r="P1121" s="16" t="n">
        <f aca="false">IF(L1121="Yes",0,Scoring!$C$7)</f>
        <v>0.5</v>
      </c>
      <c r="Q1121" s="8" t="n">
        <f aca="false">ROUND(SUM(M1121:P1121),2)</f>
        <v>6.4</v>
      </c>
      <c r="R1121" s="8" t="str">
        <f aca="false">IF(Q1121&gt;=Scoring!$C$10-0.000001,"Keep","Remove")</f>
        <v>Remove</v>
      </c>
      <c r="S1121" s="8" t="s">
        <v>7236</v>
      </c>
    </row>
    <row r="1122" customFormat="false" ht="15" hidden="false" customHeight="false" outlineLevel="0" collapsed="false">
      <c r="A1122" s="8" t="s">
        <v>7010</v>
      </c>
      <c r="B1122" s="8" t="s">
        <v>7011</v>
      </c>
      <c r="C1122" s="8" t="s">
        <v>5958</v>
      </c>
      <c r="D1122" s="8" t="s">
        <v>206</v>
      </c>
      <c r="E1122" s="8" t="s">
        <v>103</v>
      </c>
      <c r="F1122" s="8" t="s">
        <v>93</v>
      </c>
      <c r="G1122" s="8" t="n">
        <v>2</v>
      </c>
      <c r="H1122" s="13" t="n">
        <v>4</v>
      </c>
      <c r="I1122" s="8" t="n">
        <v>4</v>
      </c>
      <c r="J1122" s="20" t="s">
        <v>259</v>
      </c>
      <c r="K1122" s="8"/>
      <c r="L1122" s="20" t="s">
        <v>259</v>
      </c>
      <c r="M1122" s="16" t="n">
        <f aca="false">H1122*Scoring!$C$5</f>
        <v>5.2</v>
      </c>
      <c r="N1122" s="16" t="n">
        <f aca="false">IF(I1122&gt;=5,1,IF(I1122=4,0.75,IF(I1122=3,0.5,IF(I1122=2,0.25,0))))*Scoring!$C$8</f>
        <v>0.75</v>
      </c>
      <c r="O1122" s="16" t="n">
        <f aca="false">IF(J1122="Yes",0,Scoring!$C$6)</f>
        <v>2</v>
      </c>
      <c r="P1122" s="16" t="n">
        <f aca="false">IF(L1122="Yes",0,Scoring!$C$7)</f>
        <v>0.5</v>
      </c>
      <c r="Q1122" s="8" t="n">
        <f aca="false">ROUND(SUM(M1122:P1122),2)</f>
        <v>8.45</v>
      </c>
      <c r="R1122" s="8" t="str">
        <f aca="false">IF(Q1122&gt;=Scoring!$C$10-0.000001,"Keep","Remove")</f>
        <v>Keep</v>
      </c>
      <c r="S1122" s="8" t="s">
        <v>166</v>
      </c>
    </row>
    <row r="1123" customFormat="false" ht="15" hidden="false" customHeight="false" outlineLevel="0" collapsed="false">
      <c r="A1123" s="8" t="s">
        <v>7985</v>
      </c>
      <c r="B1123" s="8" t="s">
        <v>7986</v>
      </c>
      <c r="C1123" s="8" t="s">
        <v>5958</v>
      </c>
      <c r="D1123" s="8" t="s">
        <v>206</v>
      </c>
      <c r="E1123" s="8" t="s">
        <v>103</v>
      </c>
      <c r="F1123" s="8" t="s">
        <v>93</v>
      </c>
      <c r="G1123" s="8" t="n">
        <v>3</v>
      </c>
      <c r="H1123" s="13" t="n">
        <v>2</v>
      </c>
      <c r="I1123" s="8" t="n">
        <v>4</v>
      </c>
      <c r="J1123" s="20" t="s">
        <v>259</v>
      </c>
      <c r="K1123" s="8"/>
      <c r="L1123" s="20" t="s">
        <v>259</v>
      </c>
      <c r="M1123" s="16" t="n">
        <f aca="false">H1123*Scoring!$C$5</f>
        <v>2.6</v>
      </c>
      <c r="N1123" s="16" t="n">
        <f aca="false">IF(I1123&gt;=5,1,IF(I1123=4,0.75,IF(I1123=3,0.5,IF(I1123=2,0.25,0))))*Scoring!$C$8</f>
        <v>0.75</v>
      </c>
      <c r="O1123" s="16" t="n">
        <f aca="false">IF(J1123="Yes",0,Scoring!$C$6)</f>
        <v>2</v>
      </c>
      <c r="P1123" s="16" t="n">
        <f aca="false">IF(L1123="Yes",0,Scoring!$C$7)</f>
        <v>0.5</v>
      </c>
      <c r="Q1123" s="8" t="n">
        <f aca="false">ROUND(SUM(M1123:P1123),2)</f>
        <v>5.85</v>
      </c>
      <c r="R1123" s="8" t="str">
        <f aca="false">IF(Q1123&gt;=Scoring!$C$10-0.000001,"Keep","Remove")</f>
        <v>Remove</v>
      </c>
      <c r="S1123" s="8" t="s">
        <v>7243</v>
      </c>
    </row>
    <row r="1124" customFormat="false" ht="15" hidden="false" customHeight="false" outlineLevel="0" collapsed="false">
      <c r="A1124" s="8" t="s">
        <v>8132</v>
      </c>
      <c r="B1124" s="8" t="s">
        <v>8133</v>
      </c>
      <c r="C1124" s="8" t="s">
        <v>5958</v>
      </c>
      <c r="D1124" s="8" t="s">
        <v>206</v>
      </c>
      <c r="E1124" s="8" t="s">
        <v>103</v>
      </c>
      <c r="F1124" s="8" t="s">
        <v>93</v>
      </c>
      <c r="G1124" s="8" t="n">
        <v>3</v>
      </c>
      <c r="H1124" s="13" t="n">
        <v>2</v>
      </c>
      <c r="I1124" s="8" t="n">
        <v>2</v>
      </c>
      <c r="J1124" s="20" t="s">
        <v>218</v>
      </c>
      <c r="K1124" s="8" t="s">
        <v>8199</v>
      </c>
      <c r="L1124" s="20" t="s">
        <v>259</v>
      </c>
      <c r="M1124" s="16" t="n">
        <f aca="false">H1124*Scoring!$C$5</f>
        <v>2.6</v>
      </c>
      <c r="N1124" s="16" t="n">
        <f aca="false">IF(I1124&gt;=5,1,IF(I1124=4,0.75,IF(I1124=3,0.5,IF(I1124=2,0.25,0))))*Scoring!$C$8</f>
        <v>0.25</v>
      </c>
      <c r="O1124" s="16" t="n">
        <f aca="false">IF(J1124="Yes",0,Scoring!$C$6)</f>
        <v>0</v>
      </c>
      <c r="P1124" s="16" t="n">
        <f aca="false">IF(L1124="Yes",0,Scoring!$C$7)</f>
        <v>0.5</v>
      </c>
      <c r="Q1124" s="8" t="n">
        <f aca="false">ROUND(SUM(M1124:P1124),2)</f>
        <v>3.35</v>
      </c>
      <c r="R1124" s="8" t="str">
        <f aca="false">IF(Q1124&gt;=Scoring!$C$10-0.000001,"Keep","Remove")</f>
        <v>Remove</v>
      </c>
      <c r="S1124" s="8" t="s">
        <v>8134</v>
      </c>
    </row>
    <row r="1125" customFormat="false" ht="15" hidden="false" customHeight="false" outlineLevel="0" collapsed="false">
      <c r="A1125" s="8" t="s">
        <v>8077</v>
      </c>
      <c r="B1125" s="8" t="s">
        <v>8078</v>
      </c>
      <c r="C1125" s="8" t="s">
        <v>5958</v>
      </c>
      <c r="D1125" s="8" t="s">
        <v>206</v>
      </c>
      <c r="E1125" s="8" t="s">
        <v>103</v>
      </c>
      <c r="F1125" s="8" t="s">
        <v>93</v>
      </c>
      <c r="G1125" s="8" t="n">
        <v>3</v>
      </c>
      <c r="H1125" s="13" t="n">
        <v>2</v>
      </c>
      <c r="I1125" s="8" t="n">
        <v>2</v>
      </c>
      <c r="J1125" s="20" t="s">
        <v>259</v>
      </c>
      <c r="K1125" s="8"/>
      <c r="L1125" s="20" t="s">
        <v>259</v>
      </c>
      <c r="M1125" s="16" t="n">
        <f aca="false">H1125*Scoring!$C$5</f>
        <v>2.6</v>
      </c>
      <c r="N1125" s="16" t="n">
        <f aca="false">IF(I1125&gt;=5,1,IF(I1125=4,0.75,IF(I1125=3,0.5,IF(I1125=2,0.25,0))))*Scoring!$C$8</f>
        <v>0.25</v>
      </c>
      <c r="O1125" s="16" t="n">
        <f aca="false">IF(J1125="Yes",0,Scoring!$C$6)</f>
        <v>2</v>
      </c>
      <c r="P1125" s="16" t="n">
        <f aca="false">IF(L1125="Yes",0,Scoring!$C$7)</f>
        <v>0.5</v>
      </c>
      <c r="Q1125" s="8" t="n">
        <f aca="false">ROUND(SUM(M1125:P1125),2)</f>
        <v>5.35</v>
      </c>
      <c r="R1125" s="8" t="str">
        <f aca="false">IF(Q1125&gt;=Scoring!$C$10-0.000001,"Keep","Remove")</f>
        <v>Remove</v>
      </c>
      <c r="S1125" s="8" t="s">
        <v>7243</v>
      </c>
    </row>
    <row r="1126" customFormat="false" ht="15" hidden="false" customHeight="false" outlineLevel="0" collapsed="false">
      <c r="A1126" s="8" t="s">
        <v>8102</v>
      </c>
      <c r="B1126" s="8" t="s">
        <v>8103</v>
      </c>
      <c r="C1126" s="8" t="s">
        <v>5958</v>
      </c>
      <c r="D1126" s="8" t="s">
        <v>206</v>
      </c>
      <c r="E1126" s="8" t="s">
        <v>103</v>
      </c>
      <c r="F1126" s="8" t="s">
        <v>93</v>
      </c>
      <c r="G1126" s="8" t="n">
        <v>3</v>
      </c>
      <c r="H1126" s="13" t="n">
        <v>2</v>
      </c>
      <c r="I1126" s="8" t="n">
        <v>4</v>
      </c>
      <c r="J1126" s="20" t="s">
        <v>218</v>
      </c>
      <c r="K1126" s="8" t="s">
        <v>8200</v>
      </c>
      <c r="L1126" s="20" t="s">
        <v>259</v>
      </c>
      <c r="M1126" s="16" t="n">
        <f aca="false">H1126*Scoring!$C$5</f>
        <v>2.6</v>
      </c>
      <c r="N1126" s="16" t="n">
        <f aca="false">IF(I1126&gt;=5,1,IF(I1126=4,0.75,IF(I1126=3,0.5,IF(I1126=2,0.25,0))))*Scoring!$C$8</f>
        <v>0.75</v>
      </c>
      <c r="O1126" s="16" t="n">
        <f aca="false">IF(J1126="Yes",0,Scoring!$C$6)</f>
        <v>0</v>
      </c>
      <c r="P1126" s="16" t="n">
        <f aca="false">IF(L1126="Yes",0,Scoring!$C$7)</f>
        <v>0.5</v>
      </c>
      <c r="Q1126" s="8" t="n">
        <f aca="false">ROUND(SUM(M1126:P1126),2)</f>
        <v>3.85</v>
      </c>
      <c r="R1126" s="8" t="str">
        <f aca="false">IF(Q1126&gt;=Scoring!$C$10-0.000001,"Keep","Remove")</f>
        <v>Remove</v>
      </c>
      <c r="S1126" s="8" t="s">
        <v>8104</v>
      </c>
    </row>
    <row r="1127" customFormat="false" ht="15" hidden="false" customHeight="false" outlineLevel="0" collapsed="false">
      <c r="A1127" s="8" t="s">
        <v>7019</v>
      </c>
      <c r="B1127" s="8" t="s">
        <v>7020</v>
      </c>
      <c r="C1127" s="8" t="s">
        <v>5958</v>
      </c>
      <c r="D1127" s="8" t="s">
        <v>206</v>
      </c>
      <c r="E1127" s="8" t="s">
        <v>103</v>
      </c>
      <c r="F1127" s="8" t="s">
        <v>93</v>
      </c>
      <c r="G1127" s="8" t="n">
        <v>2</v>
      </c>
      <c r="H1127" s="13" t="n">
        <v>5</v>
      </c>
      <c r="I1127" s="8" t="n">
        <v>3</v>
      </c>
      <c r="J1127" s="20" t="s">
        <v>259</v>
      </c>
      <c r="K1127" s="8"/>
      <c r="L1127" s="20" t="s">
        <v>259</v>
      </c>
      <c r="M1127" s="16" t="n">
        <f aca="false">H1127*Scoring!$C$5</f>
        <v>6.5</v>
      </c>
      <c r="N1127" s="16" t="n">
        <f aca="false">IF(I1127&gt;=5,1,IF(I1127=4,0.75,IF(I1127=3,0.5,IF(I1127=2,0.25,0))))*Scoring!$C$8</f>
        <v>0.5</v>
      </c>
      <c r="O1127" s="16" t="n">
        <f aca="false">IF(J1127="Yes",0,Scoring!$C$6)</f>
        <v>2</v>
      </c>
      <c r="P1127" s="16" t="n">
        <f aca="false">IF(L1127="Yes",0,Scoring!$C$7)</f>
        <v>0.5</v>
      </c>
      <c r="Q1127" s="8" t="n">
        <f aca="false">ROUND(SUM(M1127:P1127),2)</f>
        <v>9.5</v>
      </c>
      <c r="R1127" s="8" t="str">
        <f aca="false">IF(Q1127&gt;=Scoring!$C$10-0.000001,"Keep","Remove")</f>
        <v>Keep</v>
      </c>
      <c r="S1127" s="8" t="s">
        <v>166</v>
      </c>
    </row>
    <row r="1128" customFormat="false" ht="15" hidden="false" customHeight="false" outlineLevel="0" collapsed="false">
      <c r="A1128" s="8" t="s">
        <v>7027</v>
      </c>
      <c r="B1128" s="8" t="s">
        <v>7028</v>
      </c>
      <c r="C1128" s="8" t="s">
        <v>5958</v>
      </c>
      <c r="D1128" s="8" t="s">
        <v>206</v>
      </c>
      <c r="E1128" s="8" t="s">
        <v>103</v>
      </c>
      <c r="F1128" s="8" t="s">
        <v>93</v>
      </c>
      <c r="G1128" s="8" t="n">
        <v>1</v>
      </c>
      <c r="H1128" s="13" t="n">
        <v>5</v>
      </c>
      <c r="I1128" s="8" t="n">
        <v>2</v>
      </c>
      <c r="J1128" s="20" t="s">
        <v>259</v>
      </c>
      <c r="K1128" s="8"/>
      <c r="L1128" s="20" t="s">
        <v>259</v>
      </c>
      <c r="M1128" s="16" t="n">
        <f aca="false">H1128*Scoring!$C$5</f>
        <v>6.5</v>
      </c>
      <c r="N1128" s="16" t="n">
        <f aca="false">IF(I1128&gt;=5,1,IF(I1128=4,0.75,IF(I1128=3,0.5,IF(I1128=2,0.25,0))))*Scoring!$C$8</f>
        <v>0.25</v>
      </c>
      <c r="O1128" s="16" t="n">
        <f aca="false">IF(J1128="Yes",0,Scoring!$C$6)</f>
        <v>2</v>
      </c>
      <c r="P1128" s="16" t="n">
        <f aca="false">IF(L1128="Yes",0,Scoring!$C$7)</f>
        <v>0.5</v>
      </c>
      <c r="Q1128" s="8" t="n">
        <f aca="false">ROUND(SUM(M1128:P1128),2)</f>
        <v>9.25</v>
      </c>
      <c r="R1128" s="8" t="str">
        <f aca="false">IF(Q1128&gt;=Scoring!$C$10-0.000001,"Keep","Remove")</f>
        <v>Keep</v>
      </c>
      <c r="S1128" s="8" t="s">
        <v>166</v>
      </c>
    </row>
    <row r="1129" customFormat="false" ht="15" hidden="false" customHeight="false" outlineLevel="0" collapsed="false">
      <c r="A1129" s="8" t="s">
        <v>7036</v>
      </c>
      <c r="B1129" s="8" t="s">
        <v>7037</v>
      </c>
      <c r="C1129" s="8" t="s">
        <v>5958</v>
      </c>
      <c r="D1129" s="8" t="s">
        <v>206</v>
      </c>
      <c r="E1129" s="8" t="s">
        <v>103</v>
      </c>
      <c r="F1129" s="8" t="s">
        <v>93</v>
      </c>
      <c r="G1129" s="8" t="n">
        <v>3</v>
      </c>
      <c r="H1129" s="13" t="n">
        <v>3</v>
      </c>
      <c r="I1129" s="8" t="n">
        <v>3</v>
      </c>
      <c r="J1129" s="20" t="s">
        <v>259</v>
      </c>
      <c r="K1129" s="8"/>
      <c r="L1129" s="20" t="s">
        <v>259</v>
      </c>
      <c r="M1129" s="16" t="n">
        <f aca="false">H1129*Scoring!$C$5</f>
        <v>3.9</v>
      </c>
      <c r="N1129" s="16" t="n">
        <f aca="false">IF(I1129&gt;=5,1,IF(I1129=4,0.75,IF(I1129=3,0.5,IF(I1129=2,0.25,0))))*Scoring!$C$8</f>
        <v>0.5</v>
      </c>
      <c r="O1129" s="16" t="n">
        <f aca="false">IF(J1129="Yes",0,Scoring!$C$6)</f>
        <v>2</v>
      </c>
      <c r="P1129" s="16" t="n">
        <f aca="false">IF(L1129="Yes",0,Scoring!$C$7)</f>
        <v>0.5</v>
      </c>
      <c r="Q1129" s="8" t="n">
        <f aca="false">ROUND(SUM(M1129:P1129),2)</f>
        <v>6.9</v>
      </c>
      <c r="R1129" s="8" t="str">
        <f aca="false">IF(Q1129&gt;=Scoring!$C$10-0.000001,"Keep","Remove")</f>
        <v>Keep</v>
      </c>
      <c r="S1129" s="8" t="s">
        <v>166</v>
      </c>
    </row>
    <row r="1130" customFormat="false" ht="15" hidden="false" customHeight="false" outlineLevel="0" collapsed="false">
      <c r="A1130" s="8" t="s">
        <v>7910</v>
      </c>
      <c r="B1130" s="8" t="s">
        <v>7911</v>
      </c>
      <c r="C1130" s="8" t="s">
        <v>5958</v>
      </c>
      <c r="D1130" s="8" t="s">
        <v>5425</v>
      </c>
      <c r="E1130" s="8"/>
      <c r="F1130" s="8" t="s">
        <v>99</v>
      </c>
      <c r="G1130" s="8" t="n">
        <v>1</v>
      </c>
      <c r="H1130" s="13" t="n">
        <v>4</v>
      </c>
      <c r="I1130" s="8" t="n">
        <v>3</v>
      </c>
      <c r="J1130" s="20" t="s">
        <v>218</v>
      </c>
      <c r="K1130" s="8" t="s">
        <v>8201</v>
      </c>
      <c r="L1130" s="20" t="s">
        <v>259</v>
      </c>
      <c r="M1130" s="16" t="n">
        <f aca="false">H1130*Scoring!$C$5</f>
        <v>5.2</v>
      </c>
      <c r="N1130" s="16" t="n">
        <f aca="false">IF(I1130&gt;=5,1,IF(I1130=4,0.75,IF(I1130=3,0.5,IF(I1130=2,0.25,0))))*Scoring!$C$8</f>
        <v>0.5</v>
      </c>
      <c r="O1130" s="16" t="n">
        <f aca="false">IF(J1130="Yes",0,Scoring!$C$6)</f>
        <v>0</v>
      </c>
      <c r="P1130" s="16" t="n">
        <f aca="false">IF(L1130="Yes",0,Scoring!$C$7)</f>
        <v>0.5</v>
      </c>
      <c r="Q1130" s="8" t="n">
        <f aca="false">ROUND(SUM(M1130:P1130),2)</f>
        <v>6.2</v>
      </c>
      <c r="R1130" s="8" t="str">
        <f aca="false">IF(Q1130&gt;=Scoring!$C$10-0.000001,"Keep","Remove")</f>
        <v>Remove</v>
      </c>
      <c r="S1130" s="8" t="s">
        <v>7912</v>
      </c>
    </row>
    <row r="1131" customFormat="false" ht="15" hidden="false" customHeight="false" outlineLevel="0" collapsed="false">
      <c r="A1131" s="8" t="s">
        <v>7046</v>
      </c>
      <c r="B1131" s="8" t="s">
        <v>7047</v>
      </c>
      <c r="C1131" s="8" t="s">
        <v>5958</v>
      </c>
      <c r="D1131" s="8" t="s">
        <v>5046</v>
      </c>
      <c r="E1131" s="8"/>
      <c r="F1131" s="8" t="s">
        <v>99</v>
      </c>
      <c r="G1131" s="8" t="n">
        <v>2</v>
      </c>
      <c r="H1131" s="13" t="n">
        <v>3</v>
      </c>
      <c r="I1131" s="8" t="n">
        <v>3</v>
      </c>
      <c r="J1131" s="20" t="s">
        <v>259</v>
      </c>
      <c r="K1131" s="8"/>
      <c r="L1131" s="20" t="s">
        <v>259</v>
      </c>
      <c r="M1131" s="16" t="n">
        <f aca="false">H1131*Scoring!$C$5</f>
        <v>3.9</v>
      </c>
      <c r="N1131" s="16" t="n">
        <f aca="false">IF(I1131&gt;=5,1,IF(I1131=4,0.75,IF(I1131=3,0.5,IF(I1131=2,0.25,0))))*Scoring!$C$8</f>
        <v>0.5</v>
      </c>
      <c r="O1131" s="16" t="n">
        <f aca="false">IF(J1131="Yes",0,Scoring!$C$6)</f>
        <v>2</v>
      </c>
      <c r="P1131" s="16" t="n">
        <f aca="false">IF(L1131="Yes",0,Scoring!$C$7)</f>
        <v>0.5</v>
      </c>
      <c r="Q1131" s="8" t="n">
        <f aca="false">ROUND(SUM(M1131:P1131),2)</f>
        <v>6.9</v>
      </c>
      <c r="R1131" s="8" t="str">
        <f aca="false">IF(Q1131&gt;=Scoring!$C$10-0.000001,"Keep","Remove")</f>
        <v>Keep</v>
      </c>
      <c r="S1131" s="8" t="s">
        <v>166</v>
      </c>
    </row>
    <row r="1132" customFormat="false" ht="15" hidden="false" customHeight="false" outlineLevel="0" collapsed="false">
      <c r="A1132" s="8" t="s">
        <v>8087</v>
      </c>
      <c r="B1132" s="8" t="s">
        <v>8088</v>
      </c>
      <c r="C1132" s="8" t="s">
        <v>5958</v>
      </c>
      <c r="D1132" s="8" t="s">
        <v>5985</v>
      </c>
      <c r="E1132" s="8"/>
      <c r="F1132" s="8" t="s">
        <v>99</v>
      </c>
      <c r="G1132" s="8" t="n">
        <v>2</v>
      </c>
      <c r="H1132" s="13" t="n">
        <v>3</v>
      </c>
      <c r="I1132" s="8" t="n">
        <v>3</v>
      </c>
      <c r="J1132" s="20" t="s">
        <v>218</v>
      </c>
      <c r="K1132" s="8" t="s">
        <v>8202</v>
      </c>
      <c r="L1132" s="20" t="s">
        <v>259</v>
      </c>
      <c r="M1132" s="16" t="n">
        <f aca="false">H1132*Scoring!$C$5</f>
        <v>3.9</v>
      </c>
      <c r="N1132" s="16" t="n">
        <f aca="false">IF(I1132&gt;=5,1,IF(I1132=4,0.75,IF(I1132=3,0.5,IF(I1132=2,0.25,0))))*Scoring!$C$8</f>
        <v>0.5</v>
      </c>
      <c r="O1132" s="16" t="n">
        <f aca="false">IF(J1132="Yes",0,Scoring!$C$6)</f>
        <v>0</v>
      </c>
      <c r="P1132" s="16" t="n">
        <f aca="false">IF(L1132="Yes",0,Scoring!$C$7)</f>
        <v>0.5</v>
      </c>
      <c r="Q1132" s="8" t="n">
        <f aca="false">ROUND(SUM(M1132:P1132),2)</f>
        <v>4.9</v>
      </c>
      <c r="R1132" s="8" t="str">
        <f aca="false">IF(Q1132&gt;=Scoring!$C$10-0.000001,"Keep","Remove")</f>
        <v>Remove</v>
      </c>
      <c r="S1132" s="8" t="s">
        <v>8089</v>
      </c>
    </row>
    <row r="1133" customFormat="false" ht="15" hidden="false" customHeight="false" outlineLevel="0" collapsed="false">
      <c r="A1133" s="8" t="s">
        <v>8105</v>
      </c>
      <c r="B1133" s="8" t="s">
        <v>8106</v>
      </c>
      <c r="C1133" s="8" t="s">
        <v>5958</v>
      </c>
      <c r="D1133" s="8" t="s">
        <v>5046</v>
      </c>
      <c r="E1133" s="8"/>
      <c r="F1133" s="8" t="s">
        <v>99</v>
      </c>
      <c r="G1133" s="8" t="n">
        <v>3</v>
      </c>
      <c r="H1133" s="13" t="n">
        <v>2</v>
      </c>
      <c r="I1133" s="8" t="n">
        <v>4</v>
      </c>
      <c r="J1133" s="20" t="s">
        <v>218</v>
      </c>
      <c r="K1133" s="8" t="s">
        <v>8203</v>
      </c>
      <c r="L1133" s="20" t="s">
        <v>259</v>
      </c>
      <c r="M1133" s="16" t="n">
        <f aca="false">H1133*Scoring!$C$5</f>
        <v>2.6</v>
      </c>
      <c r="N1133" s="16" t="n">
        <f aca="false">IF(I1133&gt;=5,1,IF(I1133=4,0.75,IF(I1133=3,0.5,IF(I1133=2,0.25,0))))*Scoring!$C$8</f>
        <v>0.75</v>
      </c>
      <c r="O1133" s="16" t="n">
        <f aca="false">IF(J1133="Yes",0,Scoring!$C$6)</f>
        <v>0</v>
      </c>
      <c r="P1133" s="16" t="n">
        <f aca="false">IF(L1133="Yes",0,Scoring!$C$7)</f>
        <v>0.5</v>
      </c>
      <c r="Q1133" s="8" t="n">
        <f aca="false">ROUND(SUM(M1133:P1133),2)</f>
        <v>3.85</v>
      </c>
      <c r="R1133" s="8" t="str">
        <f aca="false">IF(Q1133&gt;=Scoring!$C$10-0.000001,"Keep","Remove")</f>
        <v>Remove</v>
      </c>
      <c r="S1133" s="8" t="s">
        <v>8107</v>
      </c>
    </row>
    <row r="1134" customFormat="false" ht="15" hidden="false" customHeight="false" outlineLevel="0" collapsed="false">
      <c r="A1134" s="8" t="s">
        <v>8117</v>
      </c>
      <c r="B1134" s="8" t="s">
        <v>8118</v>
      </c>
      <c r="C1134" s="8" t="s">
        <v>5958</v>
      </c>
      <c r="D1134" s="8" t="s">
        <v>206</v>
      </c>
      <c r="E1134" s="8" t="s">
        <v>103</v>
      </c>
      <c r="F1134" s="8" t="s">
        <v>99</v>
      </c>
      <c r="G1134" s="8" t="n">
        <v>3</v>
      </c>
      <c r="H1134" s="13" t="n">
        <v>2</v>
      </c>
      <c r="I1134" s="8" t="n">
        <v>3</v>
      </c>
      <c r="J1134" s="20" t="s">
        <v>218</v>
      </c>
      <c r="K1134" s="8" t="s">
        <v>8204</v>
      </c>
      <c r="L1134" s="20" t="s">
        <v>259</v>
      </c>
      <c r="M1134" s="16" t="n">
        <f aca="false">H1134*Scoring!$C$5</f>
        <v>2.6</v>
      </c>
      <c r="N1134" s="16" t="n">
        <f aca="false">IF(I1134&gt;=5,1,IF(I1134=4,0.75,IF(I1134=3,0.5,IF(I1134=2,0.25,0))))*Scoring!$C$8</f>
        <v>0.5</v>
      </c>
      <c r="O1134" s="16" t="n">
        <f aca="false">IF(J1134="Yes",0,Scoring!$C$6)</f>
        <v>0</v>
      </c>
      <c r="P1134" s="16" t="n">
        <f aca="false">IF(L1134="Yes",0,Scoring!$C$7)</f>
        <v>0.5</v>
      </c>
      <c r="Q1134" s="8" t="n">
        <f aca="false">ROUND(SUM(M1134:P1134),2)</f>
        <v>3.6</v>
      </c>
      <c r="R1134" s="8" t="str">
        <f aca="false">IF(Q1134&gt;=Scoring!$C$10-0.000001,"Keep","Remove")</f>
        <v>Remove</v>
      </c>
      <c r="S1134" s="8" t="s">
        <v>8119</v>
      </c>
    </row>
    <row r="1135" customFormat="false" ht="15" hidden="false" customHeight="false" outlineLevel="0" collapsed="false">
      <c r="A1135" s="8" t="s">
        <v>8039</v>
      </c>
      <c r="B1135" s="8" t="s">
        <v>8040</v>
      </c>
      <c r="C1135" s="8" t="s">
        <v>5958</v>
      </c>
      <c r="D1135" s="8" t="s">
        <v>206</v>
      </c>
      <c r="E1135" s="8" t="s">
        <v>103</v>
      </c>
      <c r="F1135" s="8" t="s">
        <v>99</v>
      </c>
      <c r="G1135" s="8" t="n">
        <v>3</v>
      </c>
      <c r="H1135" s="13" t="n">
        <v>2</v>
      </c>
      <c r="I1135" s="8" t="n">
        <v>3</v>
      </c>
      <c r="J1135" s="20" t="s">
        <v>259</v>
      </c>
      <c r="K1135" s="8"/>
      <c r="L1135" s="20" t="s">
        <v>259</v>
      </c>
      <c r="M1135" s="16" t="n">
        <f aca="false">H1135*Scoring!$C$5</f>
        <v>2.6</v>
      </c>
      <c r="N1135" s="16" t="n">
        <f aca="false">IF(I1135&gt;=5,1,IF(I1135=4,0.75,IF(I1135=3,0.5,IF(I1135=2,0.25,0))))*Scoring!$C$8</f>
        <v>0.5</v>
      </c>
      <c r="O1135" s="16" t="n">
        <f aca="false">IF(J1135="Yes",0,Scoring!$C$6)</f>
        <v>2</v>
      </c>
      <c r="P1135" s="16" t="n">
        <f aca="false">IF(L1135="Yes",0,Scoring!$C$7)</f>
        <v>0.5</v>
      </c>
      <c r="Q1135" s="8" t="n">
        <f aca="false">ROUND(SUM(M1135:P1135),2)</f>
        <v>5.6</v>
      </c>
      <c r="R1135" s="8" t="str">
        <f aca="false">IF(Q1135&gt;=Scoring!$C$10-0.000001,"Keep","Remove")</f>
        <v>Remove</v>
      </c>
      <c r="S1135" s="8" t="s">
        <v>7243</v>
      </c>
    </row>
    <row r="1136" customFormat="false" ht="15" hidden="false" customHeight="false" outlineLevel="0" collapsed="false">
      <c r="A1136" s="8" t="s">
        <v>7055</v>
      </c>
      <c r="B1136" s="8" t="s">
        <v>7056</v>
      </c>
      <c r="C1136" s="8" t="s">
        <v>5958</v>
      </c>
      <c r="D1136" s="8" t="s">
        <v>206</v>
      </c>
      <c r="E1136" s="8" t="s">
        <v>103</v>
      </c>
      <c r="F1136" s="8" t="s">
        <v>99</v>
      </c>
      <c r="G1136" s="8" t="n">
        <v>3</v>
      </c>
      <c r="H1136" s="13" t="n">
        <v>4</v>
      </c>
      <c r="I1136" s="8" t="n">
        <v>2</v>
      </c>
      <c r="J1136" s="20" t="s">
        <v>259</v>
      </c>
      <c r="K1136" s="8"/>
      <c r="L1136" s="20" t="s">
        <v>259</v>
      </c>
      <c r="M1136" s="16" t="n">
        <f aca="false">H1136*Scoring!$C$5</f>
        <v>5.2</v>
      </c>
      <c r="N1136" s="16" t="n">
        <f aca="false">IF(I1136&gt;=5,1,IF(I1136=4,0.75,IF(I1136=3,0.5,IF(I1136=2,0.25,0))))*Scoring!$C$8</f>
        <v>0.25</v>
      </c>
      <c r="O1136" s="16" t="n">
        <f aca="false">IF(J1136="Yes",0,Scoring!$C$6)</f>
        <v>2</v>
      </c>
      <c r="P1136" s="16" t="n">
        <f aca="false">IF(L1136="Yes",0,Scoring!$C$7)</f>
        <v>0.5</v>
      </c>
      <c r="Q1136" s="8" t="n">
        <f aca="false">ROUND(SUM(M1136:P1136),2)</f>
        <v>7.95</v>
      </c>
      <c r="R1136" s="8" t="str">
        <f aca="false">IF(Q1136&gt;=Scoring!$C$10-0.000001,"Keep","Remove")</f>
        <v>Keep</v>
      </c>
      <c r="S1136" s="8" t="s">
        <v>166</v>
      </c>
    </row>
    <row r="1137" customFormat="false" ht="15" hidden="false" customHeight="false" outlineLevel="0" collapsed="false">
      <c r="A1137" s="8" t="s">
        <v>7065</v>
      </c>
      <c r="B1137" s="8" t="s">
        <v>7066</v>
      </c>
      <c r="C1137" s="8" t="s">
        <v>5958</v>
      </c>
      <c r="D1137" s="8" t="s">
        <v>206</v>
      </c>
      <c r="E1137" s="8" t="s">
        <v>110</v>
      </c>
      <c r="F1137" s="8" t="s">
        <v>93</v>
      </c>
      <c r="G1137" s="8" t="n">
        <v>1</v>
      </c>
      <c r="H1137" s="13" t="n">
        <v>5</v>
      </c>
      <c r="I1137" s="8" t="n">
        <v>3</v>
      </c>
      <c r="J1137" s="20" t="s">
        <v>259</v>
      </c>
      <c r="K1137" s="8"/>
      <c r="L1137" s="20" t="s">
        <v>259</v>
      </c>
      <c r="M1137" s="16" t="n">
        <f aca="false">H1137*Scoring!$C$5</f>
        <v>6.5</v>
      </c>
      <c r="N1137" s="16" t="n">
        <f aca="false">IF(I1137&gt;=5,1,IF(I1137=4,0.75,IF(I1137=3,0.5,IF(I1137=2,0.25,0))))*Scoring!$C$8</f>
        <v>0.5</v>
      </c>
      <c r="O1137" s="16" t="n">
        <f aca="false">IF(J1137="Yes",0,Scoring!$C$6)</f>
        <v>2</v>
      </c>
      <c r="P1137" s="16" t="n">
        <f aca="false">IF(L1137="Yes",0,Scoring!$C$7)</f>
        <v>0.5</v>
      </c>
      <c r="Q1137" s="8" t="n">
        <f aca="false">ROUND(SUM(M1137:P1137),2)</f>
        <v>9.5</v>
      </c>
      <c r="R1137" s="8" t="str">
        <f aca="false">IF(Q1137&gt;=Scoring!$C$10-0.000001,"Keep","Remove")</f>
        <v>Keep</v>
      </c>
      <c r="S1137" s="8" t="s">
        <v>166</v>
      </c>
    </row>
    <row r="1138" customFormat="false" ht="15" hidden="false" customHeight="false" outlineLevel="0" collapsed="false">
      <c r="A1138" s="8" t="s">
        <v>7075</v>
      </c>
      <c r="B1138" s="8" t="s">
        <v>7076</v>
      </c>
      <c r="C1138" s="8" t="s">
        <v>5958</v>
      </c>
      <c r="D1138" s="8" t="s">
        <v>206</v>
      </c>
      <c r="E1138" s="8" t="s">
        <v>118</v>
      </c>
      <c r="F1138" s="8" t="s">
        <v>93</v>
      </c>
      <c r="G1138" s="8" t="n">
        <v>3</v>
      </c>
      <c r="H1138" s="13" t="n">
        <v>3</v>
      </c>
      <c r="I1138" s="8" t="n">
        <v>3</v>
      </c>
      <c r="J1138" s="20" t="s">
        <v>259</v>
      </c>
      <c r="K1138" s="8"/>
      <c r="L1138" s="20" t="s">
        <v>259</v>
      </c>
      <c r="M1138" s="16" t="n">
        <f aca="false">H1138*Scoring!$C$5</f>
        <v>3.9</v>
      </c>
      <c r="N1138" s="16" t="n">
        <f aca="false">IF(I1138&gt;=5,1,IF(I1138=4,0.75,IF(I1138=3,0.5,IF(I1138=2,0.25,0))))*Scoring!$C$8</f>
        <v>0.5</v>
      </c>
      <c r="O1138" s="16" t="n">
        <f aca="false">IF(J1138="Yes",0,Scoring!$C$6)</f>
        <v>2</v>
      </c>
      <c r="P1138" s="16" t="n">
        <f aca="false">IF(L1138="Yes",0,Scoring!$C$7)</f>
        <v>0.5</v>
      </c>
      <c r="Q1138" s="8" t="n">
        <f aca="false">ROUND(SUM(M1138:P1138),2)</f>
        <v>6.9</v>
      </c>
      <c r="R1138" s="8" t="str">
        <f aca="false">IF(Q1138&gt;=Scoring!$C$10-0.000001,"Keep","Remove")</f>
        <v>Keep</v>
      </c>
      <c r="S1138" s="8" t="s">
        <v>166</v>
      </c>
    </row>
    <row r="1139" customFormat="false" ht="15" hidden="false" customHeight="false" outlineLevel="0" collapsed="false">
      <c r="A1139" s="8" t="s">
        <v>7081</v>
      </c>
      <c r="B1139" s="8" t="s">
        <v>7082</v>
      </c>
      <c r="C1139" s="8" t="s">
        <v>5958</v>
      </c>
      <c r="D1139" s="8" t="s">
        <v>206</v>
      </c>
      <c r="E1139" s="8" t="s">
        <v>104</v>
      </c>
      <c r="F1139" s="8" t="s">
        <v>93</v>
      </c>
      <c r="G1139" s="8" t="n">
        <v>2</v>
      </c>
      <c r="H1139" s="13" t="n">
        <v>3</v>
      </c>
      <c r="I1139" s="8" t="n">
        <v>2</v>
      </c>
      <c r="J1139" s="20" t="s">
        <v>259</v>
      </c>
      <c r="K1139" s="8"/>
      <c r="L1139" s="20" t="s">
        <v>259</v>
      </c>
      <c r="M1139" s="16" t="n">
        <f aca="false">H1139*Scoring!$C$5</f>
        <v>3.9</v>
      </c>
      <c r="N1139" s="16" t="n">
        <f aca="false">IF(I1139&gt;=5,1,IF(I1139=4,0.75,IF(I1139=3,0.5,IF(I1139=2,0.25,0))))*Scoring!$C$8</f>
        <v>0.25</v>
      </c>
      <c r="O1139" s="16" t="n">
        <f aca="false">IF(J1139="Yes",0,Scoring!$C$6)</f>
        <v>2</v>
      </c>
      <c r="P1139" s="16" t="n">
        <f aca="false">IF(L1139="Yes",0,Scoring!$C$7)</f>
        <v>0.5</v>
      </c>
      <c r="Q1139" s="8" t="n">
        <f aca="false">ROUND(SUM(M1139:P1139),2)</f>
        <v>6.65</v>
      </c>
      <c r="R1139" s="8" t="str">
        <f aca="false">IF(Q1139&gt;=Scoring!$C$10-0.000001,"Keep","Remove")</f>
        <v>Keep</v>
      </c>
      <c r="S1139" s="8" t="s">
        <v>166</v>
      </c>
    </row>
    <row r="1140" customFormat="false" ht="15" hidden="false" customHeight="false" outlineLevel="0" collapsed="false">
      <c r="A1140" s="8" t="s">
        <v>7089</v>
      </c>
      <c r="B1140" s="8" t="s">
        <v>7090</v>
      </c>
      <c r="C1140" s="8" t="s">
        <v>5958</v>
      </c>
      <c r="D1140" s="8" t="s">
        <v>206</v>
      </c>
      <c r="E1140" s="8" t="s">
        <v>105</v>
      </c>
      <c r="F1140" s="8" t="s">
        <v>94</v>
      </c>
      <c r="G1140" s="8" t="n">
        <v>1</v>
      </c>
      <c r="H1140" s="13" t="n">
        <v>5</v>
      </c>
      <c r="I1140" s="8" t="n">
        <v>4</v>
      </c>
      <c r="J1140" s="20" t="s">
        <v>259</v>
      </c>
      <c r="K1140" s="8"/>
      <c r="L1140" s="20" t="s">
        <v>259</v>
      </c>
      <c r="M1140" s="16" t="n">
        <f aca="false">H1140*Scoring!$C$5</f>
        <v>6.5</v>
      </c>
      <c r="N1140" s="16" t="n">
        <f aca="false">IF(I1140&gt;=5,1,IF(I1140=4,0.75,IF(I1140=3,0.5,IF(I1140=2,0.25,0))))*Scoring!$C$8</f>
        <v>0.75</v>
      </c>
      <c r="O1140" s="16" t="n">
        <f aca="false">IF(J1140="Yes",0,Scoring!$C$6)</f>
        <v>2</v>
      </c>
      <c r="P1140" s="16" t="n">
        <f aca="false">IF(L1140="Yes",0,Scoring!$C$7)</f>
        <v>0.5</v>
      </c>
      <c r="Q1140" s="8" t="n">
        <f aca="false">ROUND(SUM(M1140:P1140),2)</f>
        <v>9.75</v>
      </c>
      <c r="R1140" s="8" t="str">
        <f aca="false">IF(Q1140&gt;=Scoring!$C$10-0.000001,"Keep","Remove")</f>
        <v>Keep</v>
      </c>
      <c r="S1140" s="8" t="s">
        <v>166</v>
      </c>
    </row>
    <row r="1141" customFormat="false" ht="15" hidden="false" customHeight="false" outlineLevel="0" collapsed="false">
      <c r="A1141" s="8" t="s">
        <v>7099</v>
      </c>
      <c r="B1141" s="8" t="s">
        <v>7100</v>
      </c>
      <c r="C1141" s="8" t="s">
        <v>5958</v>
      </c>
      <c r="D1141" s="8" t="s">
        <v>206</v>
      </c>
      <c r="E1141" s="8" t="s">
        <v>114</v>
      </c>
      <c r="F1141" s="8" t="s">
        <v>94</v>
      </c>
      <c r="G1141" s="8" t="n">
        <v>2</v>
      </c>
      <c r="H1141" s="13" t="n">
        <v>4</v>
      </c>
      <c r="I1141" s="8" t="n">
        <v>4</v>
      </c>
      <c r="J1141" s="20" t="s">
        <v>259</v>
      </c>
      <c r="K1141" s="8"/>
      <c r="L1141" s="20" t="s">
        <v>259</v>
      </c>
      <c r="M1141" s="16" t="n">
        <f aca="false">H1141*Scoring!$C$5</f>
        <v>5.2</v>
      </c>
      <c r="N1141" s="16" t="n">
        <f aca="false">IF(I1141&gt;=5,1,IF(I1141=4,0.75,IF(I1141=3,0.5,IF(I1141=2,0.25,0))))*Scoring!$C$8</f>
        <v>0.75</v>
      </c>
      <c r="O1141" s="16" t="n">
        <f aca="false">IF(J1141="Yes",0,Scoring!$C$6)</f>
        <v>2</v>
      </c>
      <c r="P1141" s="16" t="n">
        <f aca="false">IF(L1141="Yes",0,Scoring!$C$7)</f>
        <v>0.5</v>
      </c>
      <c r="Q1141" s="8" t="n">
        <f aca="false">ROUND(SUM(M1141:P1141),2)</f>
        <v>8.45</v>
      </c>
      <c r="R1141" s="8" t="str">
        <f aca="false">IF(Q1141&gt;=Scoring!$C$10-0.000001,"Keep","Remove")</f>
        <v>Keep</v>
      </c>
      <c r="S1141" s="8" t="s">
        <v>166</v>
      </c>
    </row>
    <row r="1142" customFormat="false" ht="15" hidden="false" customHeight="false" outlineLevel="0" collapsed="false">
      <c r="A1142" s="8" t="s">
        <v>7107</v>
      </c>
      <c r="B1142" s="8" t="s">
        <v>7108</v>
      </c>
      <c r="C1142" s="8" t="s">
        <v>5958</v>
      </c>
      <c r="D1142" s="8" t="s">
        <v>206</v>
      </c>
      <c r="E1142" s="8" t="s">
        <v>117</v>
      </c>
      <c r="F1142" s="8" t="s">
        <v>94</v>
      </c>
      <c r="G1142" s="8" t="n">
        <v>1</v>
      </c>
      <c r="H1142" s="13" t="n">
        <v>3</v>
      </c>
      <c r="I1142" s="8" t="n">
        <v>5</v>
      </c>
      <c r="J1142" s="20" t="s">
        <v>259</v>
      </c>
      <c r="K1142" s="8"/>
      <c r="L1142" s="20" t="s">
        <v>259</v>
      </c>
      <c r="M1142" s="16" t="n">
        <f aca="false">H1142*Scoring!$C$5</f>
        <v>3.9</v>
      </c>
      <c r="N1142" s="16" t="n">
        <f aca="false">IF(I1142&gt;=5,1,IF(I1142=4,0.75,IF(I1142=3,0.5,IF(I1142=2,0.25,0))))*Scoring!$C$8</f>
        <v>1</v>
      </c>
      <c r="O1142" s="16" t="n">
        <f aca="false">IF(J1142="Yes",0,Scoring!$C$6)</f>
        <v>2</v>
      </c>
      <c r="P1142" s="16" t="n">
        <f aca="false">IF(L1142="Yes",0,Scoring!$C$7)</f>
        <v>0.5</v>
      </c>
      <c r="Q1142" s="8" t="n">
        <f aca="false">ROUND(SUM(M1142:P1142),2)</f>
        <v>7.4</v>
      </c>
      <c r="R1142" s="8" t="str">
        <f aca="false">IF(Q1142&gt;=Scoring!$C$10-0.000001,"Keep","Remove")</f>
        <v>Keep</v>
      </c>
      <c r="S1142" s="8" t="s">
        <v>166</v>
      </c>
    </row>
    <row r="1143" customFormat="false" ht="15" hidden="false" customHeight="false" outlineLevel="0" collapsed="false">
      <c r="A1143" s="8" t="s">
        <v>7113</v>
      </c>
      <c r="B1143" s="8" t="s">
        <v>7114</v>
      </c>
      <c r="C1143" s="8" t="s">
        <v>5958</v>
      </c>
      <c r="D1143" s="8" t="s">
        <v>206</v>
      </c>
      <c r="E1143" s="8" t="s">
        <v>117</v>
      </c>
      <c r="F1143" s="8" t="s">
        <v>94</v>
      </c>
      <c r="G1143" s="8" t="n">
        <v>2</v>
      </c>
      <c r="H1143" s="13" t="n">
        <v>3</v>
      </c>
      <c r="I1143" s="8" t="n">
        <v>2</v>
      </c>
      <c r="J1143" s="20" t="s">
        <v>259</v>
      </c>
      <c r="K1143" s="8"/>
      <c r="L1143" s="20" t="s">
        <v>259</v>
      </c>
      <c r="M1143" s="16" t="n">
        <f aca="false">H1143*Scoring!$C$5</f>
        <v>3.9</v>
      </c>
      <c r="N1143" s="16" t="n">
        <f aca="false">IF(I1143&gt;=5,1,IF(I1143=4,0.75,IF(I1143=3,0.5,IF(I1143=2,0.25,0))))*Scoring!$C$8</f>
        <v>0.25</v>
      </c>
      <c r="O1143" s="16" t="n">
        <f aca="false">IF(J1143="Yes",0,Scoring!$C$6)</f>
        <v>2</v>
      </c>
      <c r="P1143" s="16" t="n">
        <f aca="false">IF(L1143="Yes",0,Scoring!$C$7)</f>
        <v>0.5</v>
      </c>
      <c r="Q1143" s="8" t="n">
        <f aca="false">ROUND(SUM(M1143:P1143),2)</f>
        <v>6.65</v>
      </c>
      <c r="R1143" s="8" t="str">
        <f aca="false">IF(Q1143&gt;=Scoring!$C$10-0.000001,"Keep","Remove")</f>
        <v>Keep</v>
      </c>
      <c r="S1143" s="8" t="s">
        <v>166</v>
      </c>
    </row>
    <row r="1144" customFormat="false" ht="15" hidden="false" customHeight="false" outlineLevel="0" collapsed="false">
      <c r="A1144" s="8" t="s">
        <v>7120</v>
      </c>
      <c r="B1144" s="8" t="s">
        <v>7121</v>
      </c>
      <c r="C1144" s="8" t="s">
        <v>5958</v>
      </c>
      <c r="D1144" s="8" t="s">
        <v>206</v>
      </c>
      <c r="E1144" s="8" t="s">
        <v>103</v>
      </c>
      <c r="F1144" s="8" t="s">
        <v>94</v>
      </c>
      <c r="G1144" s="8" t="n">
        <v>1</v>
      </c>
      <c r="H1144" s="13" t="n">
        <v>5</v>
      </c>
      <c r="I1144" s="8" t="n">
        <v>3</v>
      </c>
      <c r="J1144" s="20" t="s">
        <v>259</v>
      </c>
      <c r="K1144" s="8"/>
      <c r="L1144" s="20" t="s">
        <v>259</v>
      </c>
      <c r="M1144" s="16" t="n">
        <f aca="false">H1144*Scoring!$C$5</f>
        <v>6.5</v>
      </c>
      <c r="N1144" s="16" t="n">
        <f aca="false">IF(I1144&gt;=5,1,IF(I1144=4,0.75,IF(I1144=3,0.5,IF(I1144=2,0.25,0))))*Scoring!$C$8</f>
        <v>0.5</v>
      </c>
      <c r="O1144" s="16" t="n">
        <f aca="false">IF(J1144="Yes",0,Scoring!$C$6)</f>
        <v>2</v>
      </c>
      <c r="P1144" s="16" t="n">
        <f aca="false">IF(L1144="Yes",0,Scoring!$C$7)</f>
        <v>0.5</v>
      </c>
      <c r="Q1144" s="8" t="n">
        <f aca="false">ROUND(SUM(M1144:P1144),2)</f>
        <v>9.5</v>
      </c>
      <c r="R1144" s="8" t="str">
        <f aca="false">IF(Q1144&gt;=Scoring!$C$10-0.000001,"Keep","Remove")</f>
        <v>Keep</v>
      </c>
      <c r="S1144" s="8" t="s">
        <v>166</v>
      </c>
    </row>
    <row r="1145" customFormat="false" ht="15" hidden="false" customHeight="false" outlineLevel="0" collapsed="false">
      <c r="A1145" s="8" t="s">
        <v>7127</v>
      </c>
      <c r="B1145" s="8" t="s">
        <v>7128</v>
      </c>
      <c r="C1145" s="8" t="s">
        <v>5958</v>
      </c>
      <c r="D1145" s="8" t="s">
        <v>206</v>
      </c>
      <c r="E1145" s="8" t="s">
        <v>103</v>
      </c>
      <c r="F1145" s="8" t="s">
        <v>93</v>
      </c>
      <c r="G1145" s="8" t="n">
        <v>1</v>
      </c>
      <c r="H1145" s="13" t="n">
        <v>5</v>
      </c>
      <c r="I1145" s="8" t="n">
        <v>2</v>
      </c>
      <c r="J1145" s="20" t="s">
        <v>259</v>
      </c>
      <c r="K1145" s="8"/>
      <c r="L1145" s="20" t="s">
        <v>259</v>
      </c>
      <c r="M1145" s="16" t="n">
        <f aca="false">H1145*Scoring!$C$5</f>
        <v>6.5</v>
      </c>
      <c r="N1145" s="16" t="n">
        <f aca="false">IF(I1145&gt;=5,1,IF(I1145=4,0.75,IF(I1145=3,0.5,IF(I1145=2,0.25,0))))*Scoring!$C$8</f>
        <v>0.25</v>
      </c>
      <c r="O1145" s="16" t="n">
        <f aca="false">IF(J1145="Yes",0,Scoring!$C$6)</f>
        <v>2</v>
      </c>
      <c r="P1145" s="16" t="n">
        <f aca="false">IF(L1145="Yes",0,Scoring!$C$7)</f>
        <v>0.5</v>
      </c>
      <c r="Q1145" s="8" t="n">
        <f aca="false">ROUND(SUM(M1145:P1145),2)</f>
        <v>9.25</v>
      </c>
      <c r="R1145" s="8" t="str">
        <f aca="false">IF(Q1145&gt;=Scoring!$C$10-0.000001,"Keep","Remove")</f>
        <v>Keep</v>
      </c>
      <c r="S1145" s="8" t="s">
        <v>166</v>
      </c>
    </row>
    <row r="1146" customFormat="false" ht="15" hidden="false" customHeight="false" outlineLevel="0" collapsed="false">
      <c r="A1146" s="8" t="s">
        <v>7136</v>
      </c>
      <c r="B1146" s="8" t="s">
        <v>7137</v>
      </c>
      <c r="C1146" s="8" t="s">
        <v>5958</v>
      </c>
      <c r="D1146" s="8" t="s">
        <v>206</v>
      </c>
      <c r="E1146" s="8" t="s">
        <v>103</v>
      </c>
      <c r="F1146" s="8" t="s">
        <v>93</v>
      </c>
      <c r="G1146" s="8" t="n">
        <v>2</v>
      </c>
      <c r="H1146" s="13" t="n">
        <v>4</v>
      </c>
      <c r="I1146" s="8" t="n">
        <v>3</v>
      </c>
      <c r="J1146" s="20" t="s">
        <v>259</v>
      </c>
      <c r="K1146" s="8"/>
      <c r="L1146" s="20" t="s">
        <v>259</v>
      </c>
      <c r="M1146" s="16" t="n">
        <f aca="false">H1146*Scoring!$C$5</f>
        <v>5.2</v>
      </c>
      <c r="N1146" s="16" t="n">
        <f aca="false">IF(I1146&gt;=5,1,IF(I1146=4,0.75,IF(I1146=3,0.5,IF(I1146=2,0.25,0))))*Scoring!$C$8</f>
        <v>0.5</v>
      </c>
      <c r="O1146" s="16" t="n">
        <f aca="false">IF(J1146="Yes",0,Scoring!$C$6)</f>
        <v>2</v>
      </c>
      <c r="P1146" s="16" t="n">
        <f aca="false">IF(L1146="Yes",0,Scoring!$C$7)</f>
        <v>0.5</v>
      </c>
      <c r="Q1146" s="8" t="n">
        <f aca="false">ROUND(SUM(M1146:P1146),2)</f>
        <v>8.2</v>
      </c>
      <c r="R1146" s="8" t="str">
        <f aca="false">IF(Q1146&gt;=Scoring!$C$10-0.000001,"Keep","Remove")</f>
        <v>Keep</v>
      </c>
      <c r="S1146" s="8" t="s">
        <v>166</v>
      </c>
    </row>
    <row r="1147" customFormat="false" ht="15" hidden="false" customHeight="false" outlineLevel="0" collapsed="false">
      <c r="A1147" s="8" t="s">
        <v>7143</v>
      </c>
      <c r="B1147" s="8" t="s">
        <v>7144</v>
      </c>
      <c r="C1147" s="8" t="s">
        <v>5958</v>
      </c>
      <c r="D1147" s="8" t="s">
        <v>206</v>
      </c>
      <c r="E1147" s="8" t="s">
        <v>103</v>
      </c>
      <c r="F1147" s="8" t="s">
        <v>93</v>
      </c>
      <c r="G1147" s="8" t="n">
        <v>2</v>
      </c>
      <c r="H1147" s="13" t="n">
        <v>4</v>
      </c>
      <c r="I1147" s="8" t="n">
        <v>3</v>
      </c>
      <c r="J1147" s="20" t="s">
        <v>259</v>
      </c>
      <c r="K1147" s="8"/>
      <c r="L1147" s="20" t="s">
        <v>259</v>
      </c>
      <c r="M1147" s="16" t="n">
        <f aca="false">H1147*Scoring!$C$5</f>
        <v>5.2</v>
      </c>
      <c r="N1147" s="16" t="n">
        <f aca="false">IF(I1147&gt;=5,1,IF(I1147=4,0.75,IF(I1147=3,0.5,IF(I1147=2,0.25,0))))*Scoring!$C$8</f>
        <v>0.5</v>
      </c>
      <c r="O1147" s="16" t="n">
        <f aca="false">IF(J1147="Yes",0,Scoring!$C$6)</f>
        <v>2</v>
      </c>
      <c r="P1147" s="16" t="n">
        <f aca="false">IF(L1147="Yes",0,Scoring!$C$7)</f>
        <v>0.5</v>
      </c>
      <c r="Q1147" s="8" t="n">
        <f aca="false">ROUND(SUM(M1147:P1147),2)</f>
        <v>8.2</v>
      </c>
      <c r="R1147" s="8" t="str">
        <f aca="false">IF(Q1147&gt;=Scoring!$C$10-0.000001,"Keep","Remove")</f>
        <v>Keep</v>
      </c>
      <c r="S1147" s="8" t="s">
        <v>166</v>
      </c>
    </row>
    <row r="1148" customFormat="false" ht="15" hidden="false" customHeight="false" outlineLevel="0" collapsed="false">
      <c r="A1148" s="8" t="s">
        <v>7151</v>
      </c>
      <c r="B1148" s="8" t="s">
        <v>7152</v>
      </c>
      <c r="C1148" s="8" t="s">
        <v>5958</v>
      </c>
      <c r="D1148" s="8" t="s">
        <v>206</v>
      </c>
      <c r="E1148" s="8" t="s">
        <v>103</v>
      </c>
      <c r="F1148" s="8" t="s">
        <v>93</v>
      </c>
      <c r="G1148" s="8" t="n">
        <v>2</v>
      </c>
      <c r="H1148" s="13" t="n">
        <v>4</v>
      </c>
      <c r="I1148" s="8" t="n">
        <v>5</v>
      </c>
      <c r="J1148" s="20" t="s">
        <v>259</v>
      </c>
      <c r="K1148" s="8"/>
      <c r="L1148" s="20" t="s">
        <v>259</v>
      </c>
      <c r="M1148" s="16" t="n">
        <f aca="false">H1148*Scoring!$C$5</f>
        <v>5.2</v>
      </c>
      <c r="N1148" s="16" t="n">
        <f aca="false">IF(I1148&gt;=5,1,IF(I1148=4,0.75,IF(I1148=3,0.5,IF(I1148=2,0.25,0))))*Scoring!$C$8</f>
        <v>1</v>
      </c>
      <c r="O1148" s="16" t="n">
        <f aca="false">IF(J1148="Yes",0,Scoring!$C$6)</f>
        <v>2</v>
      </c>
      <c r="P1148" s="16" t="n">
        <f aca="false">IF(L1148="Yes",0,Scoring!$C$7)</f>
        <v>0.5</v>
      </c>
      <c r="Q1148" s="8" t="n">
        <f aca="false">ROUND(SUM(M1148:P1148),2)</f>
        <v>8.7</v>
      </c>
      <c r="R1148" s="8" t="str">
        <f aca="false">IF(Q1148&gt;=Scoring!$C$10-0.000001,"Keep","Remove")</f>
        <v>Keep</v>
      </c>
      <c r="S1148" s="8" t="s">
        <v>166</v>
      </c>
    </row>
    <row r="1149" customFormat="false" ht="15" hidden="false" customHeight="false" outlineLevel="0" collapsed="false">
      <c r="A1149" s="8" t="s">
        <v>7160</v>
      </c>
      <c r="B1149" s="8" t="s">
        <v>7161</v>
      </c>
      <c r="C1149" s="8" t="s">
        <v>5958</v>
      </c>
      <c r="D1149" s="8" t="s">
        <v>206</v>
      </c>
      <c r="E1149" s="8" t="s">
        <v>103</v>
      </c>
      <c r="F1149" s="8" t="s">
        <v>93</v>
      </c>
      <c r="G1149" s="8" t="n">
        <v>2</v>
      </c>
      <c r="H1149" s="13" t="n">
        <v>4</v>
      </c>
      <c r="I1149" s="8" t="n">
        <v>4</v>
      </c>
      <c r="J1149" s="20" t="s">
        <v>259</v>
      </c>
      <c r="K1149" s="8"/>
      <c r="L1149" s="20" t="s">
        <v>259</v>
      </c>
      <c r="M1149" s="16" t="n">
        <f aca="false">H1149*Scoring!$C$5</f>
        <v>5.2</v>
      </c>
      <c r="N1149" s="16" t="n">
        <f aca="false">IF(I1149&gt;=5,1,IF(I1149=4,0.75,IF(I1149=3,0.5,IF(I1149=2,0.25,0))))*Scoring!$C$8</f>
        <v>0.75</v>
      </c>
      <c r="O1149" s="16" t="n">
        <f aca="false">IF(J1149="Yes",0,Scoring!$C$6)</f>
        <v>2</v>
      </c>
      <c r="P1149" s="16" t="n">
        <f aca="false">IF(L1149="Yes",0,Scoring!$C$7)</f>
        <v>0.5</v>
      </c>
      <c r="Q1149" s="8" t="n">
        <f aca="false">ROUND(SUM(M1149:P1149),2)</f>
        <v>8.45</v>
      </c>
      <c r="R1149" s="8" t="str">
        <f aca="false">IF(Q1149&gt;=Scoring!$C$10-0.000001,"Keep","Remove")</f>
        <v>Keep</v>
      </c>
      <c r="S1149" s="8" t="s">
        <v>166</v>
      </c>
    </row>
    <row r="1150" customFormat="false" ht="15" hidden="false" customHeight="false" outlineLevel="0" collapsed="false">
      <c r="A1150" s="8" t="s">
        <v>7167</v>
      </c>
      <c r="B1150" s="8" t="s">
        <v>7168</v>
      </c>
      <c r="C1150" s="8" t="s">
        <v>5958</v>
      </c>
      <c r="D1150" s="8" t="s">
        <v>206</v>
      </c>
      <c r="E1150" s="8" t="s">
        <v>108</v>
      </c>
      <c r="F1150" s="8" t="s">
        <v>96</v>
      </c>
      <c r="G1150" s="8" t="n">
        <v>3</v>
      </c>
      <c r="H1150" s="13" t="n">
        <v>3</v>
      </c>
      <c r="I1150" s="8" t="n">
        <v>3</v>
      </c>
      <c r="J1150" s="20" t="s">
        <v>259</v>
      </c>
      <c r="K1150" s="8"/>
      <c r="L1150" s="20" t="s">
        <v>259</v>
      </c>
      <c r="M1150" s="16" t="n">
        <f aca="false">H1150*Scoring!$C$5</f>
        <v>3.9</v>
      </c>
      <c r="N1150" s="16" t="n">
        <f aca="false">IF(I1150&gt;=5,1,IF(I1150=4,0.75,IF(I1150=3,0.5,IF(I1150=2,0.25,0))))*Scoring!$C$8</f>
        <v>0.5</v>
      </c>
      <c r="O1150" s="16" t="n">
        <f aca="false">IF(J1150="Yes",0,Scoring!$C$6)</f>
        <v>2</v>
      </c>
      <c r="P1150" s="16" t="n">
        <f aca="false">IF(L1150="Yes",0,Scoring!$C$7)</f>
        <v>0.5</v>
      </c>
      <c r="Q1150" s="8" t="n">
        <f aca="false">ROUND(SUM(M1150:P1150),2)</f>
        <v>6.9</v>
      </c>
      <c r="R1150" s="8" t="str">
        <f aca="false">IF(Q1150&gt;=Scoring!$C$10-0.000001,"Keep","Remove")</f>
        <v>Keep</v>
      </c>
      <c r="S1150" s="8" t="s">
        <v>166</v>
      </c>
    </row>
    <row r="1151" customFormat="false" ht="15" hidden="false" customHeight="false" outlineLevel="0" collapsed="false">
      <c r="A1151" s="8" t="s">
        <v>8120</v>
      </c>
      <c r="B1151" s="8" t="s">
        <v>8121</v>
      </c>
      <c r="C1151" s="8" t="s">
        <v>5958</v>
      </c>
      <c r="D1151" s="8" t="s">
        <v>206</v>
      </c>
      <c r="E1151" s="8" t="s">
        <v>103</v>
      </c>
      <c r="F1151" s="8" t="s">
        <v>94</v>
      </c>
      <c r="G1151" s="8" t="n">
        <v>3</v>
      </c>
      <c r="H1151" s="13" t="n">
        <v>2</v>
      </c>
      <c r="I1151" s="8" t="n">
        <v>3</v>
      </c>
      <c r="J1151" s="20" t="s">
        <v>218</v>
      </c>
      <c r="K1151" s="8" t="s">
        <v>8205</v>
      </c>
      <c r="L1151" s="20" t="s">
        <v>259</v>
      </c>
      <c r="M1151" s="16" t="n">
        <f aca="false">H1151*Scoring!$C$5</f>
        <v>2.6</v>
      </c>
      <c r="N1151" s="16" t="n">
        <f aca="false">IF(I1151&gt;=5,1,IF(I1151=4,0.75,IF(I1151=3,0.5,IF(I1151=2,0.25,0))))*Scoring!$C$8</f>
        <v>0.5</v>
      </c>
      <c r="O1151" s="16" t="n">
        <f aca="false">IF(J1151="Yes",0,Scoring!$C$6)</f>
        <v>0</v>
      </c>
      <c r="P1151" s="16" t="n">
        <f aca="false">IF(L1151="Yes",0,Scoring!$C$7)</f>
        <v>0.5</v>
      </c>
      <c r="Q1151" s="8" t="n">
        <f aca="false">ROUND(SUM(M1151:P1151),2)</f>
        <v>3.6</v>
      </c>
      <c r="R1151" s="8" t="str">
        <f aca="false">IF(Q1151&gt;=Scoring!$C$10-0.000001,"Keep","Remove")</f>
        <v>Remove</v>
      </c>
      <c r="S1151" s="8" t="s">
        <v>8122</v>
      </c>
    </row>
    <row r="1152" customFormat="false" ht="15" hidden="false" customHeight="false" outlineLevel="0" collapsed="false">
      <c r="A1152" s="8" t="s">
        <v>7174</v>
      </c>
      <c r="B1152" s="8" t="s">
        <v>7175</v>
      </c>
      <c r="C1152" s="8" t="s">
        <v>5958</v>
      </c>
      <c r="D1152" s="8" t="s">
        <v>206</v>
      </c>
      <c r="E1152" s="8" t="s">
        <v>103</v>
      </c>
      <c r="F1152" s="8" t="s">
        <v>93</v>
      </c>
      <c r="G1152" s="8" t="n">
        <v>2</v>
      </c>
      <c r="H1152" s="13" t="n">
        <v>4</v>
      </c>
      <c r="I1152" s="8" t="n">
        <v>4</v>
      </c>
      <c r="J1152" s="20" t="s">
        <v>259</v>
      </c>
      <c r="K1152" s="8"/>
      <c r="L1152" s="20" t="s">
        <v>259</v>
      </c>
      <c r="M1152" s="16" t="n">
        <f aca="false">H1152*Scoring!$C$5</f>
        <v>5.2</v>
      </c>
      <c r="N1152" s="16" t="n">
        <f aca="false">IF(I1152&gt;=5,1,IF(I1152=4,0.75,IF(I1152=3,0.5,IF(I1152=2,0.25,0))))*Scoring!$C$8</f>
        <v>0.75</v>
      </c>
      <c r="O1152" s="16" t="n">
        <f aca="false">IF(J1152="Yes",0,Scoring!$C$6)</f>
        <v>2</v>
      </c>
      <c r="P1152" s="16" t="n">
        <f aca="false">IF(L1152="Yes",0,Scoring!$C$7)</f>
        <v>0.5</v>
      </c>
      <c r="Q1152" s="8" t="n">
        <f aca="false">ROUND(SUM(M1152:P1152),2)</f>
        <v>8.45</v>
      </c>
      <c r="R1152" s="8" t="str">
        <f aca="false">IF(Q1152&gt;=Scoring!$C$10-0.000001,"Keep","Remove")</f>
        <v>Keep</v>
      </c>
      <c r="S1152" s="8" t="s">
        <v>166</v>
      </c>
    </row>
    <row r="1153" customFormat="false" ht="15" hidden="false" customHeight="false" outlineLevel="0" collapsed="false">
      <c r="A1153" s="8" t="s">
        <v>7182</v>
      </c>
      <c r="B1153" s="8" t="s">
        <v>7183</v>
      </c>
      <c r="C1153" s="8" t="s">
        <v>5958</v>
      </c>
      <c r="D1153" s="8" t="s">
        <v>206</v>
      </c>
      <c r="E1153" s="8" t="s">
        <v>103</v>
      </c>
      <c r="F1153" s="8" t="s">
        <v>93</v>
      </c>
      <c r="G1153" s="8" t="n">
        <v>2</v>
      </c>
      <c r="H1153" s="13" t="n">
        <v>5</v>
      </c>
      <c r="I1153" s="8" t="n">
        <v>2</v>
      </c>
      <c r="J1153" s="20" t="s">
        <v>259</v>
      </c>
      <c r="K1153" s="8"/>
      <c r="L1153" s="20" t="s">
        <v>259</v>
      </c>
      <c r="M1153" s="16" t="n">
        <f aca="false">H1153*Scoring!$C$5</f>
        <v>6.5</v>
      </c>
      <c r="N1153" s="16" t="n">
        <f aca="false">IF(I1153&gt;=5,1,IF(I1153=4,0.75,IF(I1153=3,0.5,IF(I1153=2,0.25,0))))*Scoring!$C$8</f>
        <v>0.25</v>
      </c>
      <c r="O1153" s="16" t="n">
        <f aca="false">IF(J1153="Yes",0,Scoring!$C$6)</f>
        <v>2</v>
      </c>
      <c r="P1153" s="16" t="n">
        <f aca="false">IF(L1153="Yes",0,Scoring!$C$7)</f>
        <v>0.5</v>
      </c>
      <c r="Q1153" s="8" t="n">
        <f aca="false">ROUND(SUM(M1153:P1153),2)</f>
        <v>9.25</v>
      </c>
      <c r="R1153" s="8" t="str">
        <f aca="false">IF(Q1153&gt;=Scoring!$C$10-0.000001,"Keep","Remove")</f>
        <v>Keep</v>
      </c>
      <c r="S1153" s="8" t="s">
        <v>166</v>
      </c>
    </row>
    <row r="1154" customFormat="false" ht="15" hidden="false" customHeight="false" outlineLevel="0" collapsed="false">
      <c r="A1154" s="8" t="s">
        <v>7192</v>
      </c>
      <c r="B1154" s="8" t="s">
        <v>7193</v>
      </c>
      <c r="C1154" s="8" t="s">
        <v>5958</v>
      </c>
      <c r="D1154" s="8" t="s">
        <v>206</v>
      </c>
      <c r="E1154" s="8" t="s">
        <v>103</v>
      </c>
      <c r="F1154" s="8" t="s">
        <v>93</v>
      </c>
      <c r="G1154" s="8" t="n">
        <v>1</v>
      </c>
      <c r="H1154" s="13" t="n">
        <v>5</v>
      </c>
      <c r="I1154" s="8" t="n">
        <v>3</v>
      </c>
      <c r="J1154" s="20" t="s">
        <v>259</v>
      </c>
      <c r="K1154" s="8"/>
      <c r="L1154" s="20" t="s">
        <v>259</v>
      </c>
      <c r="M1154" s="16" t="n">
        <f aca="false">H1154*Scoring!$C$5</f>
        <v>6.5</v>
      </c>
      <c r="N1154" s="16" t="n">
        <f aca="false">IF(I1154&gt;=5,1,IF(I1154=4,0.75,IF(I1154=3,0.5,IF(I1154=2,0.25,0))))*Scoring!$C$8</f>
        <v>0.5</v>
      </c>
      <c r="O1154" s="16" t="n">
        <f aca="false">IF(J1154="Yes",0,Scoring!$C$6)</f>
        <v>2</v>
      </c>
      <c r="P1154" s="16" t="n">
        <f aca="false">IF(L1154="Yes",0,Scoring!$C$7)</f>
        <v>0.5</v>
      </c>
      <c r="Q1154" s="8" t="n">
        <f aca="false">ROUND(SUM(M1154:P1154),2)</f>
        <v>9.5</v>
      </c>
      <c r="R1154" s="8" t="str">
        <f aca="false">IF(Q1154&gt;=Scoring!$C$10-0.000001,"Keep","Remove")</f>
        <v>Keep</v>
      </c>
      <c r="S1154" s="8" t="s">
        <v>166</v>
      </c>
    </row>
    <row r="1155" customFormat="false" ht="15" hidden="false" customHeight="false" outlineLevel="0" collapsed="false">
      <c r="A1155" s="8" t="s">
        <v>7203</v>
      </c>
      <c r="B1155" s="8" t="s">
        <v>7204</v>
      </c>
      <c r="C1155" s="8" t="s">
        <v>5958</v>
      </c>
      <c r="D1155" s="8" t="s">
        <v>206</v>
      </c>
      <c r="E1155" s="8" t="s">
        <v>110</v>
      </c>
      <c r="F1155" s="8" t="s">
        <v>93</v>
      </c>
      <c r="G1155" s="8" t="n">
        <v>1</v>
      </c>
      <c r="H1155" s="13" t="n">
        <v>5</v>
      </c>
      <c r="I1155" s="8" t="n">
        <v>4</v>
      </c>
      <c r="J1155" s="20" t="s">
        <v>259</v>
      </c>
      <c r="K1155" s="8"/>
      <c r="L1155" s="20" t="s">
        <v>259</v>
      </c>
      <c r="M1155" s="16" t="n">
        <f aca="false">H1155*Scoring!$C$5</f>
        <v>6.5</v>
      </c>
      <c r="N1155" s="16" t="n">
        <f aca="false">IF(I1155&gt;=5,1,IF(I1155=4,0.75,IF(I1155=3,0.5,IF(I1155=2,0.25,0))))*Scoring!$C$8</f>
        <v>0.75</v>
      </c>
      <c r="O1155" s="16" t="n">
        <f aca="false">IF(J1155="Yes",0,Scoring!$C$6)</f>
        <v>2</v>
      </c>
      <c r="P1155" s="16" t="n">
        <f aca="false">IF(L1155="Yes",0,Scoring!$C$7)</f>
        <v>0.5</v>
      </c>
      <c r="Q1155" s="8" t="n">
        <f aca="false">ROUND(SUM(M1155:P1155),2)</f>
        <v>9.75</v>
      </c>
      <c r="R1155" s="8" t="str">
        <f aca="false">IF(Q1155&gt;=Scoring!$C$10-0.000001,"Keep","Remove")</f>
        <v>Keep</v>
      </c>
      <c r="S1155" s="8" t="s">
        <v>166</v>
      </c>
    </row>
    <row r="1156" customFormat="false" ht="15" hidden="false" customHeight="false" outlineLevel="0" collapsed="false">
      <c r="A1156" s="8" t="s">
        <v>7209</v>
      </c>
      <c r="B1156" s="8" t="s">
        <v>7210</v>
      </c>
      <c r="C1156" s="8" t="s">
        <v>5958</v>
      </c>
      <c r="D1156" s="8" t="s">
        <v>3309</v>
      </c>
      <c r="E1156" s="8"/>
      <c r="F1156" s="8" t="s">
        <v>93</v>
      </c>
      <c r="G1156" s="8" t="n">
        <v>2</v>
      </c>
      <c r="H1156" s="13" t="n">
        <v>3</v>
      </c>
      <c r="I1156" s="8" t="n">
        <v>4</v>
      </c>
      <c r="J1156" s="20" t="s">
        <v>259</v>
      </c>
      <c r="K1156" s="8"/>
      <c r="L1156" s="20" t="s">
        <v>259</v>
      </c>
      <c r="M1156" s="16" t="n">
        <f aca="false">H1156*Scoring!$C$5</f>
        <v>3.9</v>
      </c>
      <c r="N1156" s="16" t="n">
        <f aca="false">IF(I1156&gt;=5,1,IF(I1156=4,0.75,IF(I1156=3,0.5,IF(I1156=2,0.25,0))))*Scoring!$C$8</f>
        <v>0.75</v>
      </c>
      <c r="O1156" s="16" t="n">
        <f aca="false">IF(J1156="Yes",0,Scoring!$C$6)</f>
        <v>2</v>
      </c>
      <c r="P1156" s="16" t="n">
        <f aca="false">IF(L1156="Yes",0,Scoring!$C$7)</f>
        <v>0.5</v>
      </c>
      <c r="Q1156" s="8" t="n">
        <f aca="false">ROUND(SUM(M1156:P1156),2)</f>
        <v>7.15</v>
      </c>
      <c r="R1156" s="8" t="str">
        <f aca="false">IF(Q1156&gt;=Scoring!$C$10-0.000001,"Keep","Remove")</f>
        <v>Keep</v>
      </c>
      <c r="S1156" s="8" t="s">
        <v>166</v>
      </c>
    </row>
    <row r="1157" customFormat="false" ht="15" hidden="false" customHeight="false" outlineLevel="0" collapsed="false">
      <c r="A1157" s="8" t="s">
        <v>7217</v>
      </c>
      <c r="B1157" s="8" t="s">
        <v>7218</v>
      </c>
      <c r="C1157" s="8" t="s">
        <v>5958</v>
      </c>
      <c r="D1157" s="8" t="s">
        <v>3435</v>
      </c>
      <c r="E1157" s="8"/>
      <c r="F1157" s="8" t="s">
        <v>93</v>
      </c>
      <c r="G1157" s="8" t="n">
        <v>2</v>
      </c>
      <c r="H1157" s="13" t="n">
        <v>3</v>
      </c>
      <c r="I1157" s="8" t="n">
        <v>3</v>
      </c>
      <c r="J1157" s="20" t="s">
        <v>259</v>
      </c>
      <c r="K1157" s="8"/>
      <c r="L1157" s="20" t="s">
        <v>259</v>
      </c>
      <c r="M1157" s="16" t="n">
        <f aca="false">H1157*Scoring!$C$5</f>
        <v>3.9</v>
      </c>
      <c r="N1157" s="16" t="n">
        <f aca="false">IF(I1157&gt;=5,1,IF(I1157=4,0.75,IF(I1157=3,0.5,IF(I1157=2,0.25,0))))*Scoring!$C$8</f>
        <v>0.5</v>
      </c>
      <c r="O1157" s="16" t="n">
        <f aca="false">IF(J1157="Yes",0,Scoring!$C$6)</f>
        <v>2</v>
      </c>
      <c r="P1157" s="16" t="n">
        <f aca="false">IF(L1157="Yes",0,Scoring!$C$7)</f>
        <v>0.5</v>
      </c>
      <c r="Q1157" s="8" t="n">
        <f aca="false">ROUND(SUM(M1157:P1157),2)</f>
        <v>6.9</v>
      </c>
      <c r="R1157" s="8" t="str">
        <f aca="false">IF(Q1157&gt;=Scoring!$C$10-0.000001,"Keep","Remove")</f>
        <v>Keep</v>
      </c>
      <c r="S1157" s="8" t="s">
        <v>166</v>
      </c>
    </row>
    <row r="1158" customFormat="false" ht="15" hidden="false" customHeight="false" outlineLevel="0" collapsed="false">
      <c r="A1158" s="8" t="s">
        <v>7987</v>
      </c>
      <c r="B1158" s="8" t="s">
        <v>7988</v>
      </c>
      <c r="C1158" s="8" t="s">
        <v>5958</v>
      </c>
      <c r="D1158" s="8" t="s">
        <v>3435</v>
      </c>
      <c r="E1158" s="8"/>
      <c r="F1158" s="8" t="s">
        <v>94</v>
      </c>
      <c r="G1158" s="8" t="n">
        <v>3</v>
      </c>
      <c r="H1158" s="13" t="n">
        <v>2</v>
      </c>
      <c r="I1158" s="8" t="n">
        <v>4</v>
      </c>
      <c r="J1158" s="20" t="s">
        <v>259</v>
      </c>
      <c r="K1158" s="8"/>
      <c r="L1158" s="20" t="s">
        <v>259</v>
      </c>
      <c r="M1158" s="16" t="n">
        <f aca="false">H1158*Scoring!$C$5</f>
        <v>2.6</v>
      </c>
      <c r="N1158" s="16" t="n">
        <f aca="false">IF(I1158&gt;=5,1,IF(I1158=4,0.75,IF(I1158=3,0.5,IF(I1158=2,0.25,0))))*Scoring!$C$8</f>
        <v>0.75</v>
      </c>
      <c r="O1158" s="16" t="n">
        <f aca="false">IF(J1158="Yes",0,Scoring!$C$6)</f>
        <v>2</v>
      </c>
      <c r="P1158" s="16" t="n">
        <f aca="false">IF(L1158="Yes",0,Scoring!$C$7)</f>
        <v>0.5</v>
      </c>
      <c r="Q1158" s="8" t="n">
        <f aca="false">ROUND(SUM(M1158:P1158),2)</f>
        <v>5.85</v>
      </c>
      <c r="R1158" s="8" t="str">
        <f aca="false">IF(Q1158&gt;=Scoring!$C$10-0.000001,"Keep","Remove")</f>
        <v>Remove</v>
      </c>
      <c r="S1158" s="8" t="s">
        <v>7243</v>
      </c>
    </row>
    <row r="1159" customFormat="false" ht="15" hidden="false" customHeight="false" outlineLevel="0" collapsed="false">
      <c r="A1159" s="8" t="s">
        <v>8041</v>
      </c>
      <c r="B1159" s="8" t="s">
        <v>8042</v>
      </c>
      <c r="C1159" s="8" t="s">
        <v>5958</v>
      </c>
      <c r="D1159" s="8" t="s">
        <v>2532</v>
      </c>
      <c r="E1159" s="8" t="s">
        <v>8043</v>
      </c>
      <c r="F1159" s="8" t="s">
        <v>94</v>
      </c>
      <c r="G1159" s="8" t="n">
        <v>3</v>
      </c>
      <c r="H1159" s="13" t="n">
        <v>2</v>
      </c>
      <c r="I1159" s="8" t="n">
        <v>3</v>
      </c>
      <c r="J1159" s="20" t="s">
        <v>259</v>
      </c>
      <c r="K1159" s="8"/>
      <c r="L1159" s="20" t="s">
        <v>259</v>
      </c>
      <c r="M1159" s="16" t="n">
        <f aca="false">H1159*Scoring!$C$5</f>
        <v>2.6</v>
      </c>
      <c r="N1159" s="16" t="n">
        <f aca="false">IF(I1159&gt;=5,1,IF(I1159=4,0.75,IF(I1159=3,0.5,IF(I1159=2,0.25,0))))*Scoring!$C$8</f>
        <v>0.5</v>
      </c>
      <c r="O1159" s="16" t="n">
        <f aca="false">IF(J1159="Yes",0,Scoring!$C$6)</f>
        <v>2</v>
      </c>
      <c r="P1159" s="16" t="n">
        <f aca="false">IF(L1159="Yes",0,Scoring!$C$7)</f>
        <v>0.5</v>
      </c>
      <c r="Q1159" s="8" t="n">
        <f aca="false">ROUND(SUM(M1159:P1159),2)</f>
        <v>5.6</v>
      </c>
      <c r="R1159" s="8" t="str">
        <f aca="false">IF(Q1159&gt;=Scoring!$C$10-0.000001,"Keep","Remove")</f>
        <v>Remove</v>
      </c>
      <c r="S1159" s="8" t="s">
        <v>7243</v>
      </c>
    </row>
  </sheetData>
  <autoFilter ref="A1:S1159"/>
  <conditionalFormatting sqref="R2:R1159">
    <cfRule type="cellIs" priority="2" operator="equal" aboveAverage="0" equalAverage="0" bottom="0" percent="0" rank="0" text="" dxfId="8">
      <formula>"Keep"</formula>
    </cfRule>
    <cfRule type="cellIs" priority="3" operator="equal" aboveAverage="0" equalAverage="0" bottom="0" percent="0" rank="0" text="" dxfId="9">
      <formula>"Remove"</formula>
    </cfRule>
  </conditionalFormatting>
  <dataValidations count="2">
    <dataValidation allowBlank="false" errorStyle="stop" operator="between" showDropDown="false" showErrorMessage="false" showInputMessage="false" sqref="J2:J1159 L2:L1159" type="list">
      <formula1>"Yes,No"</formula1>
      <formula2>0</formula2>
    </dataValidation>
    <dataValidation allowBlank="false" errorStyle="stop" operator="between" showDropDown="false" showErrorMessage="false" showInputMessage="false" sqref="H2:H115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6"/>
    <col collapsed="false" customWidth="true" hidden="false" outlineLevel="0" max="4" min="4" style="0" width="70"/>
  </cols>
  <sheetData>
    <row r="1" customFormat="false" ht="19.7" hidden="false" customHeight="false" outlineLevel="0" collapsed="false">
      <c r="A1" s="1" t="s">
        <v>8206</v>
      </c>
    </row>
    <row r="2" customFormat="false" ht="48" hidden="false" customHeight="true" outlineLevel="0" collapsed="false">
      <c r="A2" s="3" t="s">
        <v>8207</v>
      </c>
      <c r="B2" s="22" t="s">
        <v>13</v>
      </c>
      <c r="C2" s="22"/>
      <c r="D2" s="22"/>
    </row>
    <row r="4" customFormat="false" ht="30" hidden="false" customHeight="true" outlineLevel="0" collapsed="false">
      <c r="A4" s="17" t="s">
        <v>8208</v>
      </c>
      <c r="B4" s="17" t="s">
        <v>8209</v>
      </c>
      <c r="C4" s="17" t="s">
        <v>8210</v>
      </c>
      <c r="D4" s="17" t="s">
        <v>8211</v>
      </c>
    </row>
    <row r="5" customFormat="false" ht="15" hidden="false" customHeight="false" outlineLevel="0" collapsed="false">
      <c r="A5" s="8" t="s">
        <v>8212</v>
      </c>
      <c r="B5" s="8" t="s">
        <v>25</v>
      </c>
      <c r="C5" s="8" t="n">
        <v>0</v>
      </c>
      <c r="D5" s="8" t="s">
        <v>8213</v>
      </c>
    </row>
    <row r="6" customFormat="false" ht="15" hidden="false" customHeight="false" outlineLevel="0" collapsed="false">
      <c r="A6" s="8" t="s">
        <v>8214</v>
      </c>
      <c r="B6" s="8" t="s">
        <v>25</v>
      </c>
      <c r="C6" s="8" t="n">
        <v>1</v>
      </c>
      <c r="D6" s="8" t="s">
        <v>8213</v>
      </c>
    </row>
    <row r="7" customFormat="false" ht="15" hidden="false" customHeight="false" outlineLevel="0" collapsed="false">
      <c r="A7" s="8" t="s">
        <v>8215</v>
      </c>
      <c r="B7" s="8" t="s">
        <v>25</v>
      </c>
      <c r="C7" s="8" t="n">
        <v>0</v>
      </c>
      <c r="D7" s="8" t="s">
        <v>8213</v>
      </c>
    </row>
    <row r="8" customFormat="false" ht="15" hidden="false" customHeight="false" outlineLevel="0" collapsed="false">
      <c r="A8" s="8" t="s">
        <v>6880</v>
      </c>
      <c r="B8" s="8" t="s">
        <v>25</v>
      </c>
      <c r="C8" s="8" t="n">
        <v>5</v>
      </c>
      <c r="D8" s="8" t="s">
        <v>8213</v>
      </c>
    </row>
    <row r="9" customFormat="false" ht="15" hidden="false" customHeight="false" outlineLevel="0" collapsed="false">
      <c r="A9" s="8" t="s">
        <v>6870</v>
      </c>
      <c r="B9" s="8" t="s">
        <v>25</v>
      </c>
      <c r="C9" s="8" t="n">
        <v>27</v>
      </c>
      <c r="D9" s="8" t="s">
        <v>8213</v>
      </c>
    </row>
    <row r="10" customFormat="false" ht="15" hidden="false" customHeight="false" outlineLevel="0" collapsed="false">
      <c r="A10" s="8" t="s">
        <v>7040</v>
      </c>
      <c r="B10" s="8" t="s">
        <v>25</v>
      </c>
      <c r="C10" s="8" t="n">
        <v>8</v>
      </c>
      <c r="D10" s="8" t="s">
        <v>8213</v>
      </c>
    </row>
    <row r="11" customFormat="false" ht="15" hidden="false" customHeight="false" outlineLevel="0" collapsed="false">
      <c r="A11" s="8" t="s">
        <v>6256</v>
      </c>
      <c r="B11" s="8" t="s">
        <v>25</v>
      </c>
      <c r="C11" s="8" t="n">
        <v>5</v>
      </c>
      <c r="D11" s="8" t="s">
        <v>8213</v>
      </c>
    </row>
    <row r="12" customFormat="false" ht="15" hidden="false" customHeight="false" outlineLevel="0" collapsed="false">
      <c r="A12" s="8" t="s">
        <v>8216</v>
      </c>
      <c r="B12" s="8" t="s">
        <v>25</v>
      </c>
      <c r="C12" s="8" t="n">
        <v>0</v>
      </c>
      <c r="D12" s="8" t="s">
        <v>8213</v>
      </c>
    </row>
    <row r="13" customFormat="false" ht="15" hidden="false" customHeight="false" outlineLevel="0" collapsed="false">
      <c r="A13" s="8" t="s">
        <v>3614</v>
      </c>
      <c r="B13" s="8" t="s">
        <v>25</v>
      </c>
      <c r="C13" s="8" t="n">
        <v>18</v>
      </c>
      <c r="D13" s="8" t="s">
        <v>8213</v>
      </c>
    </row>
    <row r="14" customFormat="false" ht="15" hidden="false" customHeight="false" outlineLevel="0" collapsed="false">
      <c r="A14" s="8" t="s">
        <v>8217</v>
      </c>
      <c r="B14" s="8" t="s">
        <v>25</v>
      </c>
      <c r="C14" s="8" t="n">
        <v>1</v>
      </c>
      <c r="D14" s="8" t="s">
        <v>8213</v>
      </c>
    </row>
    <row r="15" customFormat="false" ht="15" hidden="false" customHeight="false" outlineLevel="0" collapsed="false">
      <c r="A15" s="8" t="s">
        <v>8218</v>
      </c>
      <c r="B15" s="8" t="s">
        <v>25</v>
      </c>
      <c r="C15" s="8" t="n">
        <v>0</v>
      </c>
      <c r="D15" s="8" t="s">
        <v>8213</v>
      </c>
    </row>
    <row r="16" customFormat="false" ht="15" hidden="false" customHeight="false" outlineLevel="0" collapsed="false">
      <c r="A16" s="8" t="s">
        <v>8219</v>
      </c>
      <c r="B16" s="8" t="s">
        <v>25</v>
      </c>
      <c r="C16" s="8" t="n">
        <v>0</v>
      </c>
      <c r="D16" s="8" t="s">
        <v>8213</v>
      </c>
    </row>
    <row r="17" customFormat="false" ht="15" hidden="false" customHeight="false" outlineLevel="0" collapsed="false">
      <c r="A17" s="8" t="s">
        <v>8220</v>
      </c>
      <c r="B17" s="8" t="s">
        <v>25</v>
      </c>
      <c r="C17" s="8" t="n">
        <v>21</v>
      </c>
      <c r="D17" s="8" t="s">
        <v>8213</v>
      </c>
    </row>
    <row r="18" customFormat="false" ht="15" hidden="false" customHeight="false" outlineLevel="0" collapsed="false">
      <c r="A18" s="8" t="s">
        <v>8221</v>
      </c>
      <c r="B18" s="8" t="s">
        <v>25</v>
      </c>
      <c r="C18" s="8" t="n">
        <v>0</v>
      </c>
      <c r="D18" s="8" t="s">
        <v>8213</v>
      </c>
    </row>
    <row r="19" customFormat="false" ht="15" hidden="false" customHeight="false" outlineLevel="0" collapsed="false">
      <c r="A19" s="8" t="s">
        <v>8222</v>
      </c>
      <c r="B19" s="8" t="s">
        <v>25</v>
      </c>
      <c r="C19" s="8" t="n">
        <v>0</v>
      </c>
      <c r="D19" s="8" t="s">
        <v>8213</v>
      </c>
    </row>
    <row r="20" customFormat="false" ht="15" hidden="false" customHeight="false" outlineLevel="0" collapsed="false">
      <c r="A20" s="8" t="s">
        <v>6127</v>
      </c>
      <c r="B20" s="8" t="s">
        <v>25</v>
      </c>
      <c r="C20" s="8" t="n">
        <v>3</v>
      </c>
      <c r="D20" s="8" t="s">
        <v>8213</v>
      </c>
    </row>
    <row r="21" customFormat="false" ht="15" hidden="false" customHeight="false" outlineLevel="0" collapsed="false">
      <c r="A21" s="8" t="s">
        <v>5776</v>
      </c>
      <c r="B21" s="8" t="s">
        <v>25</v>
      </c>
      <c r="C21" s="8" t="n">
        <v>43</v>
      </c>
      <c r="D21" s="8" t="s">
        <v>8213</v>
      </c>
    </row>
    <row r="22" customFormat="false" ht="15" hidden="false" customHeight="false" outlineLevel="0" collapsed="false">
      <c r="A22" s="8" t="s">
        <v>1925</v>
      </c>
      <c r="B22" s="8" t="s">
        <v>25</v>
      </c>
      <c r="C22" s="8" t="n">
        <v>0</v>
      </c>
      <c r="D22" s="8" t="s">
        <v>8213</v>
      </c>
    </row>
    <row r="23" customFormat="false" ht="15" hidden="false" customHeight="false" outlineLevel="0" collapsed="false">
      <c r="A23" s="8" t="s">
        <v>8223</v>
      </c>
      <c r="B23" s="8" t="s">
        <v>25</v>
      </c>
      <c r="C23" s="8" t="n">
        <v>19</v>
      </c>
      <c r="D23" s="8" t="s">
        <v>8213</v>
      </c>
    </row>
    <row r="24" customFormat="false" ht="15" hidden="false" customHeight="false" outlineLevel="0" collapsed="false">
      <c r="A24" s="8" t="s">
        <v>8224</v>
      </c>
      <c r="B24" s="8" t="s">
        <v>25</v>
      </c>
      <c r="C24" s="8" t="n">
        <v>9</v>
      </c>
      <c r="D24" s="8" t="s">
        <v>8213</v>
      </c>
    </row>
    <row r="25" customFormat="false" ht="15" hidden="false" customHeight="false" outlineLevel="0" collapsed="false">
      <c r="A25" s="8" t="s">
        <v>4072</v>
      </c>
      <c r="B25" s="8" t="s">
        <v>25</v>
      </c>
      <c r="C25" s="8" t="n">
        <v>111</v>
      </c>
      <c r="D25" s="8" t="s">
        <v>8213</v>
      </c>
    </row>
    <row r="26" customFormat="false" ht="15" hidden="false" customHeight="false" outlineLevel="0" collapsed="false">
      <c r="A26" s="8" t="s">
        <v>1999</v>
      </c>
      <c r="B26" s="8" t="s">
        <v>25</v>
      </c>
      <c r="C26" s="8" t="n">
        <v>59</v>
      </c>
      <c r="D26" s="8" t="s">
        <v>8213</v>
      </c>
    </row>
    <row r="27" customFormat="false" ht="15" hidden="false" customHeight="false" outlineLevel="0" collapsed="false">
      <c r="A27" s="8" t="s">
        <v>2834</v>
      </c>
      <c r="B27" s="8" t="s">
        <v>25</v>
      </c>
      <c r="C27" s="8" t="n">
        <v>59</v>
      </c>
      <c r="D27" s="8" t="s">
        <v>8213</v>
      </c>
    </row>
    <row r="28" customFormat="false" ht="15" hidden="false" customHeight="false" outlineLevel="0" collapsed="false">
      <c r="A28" s="8" t="s">
        <v>8225</v>
      </c>
      <c r="B28" s="8" t="s">
        <v>25</v>
      </c>
      <c r="C28" s="8" t="n">
        <v>0</v>
      </c>
      <c r="D28" s="8" t="s">
        <v>8213</v>
      </c>
    </row>
    <row r="29" customFormat="false" ht="15" hidden="false" customHeight="false" outlineLevel="0" collapsed="false">
      <c r="A29" s="8" t="s">
        <v>8226</v>
      </c>
      <c r="B29" s="8" t="s">
        <v>25</v>
      </c>
      <c r="C29" s="8" t="n">
        <v>0</v>
      </c>
      <c r="D29" s="8" t="s">
        <v>8213</v>
      </c>
    </row>
    <row r="30" customFormat="false" ht="15" hidden="false" customHeight="false" outlineLevel="0" collapsed="false">
      <c r="A30" s="8" t="s">
        <v>1559</v>
      </c>
      <c r="B30" s="8" t="s">
        <v>25</v>
      </c>
      <c r="C30" s="8" t="n">
        <v>48</v>
      </c>
      <c r="D30" s="8" t="s">
        <v>8213</v>
      </c>
    </row>
    <row r="31" customFormat="false" ht="15" hidden="false" customHeight="false" outlineLevel="0" collapsed="false">
      <c r="A31" s="8" t="s">
        <v>6330</v>
      </c>
      <c r="B31" s="8" t="s">
        <v>25</v>
      </c>
      <c r="C31" s="8" t="n">
        <v>7</v>
      </c>
      <c r="D31" s="8" t="s">
        <v>8213</v>
      </c>
    </row>
    <row r="32" customFormat="false" ht="15" hidden="false" customHeight="false" outlineLevel="0" collapsed="false">
      <c r="A32" s="8" t="s">
        <v>6913</v>
      </c>
      <c r="B32" s="8" t="s">
        <v>25</v>
      </c>
      <c r="C32" s="8" t="n">
        <v>84</v>
      </c>
      <c r="D32" s="8" t="s">
        <v>8213</v>
      </c>
    </row>
    <row r="33" customFormat="false" ht="15" hidden="false" customHeight="false" outlineLevel="0" collapsed="false">
      <c r="A33" s="8" t="s">
        <v>8227</v>
      </c>
      <c r="B33" s="8" t="s">
        <v>25</v>
      </c>
      <c r="C33" s="8" t="n">
        <v>3</v>
      </c>
      <c r="D33" s="8" t="s">
        <v>8213</v>
      </c>
    </row>
    <row r="34" customFormat="false" ht="15" hidden="false" customHeight="false" outlineLevel="0" collapsed="false">
      <c r="A34" s="8" t="s">
        <v>8228</v>
      </c>
      <c r="B34" s="8" t="s">
        <v>25</v>
      </c>
      <c r="C34" s="8" t="n">
        <v>22</v>
      </c>
      <c r="D34" s="8" t="s">
        <v>8213</v>
      </c>
    </row>
    <row r="35" customFormat="false" ht="15" hidden="false" customHeight="false" outlineLevel="0" collapsed="false">
      <c r="A35" s="8" t="s">
        <v>8229</v>
      </c>
      <c r="B35" s="8" t="s">
        <v>25</v>
      </c>
      <c r="C35" s="8" t="n">
        <v>0</v>
      </c>
      <c r="D35" s="8" t="s">
        <v>8213</v>
      </c>
    </row>
    <row r="36" customFormat="false" ht="15" hidden="false" customHeight="false" outlineLevel="0" collapsed="false">
      <c r="A36" s="8" t="s">
        <v>8230</v>
      </c>
      <c r="B36" s="8" t="s">
        <v>25</v>
      </c>
      <c r="C36" s="8" t="n">
        <v>6</v>
      </c>
      <c r="D36" s="8" t="s">
        <v>8213</v>
      </c>
    </row>
    <row r="37" customFormat="false" ht="15" hidden="false" customHeight="false" outlineLevel="0" collapsed="false">
      <c r="A37" s="8" t="s">
        <v>3984</v>
      </c>
      <c r="B37" s="8" t="s">
        <v>25</v>
      </c>
      <c r="C37" s="8" t="n">
        <v>29</v>
      </c>
      <c r="D37" s="8" t="s">
        <v>8213</v>
      </c>
    </row>
    <row r="38" customFormat="false" ht="15" hidden="false" customHeight="false" outlineLevel="0" collapsed="false">
      <c r="A38" s="8" t="s">
        <v>2396</v>
      </c>
      <c r="B38" s="8" t="s">
        <v>25</v>
      </c>
      <c r="C38" s="8" t="n">
        <v>150</v>
      </c>
      <c r="D38" s="8" t="s">
        <v>8213</v>
      </c>
    </row>
    <row r="39" customFormat="false" ht="15" hidden="false" customHeight="false" outlineLevel="0" collapsed="false">
      <c r="A39" s="8" t="s">
        <v>8231</v>
      </c>
      <c r="B39" s="8" t="s">
        <v>25</v>
      </c>
      <c r="C39" s="8" t="n">
        <v>0</v>
      </c>
      <c r="D39" s="8" t="s">
        <v>8213</v>
      </c>
    </row>
    <row r="40" customFormat="false" ht="15" hidden="false" customHeight="false" outlineLevel="0" collapsed="false">
      <c r="A40" s="8" t="s">
        <v>8232</v>
      </c>
      <c r="B40" s="8" t="s">
        <v>25</v>
      </c>
      <c r="C40" s="8" t="n">
        <v>0</v>
      </c>
      <c r="D40" s="8" t="s">
        <v>8213</v>
      </c>
    </row>
    <row r="41" customFormat="false" ht="15" hidden="false" customHeight="false" outlineLevel="0" collapsed="false">
      <c r="A41" s="8" t="s">
        <v>8233</v>
      </c>
      <c r="B41" s="8" t="s">
        <v>25</v>
      </c>
      <c r="C41" s="8" t="n">
        <v>3</v>
      </c>
      <c r="D41" s="8" t="s">
        <v>8213</v>
      </c>
    </row>
    <row r="42" customFormat="false" ht="15" hidden="false" customHeight="false" outlineLevel="0" collapsed="false">
      <c r="A42" s="8" t="s">
        <v>8234</v>
      </c>
      <c r="B42" s="8" t="s">
        <v>25</v>
      </c>
      <c r="C42" s="8" t="n">
        <v>20</v>
      </c>
      <c r="D42" s="8" t="s">
        <v>8213</v>
      </c>
    </row>
    <row r="43" customFormat="false" ht="15" hidden="false" customHeight="false" outlineLevel="0" collapsed="false">
      <c r="A43" s="8" t="s">
        <v>8235</v>
      </c>
      <c r="B43" s="8" t="s">
        <v>25</v>
      </c>
      <c r="C43" s="8" t="n">
        <v>0</v>
      </c>
      <c r="D43" s="8" t="s">
        <v>8213</v>
      </c>
    </row>
    <row r="44" customFormat="false" ht="15" hidden="false" customHeight="false" outlineLevel="0" collapsed="false">
      <c r="A44" s="8" t="s">
        <v>8236</v>
      </c>
      <c r="B44" s="8" t="s">
        <v>25</v>
      </c>
      <c r="C44" s="8" t="n">
        <v>0</v>
      </c>
      <c r="D44" s="8" t="s">
        <v>8213</v>
      </c>
    </row>
    <row r="45" customFormat="false" ht="15" hidden="false" customHeight="false" outlineLevel="0" collapsed="false">
      <c r="A45" s="8" t="s">
        <v>6881</v>
      </c>
      <c r="B45" s="8" t="s">
        <v>25</v>
      </c>
      <c r="C45" s="8" t="n">
        <v>60</v>
      </c>
      <c r="D45" s="8" t="s">
        <v>8213</v>
      </c>
    </row>
    <row r="46" customFormat="false" ht="15" hidden="false" customHeight="false" outlineLevel="0" collapsed="false">
      <c r="A46" s="8" t="s">
        <v>8237</v>
      </c>
      <c r="B46" s="8" t="s">
        <v>25</v>
      </c>
      <c r="C46" s="8" t="n">
        <v>0</v>
      </c>
      <c r="D46" s="8" t="s">
        <v>8213</v>
      </c>
    </row>
    <row r="47" customFormat="false" ht="15" hidden="false" customHeight="false" outlineLevel="0" collapsed="false">
      <c r="A47" s="8" t="s">
        <v>8238</v>
      </c>
      <c r="B47" s="8" t="s">
        <v>25</v>
      </c>
      <c r="C47" s="8" t="n">
        <v>0</v>
      </c>
      <c r="D47" s="8" t="s">
        <v>8213</v>
      </c>
    </row>
    <row r="48" customFormat="false" ht="15" hidden="false" customHeight="false" outlineLevel="0" collapsed="false">
      <c r="A48" s="8" t="s">
        <v>6038</v>
      </c>
      <c r="B48" s="8" t="s">
        <v>25</v>
      </c>
      <c r="C48" s="8" t="n">
        <v>151</v>
      </c>
      <c r="D48" s="8" t="s">
        <v>8213</v>
      </c>
    </row>
    <row r="49" customFormat="false" ht="15" hidden="false" customHeight="false" outlineLevel="0" collapsed="false">
      <c r="A49" s="8" t="s">
        <v>8239</v>
      </c>
      <c r="B49" s="8" t="s">
        <v>25</v>
      </c>
      <c r="C49" s="8" t="n">
        <v>3</v>
      </c>
      <c r="D49" s="8" t="s">
        <v>8213</v>
      </c>
    </row>
    <row r="50" customFormat="false" ht="15" hidden="false" customHeight="false" outlineLevel="0" collapsed="false">
      <c r="A50" s="8" t="s">
        <v>8240</v>
      </c>
      <c r="B50" s="8" t="s">
        <v>25</v>
      </c>
      <c r="C50" s="8" t="n">
        <v>14</v>
      </c>
      <c r="D50" s="8" t="s">
        <v>8213</v>
      </c>
    </row>
    <row r="51" customFormat="false" ht="15" hidden="false" customHeight="false" outlineLevel="0" collapsed="false">
      <c r="A51" s="8" t="s">
        <v>8241</v>
      </c>
      <c r="B51" s="8" t="s">
        <v>25</v>
      </c>
      <c r="C51" s="8" t="n">
        <v>0</v>
      </c>
      <c r="D51" s="8" t="s">
        <v>8213</v>
      </c>
    </row>
    <row r="52" customFormat="false" ht="15" hidden="false" customHeight="false" outlineLevel="0" collapsed="false">
      <c r="A52" s="8" t="s">
        <v>8242</v>
      </c>
      <c r="B52" s="8" t="s">
        <v>25</v>
      </c>
      <c r="C52" s="8" t="n">
        <v>33</v>
      </c>
      <c r="D52" s="8" t="s">
        <v>8213</v>
      </c>
    </row>
    <row r="53" customFormat="false" ht="15" hidden="false" customHeight="false" outlineLevel="0" collapsed="false">
      <c r="A53" s="8" t="s">
        <v>8243</v>
      </c>
      <c r="B53" s="8" t="s">
        <v>25</v>
      </c>
      <c r="C53" s="8" t="n">
        <v>0</v>
      </c>
      <c r="D53" s="8" t="s">
        <v>8213</v>
      </c>
    </row>
    <row r="54" customFormat="false" ht="15" hidden="false" customHeight="false" outlineLevel="0" collapsed="false">
      <c r="A54" s="8" t="s">
        <v>8244</v>
      </c>
      <c r="B54" s="8" t="s">
        <v>25</v>
      </c>
      <c r="C54" s="8" t="n">
        <v>40</v>
      </c>
      <c r="D54" s="8" t="s">
        <v>8213</v>
      </c>
    </row>
    <row r="55" customFormat="false" ht="15" hidden="false" customHeight="false" outlineLevel="0" collapsed="false">
      <c r="A55" s="8" t="s">
        <v>8245</v>
      </c>
      <c r="B55" s="8" t="s">
        <v>25</v>
      </c>
      <c r="C55" s="8" t="n">
        <v>1</v>
      </c>
      <c r="D55" s="8" t="s">
        <v>8213</v>
      </c>
    </row>
    <row r="56" customFormat="false" ht="15" hidden="false" customHeight="false" outlineLevel="0" collapsed="false">
      <c r="A56" s="8" t="s">
        <v>8246</v>
      </c>
      <c r="B56" s="8" t="s">
        <v>25</v>
      </c>
      <c r="C56" s="8" t="n">
        <v>12</v>
      </c>
      <c r="D56" s="8" t="s">
        <v>8213</v>
      </c>
    </row>
    <row r="57" customFormat="false" ht="15" hidden="false" customHeight="false" outlineLevel="0" collapsed="false">
      <c r="A57" s="8" t="s">
        <v>8247</v>
      </c>
      <c r="B57" s="8" t="s">
        <v>25</v>
      </c>
      <c r="C57" s="8" t="n">
        <v>22</v>
      </c>
      <c r="D57" s="8" t="s">
        <v>8213</v>
      </c>
    </row>
    <row r="58" customFormat="false" ht="15" hidden="false" customHeight="false" outlineLevel="0" collapsed="false">
      <c r="A58" s="8" t="s">
        <v>1922</v>
      </c>
      <c r="B58" s="8" t="s">
        <v>8248</v>
      </c>
      <c r="C58" s="8" t="n">
        <v>3</v>
      </c>
      <c r="D58" s="8" t="s">
        <v>8249</v>
      </c>
    </row>
    <row r="59" customFormat="false" ht="15" hidden="false" customHeight="false" outlineLevel="0" collapsed="false">
      <c r="A59" s="8" t="s">
        <v>214</v>
      </c>
      <c r="B59" s="8" t="s">
        <v>8248</v>
      </c>
      <c r="C59" s="8" t="n">
        <v>82</v>
      </c>
      <c r="D59" s="8" t="s">
        <v>8249</v>
      </c>
    </row>
    <row r="60" customFormat="false" ht="15" hidden="false" customHeight="false" outlineLevel="0" collapsed="false">
      <c r="A60" s="8" t="s">
        <v>764</v>
      </c>
      <c r="B60" s="8" t="s">
        <v>8248</v>
      </c>
      <c r="C60" s="8" t="n">
        <v>68</v>
      </c>
      <c r="D60" s="8" t="s">
        <v>8249</v>
      </c>
    </row>
    <row r="61" customFormat="false" ht="15" hidden="false" customHeight="false" outlineLevel="0" collapsed="false">
      <c r="A61" s="8" t="s">
        <v>1933</v>
      </c>
      <c r="B61" s="8" t="s">
        <v>8248</v>
      </c>
      <c r="C61" s="8" t="n">
        <v>32</v>
      </c>
      <c r="D61" s="8" t="s">
        <v>8249</v>
      </c>
    </row>
    <row r="62" customFormat="false" ht="15" hidden="false" customHeight="false" outlineLevel="0" collapsed="false">
      <c r="A62" s="8" t="s">
        <v>3285</v>
      </c>
      <c r="B62" s="8" t="s">
        <v>8248</v>
      </c>
      <c r="C62" s="8" t="n">
        <v>36</v>
      </c>
      <c r="D62" s="8" t="s">
        <v>8249</v>
      </c>
    </row>
    <row r="63" customFormat="false" ht="15" hidden="false" customHeight="false" outlineLevel="0" collapsed="false">
      <c r="A63" s="8" t="s">
        <v>1868</v>
      </c>
      <c r="B63" s="8" t="s">
        <v>8248</v>
      </c>
      <c r="C63" s="8" t="n">
        <v>14</v>
      </c>
      <c r="D63" s="8" t="s">
        <v>8249</v>
      </c>
    </row>
    <row r="64" customFormat="false" ht="15" hidden="false" customHeight="false" outlineLevel="0" collapsed="false">
      <c r="A64" s="8" t="s">
        <v>345</v>
      </c>
      <c r="B64" s="8" t="s">
        <v>8248</v>
      </c>
      <c r="C64" s="8" t="n">
        <v>39</v>
      </c>
      <c r="D64" s="8" t="s">
        <v>8249</v>
      </c>
    </row>
    <row r="65" customFormat="false" ht="15" hidden="false" customHeight="false" outlineLevel="0" collapsed="false">
      <c r="A65" s="8" t="s">
        <v>668</v>
      </c>
      <c r="B65" s="8" t="s">
        <v>8248</v>
      </c>
      <c r="C65" s="8" t="n">
        <v>31</v>
      </c>
      <c r="D65" s="8" t="s">
        <v>8249</v>
      </c>
    </row>
    <row r="66" customFormat="false" ht="15" hidden="false" customHeight="false" outlineLevel="0" collapsed="false">
      <c r="A66" s="8" t="s">
        <v>1313</v>
      </c>
      <c r="B66" s="8" t="s">
        <v>8248</v>
      </c>
      <c r="C66" s="8" t="n">
        <v>58</v>
      </c>
      <c r="D66" s="8" t="s">
        <v>8249</v>
      </c>
    </row>
    <row r="67" customFormat="false" ht="15" hidden="false" customHeight="false" outlineLevel="0" collapsed="false">
      <c r="A67" s="8" t="s">
        <v>3090</v>
      </c>
      <c r="B67" s="8" t="s">
        <v>8248</v>
      </c>
      <c r="C67" s="8" t="n">
        <v>11</v>
      </c>
      <c r="D67" s="8" t="s">
        <v>8249</v>
      </c>
    </row>
    <row r="68" customFormat="false" ht="15" hidden="false" customHeight="false" outlineLevel="0" collapsed="false">
      <c r="A68" s="8" t="s">
        <v>442</v>
      </c>
      <c r="B68" s="8" t="s">
        <v>8248</v>
      </c>
      <c r="C68" s="8" t="n">
        <v>57</v>
      </c>
      <c r="D68" s="8" t="s">
        <v>8249</v>
      </c>
    </row>
    <row r="69" customFormat="false" ht="15" hidden="false" customHeight="false" outlineLevel="0" collapsed="false">
      <c r="A69" s="8" t="s">
        <v>8250</v>
      </c>
      <c r="B69" s="8" t="s">
        <v>8248</v>
      </c>
      <c r="C69" s="8" t="n">
        <v>0</v>
      </c>
      <c r="D69" s="8" t="s">
        <v>8249</v>
      </c>
    </row>
    <row r="70" customFormat="false" ht="15" hidden="false" customHeight="false" outlineLevel="0" collapsed="false">
      <c r="A70" s="8" t="s">
        <v>552</v>
      </c>
      <c r="B70" s="8" t="s">
        <v>8248</v>
      </c>
      <c r="C70" s="8" t="n">
        <v>47</v>
      </c>
      <c r="D70" s="8" t="s">
        <v>8249</v>
      </c>
    </row>
    <row r="71" customFormat="false" ht="15" hidden="false" customHeight="false" outlineLevel="0" collapsed="false">
      <c r="A71" s="8" t="s">
        <v>8251</v>
      </c>
      <c r="B71" s="8" t="s">
        <v>8248</v>
      </c>
      <c r="C71" s="8" t="n">
        <v>0</v>
      </c>
      <c r="D71" s="8" t="s">
        <v>8249</v>
      </c>
    </row>
    <row r="72" customFormat="false" ht="15" hidden="false" customHeight="false" outlineLevel="0" collapsed="false">
      <c r="A72" s="8" t="s">
        <v>1363</v>
      </c>
      <c r="B72" s="8" t="s">
        <v>8248</v>
      </c>
      <c r="C72" s="8" t="n">
        <v>58</v>
      </c>
      <c r="D72" s="8" t="s">
        <v>8249</v>
      </c>
    </row>
    <row r="73" customFormat="false" ht="15" hidden="false" customHeight="false" outlineLevel="0" collapsed="false">
      <c r="A73" s="8" t="s">
        <v>835</v>
      </c>
      <c r="B73" s="8" t="s">
        <v>8248</v>
      </c>
      <c r="C73" s="8" t="n">
        <v>18</v>
      </c>
      <c r="D73" s="8" t="s">
        <v>8249</v>
      </c>
    </row>
    <row r="74" customFormat="false" ht="15" hidden="false" customHeight="false" outlineLevel="0" collapsed="false">
      <c r="A74" s="8" t="s">
        <v>251</v>
      </c>
      <c r="B74" s="8" t="s">
        <v>8248</v>
      </c>
      <c r="C74" s="8" t="n">
        <v>58</v>
      </c>
      <c r="D74" s="8" t="s">
        <v>8249</v>
      </c>
    </row>
    <row r="75" customFormat="false" ht="15" hidden="false" customHeight="false" outlineLevel="0" collapsed="false">
      <c r="A75" s="8" t="s">
        <v>275</v>
      </c>
      <c r="B75" s="8" t="s">
        <v>8248</v>
      </c>
      <c r="C75" s="8" t="n">
        <v>59</v>
      </c>
      <c r="D75" s="8" t="s">
        <v>8249</v>
      </c>
    </row>
    <row r="76" customFormat="false" ht="15" hidden="false" customHeight="false" outlineLevel="0" collapsed="false">
      <c r="A76" s="8" t="s">
        <v>5964</v>
      </c>
      <c r="B76" s="8" t="s">
        <v>8248</v>
      </c>
      <c r="C76" s="8" t="n">
        <v>5</v>
      </c>
      <c r="D76" s="8" t="s">
        <v>8249</v>
      </c>
    </row>
    <row r="77" customFormat="false" ht="15" hidden="false" customHeight="false" outlineLevel="0" collapsed="false">
      <c r="A77" s="8" t="s">
        <v>2317</v>
      </c>
      <c r="B77" s="8" t="s">
        <v>8248</v>
      </c>
      <c r="C77" s="8" t="n">
        <v>37</v>
      </c>
      <c r="D77" s="8" t="s">
        <v>8249</v>
      </c>
    </row>
    <row r="78" customFormat="false" ht="15" hidden="false" customHeight="false" outlineLevel="0" collapsed="false">
      <c r="A78" s="8" t="s">
        <v>1781</v>
      </c>
      <c r="B78" s="8" t="s">
        <v>8248</v>
      </c>
      <c r="C78" s="8" t="n">
        <v>22</v>
      </c>
      <c r="D78" s="8" t="s">
        <v>8249</v>
      </c>
    </row>
    <row r="79" customFormat="false" ht="15" hidden="false" customHeight="false" outlineLevel="0" collapsed="false">
      <c r="A79" s="8" t="s">
        <v>274</v>
      </c>
      <c r="B79" s="8" t="s">
        <v>8248</v>
      </c>
      <c r="C79" s="8" t="n">
        <v>93</v>
      </c>
      <c r="D79" s="8" t="s">
        <v>8249</v>
      </c>
    </row>
    <row r="80" customFormat="false" ht="15" hidden="false" customHeight="false" outlineLevel="0" collapsed="false">
      <c r="A80" s="8" t="s">
        <v>6155</v>
      </c>
      <c r="B80" s="8" t="s">
        <v>8248</v>
      </c>
      <c r="C80" s="8" t="n">
        <v>1</v>
      </c>
      <c r="D80" s="8" t="s">
        <v>8249</v>
      </c>
    </row>
    <row r="81" customFormat="false" ht="15" hidden="false" customHeight="false" outlineLevel="0" collapsed="false">
      <c r="A81" s="8" t="s">
        <v>3949</v>
      </c>
      <c r="B81" s="8" t="s">
        <v>8248</v>
      </c>
      <c r="C81" s="8" t="n">
        <v>12</v>
      </c>
      <c r="D81" s="8" t="s">
        <v>8249</v>
      </c>
    </row>
    <row r="82" customFormat="false" ht="15" hidden="false" customHeight="false" outlineLevel="0" collapsed="false">
      <c r="A82" s="8" t="s">
        <v>1004</v>
      </c>
      <c r="B82" s="8" t="s">
        <v>8248</v>
      </c>
      <c r="C82" s="8" t="n">
        <v>15</v>
      </c>
      <c r="D82" s="8" t="s">
        <v>8249</v>
      </c>
    </row>
    <row r="83" customFormat="false" ht="15" hidden="false" customHeight="false" outlineLevel="0" collapsed="false">
      <c r="A83" s="8" t="s">
        <v>324</v>
      </c>
      <c r="B83" s="8" t="s">
        <v>8248</v>
      </c>
      <c r="C83" s="8" t="n">
        <v>56</v>
      </c>
      <c r="D83" s="8" t="s">
        <v>8249</v>
      </c>
    </row>
  </sheetData>
  <autoFilter ref="A4:D83"/>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6"/>
    <col collapsed="false" customWidth="true" hidden="false" outlineLevel="0" max="5" min="4" style="0" width="12"/>
    <col collapsed="false" customWidth="true" hidden="false" outlineLevel="0" max="6" min="6" style="0" width="10"/>
  </cols>
  <sheetData>
    <row r="1" customFormat="false" ht="30" hidden="false" customHeight="true" outlineLevel="0" collapsed="false">
      <c r="A1" s="17" t="s">
        <v>177</v>
      </c>
      <c r="B1" s="17" t="s">
        <v>8208</v>
      </c>
      <c r="C1" s="17" t="s">
        <v>8252</v>
      </c>
      <c r="D1" s="17" t="s">
        <v>8253</v>
      </c>
      <c r="E1" s="17" t="s">
        <v>8254</v>
      </c>
      <c r="F1" s="17" t="s">
        <v>8255</v>
      </c>
    </row>
    <row r="2" customFormat="false" ht="15" hidden="false" customHeight="false" outlineLevel="0" collapsed="false">
      <c r="A2" s="8" t="s">
        <v>8256</v>
      </c>
      <c r="B2" s="8" t="s">
        <v>3764</v>
      </c>
      <c r="C2" s="8" t="s">
        <v>8257</v>
      </c>
      <c r="D2" s="8" t="n">
        <f aca="false">COUNTIF(Dishes!$M:$R,B2)</f>
        <v>1</v>
      </c>
      <c r="E2" s="8" t="n">
        <f aca="false">COUNTIF(Drinks!$N:$S,B2)</f>
        <v>0</v>
      </c>
      <c r="F2" s="8" t="n">
        <f aca="false">D2+E2</f>
        <v>1</v>
      </c>
    </row>
    <row r="3" customFormat="false" ht="15" hidden="false" customHeight="false" outlineLevel="0" collapsed="false">
      <c r="A3" s="8" t="s">
        <v>8258</v>
      </c>
      <c r="B3" s="8" t="s">
        <v>5265</v>
      </c>
      <c r="C3" s="8" t="s">
        <v>8259</v>
      </c>
      <c r="D3" s="8" t="n">
        <f aca="false">COUNTIF(Dishes!$M:$R,B3)</f>
        <v>2</v>
      </c>
      <c r="E3" s="8" t="n">
        <f aca="false">COUNTIF(Drinks!$N:$S,B3)</f>
        <v>0</v>
      </c>
      <c r="F3" s="8" t="n">
        <f aca="false">D3+E3</f>
        <v>2</v>
      </c>
    </row>
    <row r="4" customFormat="false" ht="15" hidden="false" customHeight="false" outlineLevel="0" collapsed="false">
      <c r="A4" s="8" t="s">
        <v>8260</v>
      </c>
      <c r="B4" s="8" t="s">
        <v>5419</v>
      </c>
      <c r="C4" s="8" t="s">
        <v>8261</v>
      </c>
      <c r="D4" s="8" t="n">
        <f aca="false">COUNTIF(Dishes!$M:$R,B4)</f>
        <v>1</v>
      </c>
      <c r="E4" s="8" t="n">
        <f aca="false">COUNTIF(Drinks!$N:$S,B4)</f>
        <v>0</v>
      </c>
      <c r="F4" s="8" t="n">
        <f aca="false">D4+E4</f>
        <v>1</v>
      </c>
    </row>
    <row r="5" customFormat="false" ht="15" hidden="false" customHeight="false" outlineLevel="0" collapsed="false">
      <c r="A5" s="8" t="s">
        <v>8262</v>
      </c>
      <c r="B5" s="8" t="s">
        <v>6424</v>
      </c>
      <c r="C5" s="8" t="s">
        <v>8263</v>
      </c>
      <c r="D5" s="8" t="n">
        <f aca="false">COUNTIF(Dishes!$M:$R,B5)</f>
        <v>0</v>
      </c>
      <c r="E5" s="8" t="n">
        <f aca="false">COUNTIF(Drinks!$N:$S,B5)</f>
        <v>2</v>
      </c>
      <c r="F5" s="8" t="n">
        <f aca="false">D5+E5</f>
        <v>2</v>
      </c>
    </row>
    <row r="6" customFormat="false" ht="15" hidden="false" customHeight="false" outlineLevel="0" collapsed="false">
      <c r="A6" s="8" t="s">
        <v>8264</v>
      </c>
      <c r="B6" s="8" t="s">
        <v>4357</v>
      </c>
      <c r="C6" s="8" t="s">
        <v>8265</v>
      </c>
      <c r="D6" s="8" t="n">
        <f aca="false">COUNTIF(Dishes!$M:$R,B6)</f>
        <v>1</v>
      </c>
      <c r="E6" s="8" t="n">
        <f aca="false">COUNTIF(Drinks!$N:$S,B6)</f>
        <v>0</v>
      </c>
      <c r="F6" s="8" t="n">
        <f aca="false">D6+E6</f>
        <v>1</v>
      </c>
    </row>
    <row r="7" customFormat="false" ht="15" hidden="false" customHeight="false" outlineLevel="0" collapsed="false">
      <c r="A7" s="8" t="s">
        <v>8266</v>
      </c>
      <c r="B7" s="8" t="s">
        <v>252</v>
      </c>
      <c r="C7" s="8" t="s">
        <v>8259</v>
      </c>
      <c r="D7" s="8" t="n">
        <f aca="false">COUNTIF(Dishes!$M:$R,B7)</f>
        <v>4</v>
      </c>
      <c r="E7" s="8" t="n">
        <f aca="false">COUNTIF(Drinks!$N:$S,B7)</f>
        <v>0</v>
      </c>
      <c r="F7" s="8" t="n">
        <f aca="false">D7+E7</f>
        <v>4</v>
      </c>
    </row>
    <row r="8" customFormat="false" ht="15" hidden="false" customHeight="false" outlineLevel="0" collapsed="false">
      <c r="A8" s="8" t="s">
        <v>8267</v>
      </c>
      <c r="B8" s="8" t="s">
        <v>6479</v>
      </c>
      <c r="C8" s="8" t="s">
        <v>8268</v>
      </c>
      <c r="D8" s="8" t="n">
        <f aca="false">COUNTIF(Dishes!$M:$R,B8)</f>
        <v>0</v>
      </c>
      <c r="E8" s="8" t="n">
        <f aca="false">COUNTIF(Drinks!$N:$S,B8)</f>
        <v>1</v>
      </c>
      <c r="F8" s="8" t="n">
        <f aca="false">D8+E8</f>
        <v>1</v>
      </c>
    </row>
    <row r="9" customFormat="false" ht="15" hidden="false" customHeight="false" outlineLevel="0" collapsed="false">
      <c r="A9" s="8" t="s">
        <v>8269</v>
      </c>
      <c r="B9" s="8" t="s">
        <v>4714</v>
      </c>
      <c r="C9" s="8" t="s">
        <v>8259</v>
      </c>
      <c r="D9" s="8" t="n">
        <f aca="false">COUNTIF(Dishes!$M:$R,B9)</f>
        <v>3</v>
      </c>
      <c r="E9" s="8" t="n">
        <f aca="false">COUNTIF(Drinks!$N:$S,B9)</f>
        <v>0</v>
      </c>
      <c r="F9" s="8" t="n">
        <f aca="false">D9+E9</f>
        <v>3</v>
      </c>
    </row>
    <row r="10" customFormat="false" ht="15" hidden="false" customHeight="false" outlineLevel="0" collapsed="false">
      <c r="A10" s="8" t="s">
        <v>8270</v>
      </c>
      <c r="B10" s="8" t="s">
        <v>1521</v>
      </c>
      <c r="C10" s="8" t="s">
        <v>8261</v>
      </c>
      <c r="D10" s="8" t="n">
        <f aca="false">COUNTIF(Dishes!$M:$R,B10)</f>
        <v>6</v>
      </c>
      <c r="E10" s="8" t="n">
        <f aca="false">COUNTIF(Drinks!$N:$S,B10)</f>
        <v>4</v>
      </c>
      <c r="F10" s="8" t="n">
        <f aca="false">D10+E10</f>
        <v>10</v>
      </c>
    </row>
    <row r="11" customFormat="false" ht="15" hidden="false" customHeight="false" outlineLevel="0" collapsed="false">
      <c r="A11" s="8" t="s">
        <v>8271</v>
      </c>
      <c r="B11" s="8" t="s">
        <v>4235</v>
      </c>
      <c r="C11" s="8" t="s">
        <v>8272</v>
      </c>
      <c r="D11" s="8" t="n">
        <f aca="false">COUNTIF(Dishes!$M:$R,B11)</f>
        <v>1</v>
      </c>
      <c r="E11" s="8" t="n">
        <f aca="false">COUNTIF(Drinks!$N:$S,B11)</f>
        <v>0</v>
      </c>
      <c r="F11" s="8" t="n">
        <f aca="false">D11+E11</f>
        <v>1</v>
      </c>
    </row>
    <row r="12" customFormat="false" ht="15" hidden="false" customHeight="false" outlineLevel="0" collapsed="false">
      <c r="A12" s="8" t="s">
        <v>8273</v>
      </c>
      <c r="B12" s="8" t="s">
        <v>3509</v>
      </c>
      <c r="C12" s="8" t="s">
        <v>8274</v>
      </c>
      <c r="D12" s="8" t="n">
        <f aca="false">COUNTIF(Dishes!$M:$R,B12)</f>
        <v>3</v>
      </c>
      <c r="E12" s="8" t="n">
        <f aca="false">COUNTIF(Drinks!$N:$S,B12)</f>
        <v>0</v>
      </c>
      <c r="F12" s="8" t="n">
        <f aca="false">D12+E12</f>
        <v>3</v>
      </c>
    </row>
    <row r="13" customFormat="false" ht="15" hidden="false" customHeight="false" outlineLevel="0" collapsed="false">
      <c r="A13" s="8" t="s">
        <v>8275</v>
      </c>
      <c r="B13" s="8" t="s">
        <v>5182</v>
      </c>
      <c r="C13" s="8" t="s">
        <v>8276</v>
      </c>
      <c r="D13" s="8" t="n">
        <f aca="false">COUNTIF(Dishes!$M:$R,B13)</f>
        <v>2</v>
      </c>
      <c r="E13" s="8" t="n">
        <f aca="false">COUNTIF(Drinks!$N:$S,B13)</f>
        <v>0</v>
      </c>
      <c r="F13" s="8" t="n">
        <f aca="false">D13+E13</f>
        <v>2</v>
      </c>
    </row>
    <row r="14" customFormat="false" ht="15" hidden="false" customHeight="false" outlineLevel="0" collapsed="false">
      <c r="A14" s="8" t="s">
        <v>8277</v>
      </c>
      <c r="B14" s="8" t="s">
        <v>5997</v>
      </c>
      <c r="C14" s="8" t="s">
        <v>8257</v>
      </c>
      <c r="D14" s="8" t="n">
        <f aca="false">COUNTIF(Dishes!$M:$R,B14)</f>
        <v>0</v>
      </c>
      <c r="E14" s="8" t="n">
        <f aca="false">COUNTIF(Drinks!$N:$S,B14)</f>
        <v>3</v>
      </c>
      <c r="F14" s="8" t="n">
        <f aca="false">D14+E14</f>
        <v>3</v>
      </c>
    </row>
    <row r="15" customFormat="false" ht="15" hidden="false" customHeight="false" outlineLevel="0" collapsed="false">
      <c r="A15" s="8" t="s">
        <v>8278</v>
      </c>
      <c r="B15" s="8" t="s">
        <v>6454</v>
      </c>
      <c r="C15" s="8" t="s">
        <v>8259</v>
      </c>
      <c r="D15" s="8" t="n">
        <f aca="false">COUNTIF(Dishes!$M:$R,B15)</f>
        <v>0</v>
      </c>
      <c r="E15" s="8" t="n">
        <f aca="false">COUNTIF(Drinks!$N:$S,B15)</f>
        <v>3</v>
      </c>
      <c r="F15" s="8" t="n">
        <f aca="false">D15+E15</f>
        <v>3</v>
      </c>
    </row>
    <row r="16" customFormat="false" ht="15" hidden="false" customHeight="false" outlineLevel="0" collapsed="false">
      <c r="A16" s="8" t="s">
        <v>8279</v>
      </c>
      <c r="B16" s="8" t="s">
        <v>6116</v>
      </c>
      <c r="C16" s="8" t="s">
        <v>8268</v>
      </c>
      <c r="D16" s="8" t="n">
        <f aca="false">COUNTIF(Dishes!$M:$R,B16)</f>
        <v>0</v>
      </c>
      <c r="E16" s="8" t="n">
        <f aca="false">COUNTIF(Drinks!$N:$S,B16)</f>
        <v>1</v>
      </c>
      <c r="F16" s="8" t="n">
        <f aca="false">D16+E16</f>
        <v>1</v>
      </c>
    </row>
    <row r="17" customFormat="false" ht="15" hidden="false" customHeight="false" outlineLevel="0" collapsed="false">
      <c r="A17" s="8" t="s">
        <v>8280</v>
      </c>
      <c r="B17" s="8" t="s">
        <v>4224</v>
      </c>
      <c r="C17" s="8" t="s">
        <v>8261</v>
      </c>
      <c r="D17" s="8" t="n">
        <f aca="false">COUNTIF(Dishes!$M:$R,B17)</f>
        <v>3</v>
      </c>
      <c r="E17" s="8" t="n">
        <f aca="false">COUNTIF(Drinks!$N:$S,B17)</f>
        <v>2</v>
      </c>
      <c r="F17" s="8" t="n">
        <f aca="false">D17+E17</f>
        <v>5</v>
      </c>
    </row>
    <row r="18" customFormat="false" ht="15" hidden="false" customHeight="false" outlineLevel="0" collapsed="false">
      <c r="A18" s="8" t="s">
        <v>8281</v>
      </c>
      <c r="B18" s="8" t="s">
        <v>4603</v>
      </c>
      <c r="C18" s="8" t="s">
        <v>8282</v>
      </c>
      <c r="D18" s="8" t="n">
        <f aca="false">COUNTIF(Dishes!$M:$R,B18)</f>
        <v>1</v>
      </c>
      <c r="E18" s="8" t="n">
        <f aca="false">COUNTIF(Drinks!$N:$S,B18)</f>
        <v>0</v>
      </c>
      <c r="F18" s="8" t="n">
        <f aca="false">D18+E18</f>
        <v>1</v>
      </c>
    </row>
    <row r="19" customFormat="false" ht="15" hidden="false" customHeight="false" outlineLevel="0" collapsed="false">
      <c r="A19" s="8" t="s">
        <v>8283</v>
      </c>
      <c r="B19" s="8" t="s">
        <v>3861</v>
      </c>
      <c r="C19" s="8" t="s">
        <v>8272</v>
      </c>
      <c r="D19" s="8" t="n">
        <f aca="false">COUNTIF(Dishes!$M:$R,B19)</f>
        <v>1</v>
      </c>
      <c r="E19" s="8" t="n">
        <f aca="false">COUNTIF(Drinks!$N:$S,B19)</f>
        <v>0</v>
      </c>
      <c r="F19" s="8" t="n">
        <f aca="false">D19+E19</f>
        <v>1</v>
      </c>
    </row>
    <row r="20" customFormat="false" ht="15" hidden="false" customHeight="false" outlineLevel="0" collapsed="false">
      <c r="A20" s="8" t="s">
        <v>8284</v>
      </c>
      <c r="B20" s="8" t="s">
        <v>564</v>
      </c>
      <c r="C20" s="8" t="s">
        <v>8263</v>
      </c>
      <c r="D20" s="8" t="n">
        <f aca="false">COUNTIF(Dishes!$M:$R,B20)</f>
        <v>1</v>
      </c>
      <c r="E20" s="8" t="n">
        <f aca="false">COUNTIF(Drinks!$N:$S,B20)</f>
        <v>0</v>
      </c>
      <c r="F20" s="8" t="n">
        <f aca="false">D20+E20</f>
        <v>1</v>
      </c>
    </row>
    <row r="21" customFormat="false" ht="15" hidden="false" customHeight="false" outlineLevel="0" collapsed="false">
      <c r="A21" s="8" t="s">
        <v>8285</v>
      </c>
      <c r="B21" s="8" t="s">
        <v>475</v>
      </c>
      <c r="C21" s="8" t="s">
        <v>8259</v>
      </c>
      <c r="D21" s="8" t="n">
        <f aca="false">COUNTIF(Dishes!$M:$R,B21)</f>
        <v>1</v>
      </c>
      <c r="E21" s="8" t="n">
        <f aca="false">COUNTIF(Drinks!$N:$S,B21)</f>
        <v>0</v>
      </c>
      <c r="F21" s="8" t="n">
        <f aca="false">D21+E21</f>
        <v>1</v>
      </c>
    </row>
    <row r="22" customFormat="false" ht="15" hidden="false" customHeight="false" outlineLevel="0" collapsed="false">
      <c r="A22" s="8" t="s">
        <v>8286</v>
      </c>
      <c r="B22" s="8" t="s">
        <v>553</v>
      </c>
      <c r="C22" s="8" t="s">
        <v>8287</v>
      </c>
      <c r="D22" s="8" t="n">
        <f aca="false">COUNTIF(Dishes!$M:$R,B22)</f>
        <v>1</v>
      </c>
      <c r="E22" s="8" t="n">
        <f aca="false">COUNTIF(Drinks!$N:$S,B22)</f>
        <v>0</v>
      </c>
      <c r="F22" s="8" t="n">
        <f aca="false">D22+E22</f>
        <v>1</v>
      </c>
    </row>
    <row r="23" customFormat="false" ht="15" hidden="false" customHeight="false" outlineLevel="0" collapsed="false">
      <c r="A23" s="8" t="s">
        <v>8288</v>
      </c>
      <c r="B23" s="8" t="s">
        <v>574</v>
      </c>
      <c r="C23" s="8" t="s">
        <v>8287</v>
      </c>
      <c r="D23" s="8" t="n">
        <f aca="false">COUNTIF(Dishes!$M:$R,B23)</f>
        <v>6</v>
      </c>
      <c r="E23" s="8" t="n">
        <f aca="false">COUNTIF(Drinks!$N:$S,B23)</f>
        <v>0</v>
      </c>
      <c r="F23" s="8" t="n">
        <f aca="false">D23+E23</f>
        <v>6</v>
      </c>
    </row>
    <row r="24" customFormat="false" ht="15" hidden="false" customHeight="false" outlineLevel="0" collapsed="false">
      <c r="A24" s="8" t="s">
        <v>8289</v>
      </c>
      <c r="B24" s="8" t="s">
        <v>1245</v>
      </c>
      <c r="C24" s="8" t="s">
        <v>8287</v>
      </c>
      <c r="D24" s="8" t="n">
        <f aca="false">COUNTIF(Dishes!$M:$R,B24)</f>
        <v>1</v>
      </c>
      <c r="E24" s="8" t="n">
        <f aca="false">COUNTIF(Drinks!$N:$S,B24)</f>
        <v>0</v>
      </c>
      <c r="F24" s="8" t="n">
        <f aca="false">D24+E24</f>
        <v>1</v>
      </c>
    </row>
    <row r="25" customFormat="false" ht="15" hidden="false" customHeight="false" outlineLevel="0" collapsed="false">
      <c r="A25" s="8" t="s">
        <v>8290</v>
      </c>
      <c r="B25" s="8" t="s">
        <v>5274</v>
      </c>
      <c r="C25" s="8" t="s">
        <v>8261</v>
      </c>
      <c r="D25" s="8" t="n">
        <f aca="false">COUNTIF(Dishes!$M:$R,B25)</f>
        <v>1</v>
      </c>
      <c r="E25" s="8" t="n">
        <f aca="false">COUNTIF(Drinks!$N:$S,B25)</f>
        <v>0</v>
      </c>
      <c r="F25" s="8" t="n">
        <f aca="false">D25+E25</f>
        <v>1</v>
      </c>
    </row>
    <row r="26" customFormat="false" ht="15" hidden="false" customHeight="false" outlineLevel="0" collapsed="false">
      <c r="A26" s="8" t="s">
        <v>8291</v>
      </c>
      <c r="B26" s="8" t="s">
        <v>5536</v>
      </c>
      <c r="C26" s="8" t="s">
        <v>8261</v>
      </c>
      <c r="D26" s="8" t="n">
        <f aca="false">COUNTIF(Dishes!$M:$R,B26)</f>
        <v>1</v>
      </c>
      <c r="E26" s="8" t="n">
        <f aca="false">COUNTIF(Drinks!$N:$S,B26)</f>
        <v>0</v>
      </c>
      <c r="F26" s="8" t="n">
        <f aca="false">D26+E26</f>
        <v>1</v>
      </c>
    </row>
    <row r="27" customFormat="false" ht="15" hidden="false" customHeight="false" outlineLevel="0" collapsed="false">
      <c r="A27" s="8" t="s">
        <v>8292</v>
      </c>
      <c r="B27" s="8" t="s">
        <v>1850</v>
      </c>
      <c r="C27" s="8" t="s">
        <v>8287</v>
      </c>
      <c r="D27" s="8" t="n">
        <f aca="false">COUNTIF(Dishes!$M:$R,B27)</f>
        <v>1</v>
      </c>
      <c r="E27" s="8" t="n">
        <f aca="false">COUNTIF(Drinks!$N:$S,B27)</f>
        <v>0</v>
      </c>
      <c r="F27" s="8" t="n">
        <f aca="false">D27+E27</f>
        <v>1</v>
      </c>
    </row>
    <row r="28" customFormat="false" ht="15" hidden="false" customHeight="false" outlineLevel="0" collapsed="false">
      <c r="A28" s="8" t="s">
        <v>8293</v>
      </c>
      <c r="B28" s="8" t="s">
        <v>4152</v>
      </c>
      <c r="C28" s="8" t="s">
        <v>8276</v>
      </c>
      <c r="D28" s="8" t="n">
        <f aca="false">COUNTIF(Dishes!$M:$R,B28)</f>
        <v>3</v>
      </c>
      <c r="E28" s="8" t="n">
        <f aca="false">COUNTIF(Drinks!$N:$S,B28)</f>
        <v>0</v>
      </c>
      <c r="F28" s="8" t="n">
        <f aca="false">D28+E28</f>
        <v>3</v>
      </c>
    </row>
    <row r="29" customFormat="false" ht="15" hidden="false" customHeight="false" outlineLevel="0" collapsed="false">
      <c r="A29" s="8" t="s">
        <v>8294</v>
      </c>
      <c r="B29" s="8" t="s">
        <v>3683</v>
      </c>
      <c r="C29" s="8" t="s">
        <v>8274</v>
      </c>
      <c r="D29" s="8" t="n">
        <f aca="false">COUNTIF(Dishes!$M:$R,B29)</f>
        <v>1</v>
      </c>
      <c r="E29" s="8" t="n">
        <f aca="false">COUNTIF(Drinks!$N:$S,B29)</f>
        <v>0</v>
      </c>
      <c r="F29" s="8" t="n">
        <f aca="false">D29+E29</f>
        <v>1</v>
      </c>
    </row>
    <row r="30" customFormat="false" ht="15" hidden="false" customHeight="false" outlineLevel="0" collapsed="false">
      <c r="A30" s="8" t="s">
        <v>8295</v>
      </c>
      <c r="B30" s="8" t="s">
        <v>3446</v>
      </c>
      <c r="C30" s="8" t="s">
        <v>8272</v>
      </c>
      <c r="D30" s="8" t="n">
        <f aca="false">COUNTIF(Dishes!$M:$R,B30)</f>
        <v>1</v>
      </c>
      <c r="E30" s="8" t="n">
        <f aca="false">COUNTIF(Drinks!$N:$S,B30)</f>
        <v>0</v>
      </c>
      <c r="F30" s="8" t="n">
        <f aca="false">D30+E30</f>
        <v>1</v>
      </c>
    </row>
    <row r="31" customFormat="false" ht="15" hidden="false" customHeight="false" outlineLevel="0" collapsed="false">
      <c r="A31" s="8" t="s">
        <v>8296</v>
      </c>
      <c r="B31" s="8" t="s">
        <v>5727</v>
      </c>
      <c r="C31" s="8" t="s">
        <v>8259</v>
      </c>
      <c r="D31" s="8" t="n">
        <f aca="false">COUNTIF(Dishes!$M:$R,B31)</f>
        <v>1</v>
      </c>
      <c r="E31" s="8" t="n">
        <f aca="false">COUNTIF(Drinks!$N:$S,B31)</f>
        <v>0</v>
      </c>
      <c r="F31" s="8" t="n">
        <f aca="false">D31+E31</f>
        <v>1</v>
      </c>
    </row>
    <row r="32" customFormat="false" ht="15" hidden="false" customHeight="false" outlineLevel="0" collapsed="false">
      <c r="A32" s="8" t="s">
        <v>8297</v>
      </c>
      <c r="B32" s="8" t="s">
        <v>4464</v>
      </c>
      <c r="C32" s="8" t="s">
        <v>8298</v>
      </c>
      <c r="D32" s="8" t="n">
        <f aca="false">COUNTIF(Dishes!$M:$R,B32)</f>
        <v>1</v>
      </c>
      <c r="E32" s="8" t="n">
        <f aca="false">COUNTIF(Drinks!$N:$S,B32)</f>
        <v>0</v>
      </c>
      <c r="F32" s="8" t="n">
        <f aca="false">D32+E32</f>
        <v>1</v>
      </c>
    </row>
    <row r="33" customFormat="false" ht="15" hidden="false" customHeight="false" outlineLevel="0" collapsed="false">
      <c r="A33" s="8" t="s">
        <v>8299</v>
      </c>
      <c r="B33" s="8" t="s">
        <v>600</v>
      </c>
      <c r="C33" s="8" t="s">
        <v>8272</v>
      </c>
      <c r="D33" s="8" t="n">
        <f aca="false">COUNTIF(Dishes!$M:$R,B33)</f>
        <v>1</v>
      </c>
      <c r="E33" s="8" t="n">
        <f aca="false">COUNTIF(Drinks!$N:$S,B33)</f>
        <v>0</v>
      </c>
      <c r="F33" s="8" t="n">
        <f aca="false">D33+E33</f>
        <v>1</v>
      </c>
    </row>
    <row r="34" customFormat="false" ht="15" hidden="false" customHeight="false" outlineLevel="0" collapsed="false">
      <c r="A34" s="8" t="s">
        <v>8300</v>
      </c>
      <c r="B34" s="8" t="s">
        <v>6880</v>
      </c>
      <c r="C34" s="8" t="s">
        <v>8263</v>
      </c>
      <c r="D34" s="8" t="n">
        <f aca="false">COUNTIF(Dishes!$M:$R,B34)</f>
        <v>0</v>
      </c>
      <c r="E34" s="8" t="n">
        <f aca="false">COUNTIF(Drinks!$N:$S,B34)</f>
        <v>2</v>
      </c>
      <c r="F34" s="8" t="n">
        <f aca="false">D34+E34</f>
        <v>2</v>
      </c>
    </row>
    <row r="35" customFormat="false" ht="15" hidden="false" customHeight="false" outlineLevel="0" collapsed="false">
      <c r="A35" s="8" t="s">
        <v>8301</v>
      </c>
      <c r="B35" s="8" t="s">
        <v>3992</v>
      </c>
      <c r="C35" s="8" t="s">
        <v>8257</v>
      </c>
      <c r="D35" s="8" t="n">
        <f aca="false">COUNTIF(Dishes!$M:$R,B35)</f>
        <v>1</v>
      </c>
      <c r="E35" s="8" t="n">
        <f aca="false">COUNTIF(Drinks!$N:$S,B35)</f>
        <v>0</v>
      </c>
      <c r="F35" s="8" t="n">
        <f aca="false">D35+E35</f>
        <v>1</v>
      </c>
    </row>
    <row r="36" customFormat="false" ht="15" hidden="false" customHeight="false" outlineLevel="0" collapsed="false">
      <c r="A36" s="8" t="s">
        <v>8302</v>
      </c>
      <c r="B36" s="8" t="s">
        <v>2582</v>
      </c>
      <c r="C36" s="8" t="s">
        <v>8287</v>
      </c>
      <c r="D36" s="8" t="n">
        <f aca="false">COUNTIF(Dishes!$M:$R,B36)</f>
        <v>2</v>
      </c>
      <c r="E36" s="8" t="n">
        <f aca="false">COUNTIF(Drinks!$N:$S,B36)</f>
        <v>0</v>
      </c>
      <c r="F36" s="8" t="n">
        <f aca="false">D36+E36</f>
        <v>2</v>
      </c>
    </row>
    <row r="37" customFormat="false" ht="15" hidden="false" customHeight="false" outlineLevel="0" collapsed="false">
      <c r="A37" s="8" t="s">
        <v>8303</v>
      </c>
      <c r="B37" s="8" t="s">
        <v>1254</v>
      </c>
      <c r="C37" s="8" t="s">
        <v>8261</v>
      </c>
      <c r="D37" s="8" t="n">
        <f aca="false">COUNTIF(Dishes!$M:$R,B37)</f>
        <v>3</v>
      </c>
      <c r="E37" s="8" t="n">
        <f aca="false">COUNTIF(Drinks!$N:$S,B37)</f>
        <v>0</v>
      </c>
      <c r="F37" s="8" t="n">
        <f aca="false">D37+E37</f>
        <v>3</v>
      </c>
    </row>
    <row r="38" customFormat="false" ht="15" hidden="false" customHeight="false" outlineLevel="0" collapsed="false">
      <c r="A38" s="8" t="s">
        <v>8304</v>
      </c>
      <c r="B38" s="8" t="s">
        <v>5089</v>
      </c>
      <c r="C38" s="8" t="s">
        <v>8257</v>
      </c>
      <c r="D38" s="8" t="n">
        <f aca="false">COUNTIF(Dishes!$M:$R,B38)</f>
        <v>2</v>
      </c>
      <c r="E38" s="8" t="n">
        <f aca="false">COUNTIF(Drinks!$N:$S,B38)</f>
        <v>0</v>
      </c>
      <c r="F38" s="8" t="n">
        <f aca="false">D38+E38</f>
        <v>2</v>
      </c>
    </row>
    <row r="39" customFormat="false" ht="15" hidden="false" customHeight="false" outlineLevel="0" collapsed="false">
      <c r="A39" s="8" t="s">
        <v>8305</v>
      </c>
      <c r="B39" s="8" t="s">
        <v>6563</v>
      </c>
      <c r="C39" s="8" t="s">
        <v>8272</v>
      </c>
      <c r="D39" s="8" t="n">
        <f aca="false">COUNTIF(Dishes!$M:$R,B39)</f>
        <v>0</v>
      </c>
      <c r="E39" s="8" t="n">
        <f aca="false">COUNTIF(Drinks!$N:$S,B39)</f>
        <v>1</v>
      </c>
      <c r="F39" s="8" t="n">
        <f aca="false">D39+E39</f>
        <v>1</v>
      </c>
    </row>
    <row r="40" customFormat="false" ht="15" hidden="false" customHeight="false" outlineLevel="0" collapsed="false">
      <c r="A40" s="8" t="s">
        <v>8306</v>
      </c>
      <c r="B40" s="8" t="s">
        <v>3830</v>
      </c>
      <c r="C40" s="8" t="s">
        <v>8259</v>
      </c>
      <c r="D40" s="8" t="n">
        <f aca="false">COUNTIF(Dishes!$M:$R,B40)</f>
        <v>4</v>
      </c>
      <c r="E40" s="8" t="n">
        <f aca="false">COUNTIF(Drinks!$N:$S,B40)</f>
        <v>0</v>
      </c>
      <c r="F40" s="8" t="n">
        <f aca="false">D40+E40</f>
        <v>4</v>
      </c>
    </row>
    <row r="41" customFormat="false" ht="15" hidden="false" customHeight="false" outlineLevel="0" collapsed="false">
      <c r="A41" s="8" t="s">
        <v>8307</v>
      </c>
      <c r="B41" s="8" t="s">
        <v>2257</v>
      </c>
      <c r="C41" s="8" t="s">
        <v>8259</v>
      </c>
      <c r="D41" s="8" t="n">
        <f aca="false">COUNTIF(Dishes!$M:$R,B41)</f>
        <v>1</v>
      </c>
      <c r="E41" s="8" t="n">
        <f aca="false">COUNTIF(Drinks!$N:$S,B41)</f>
        <v>0</v>
      </c>
      <c r="F41" s="8" t="n">
        <f aca="false">D41+E41</f>
        <v>1</v>
      </c>
    </row>
    <row r="42" customFormat="false" ht="15" hidden="false" customHeight="false" outlineLevel="0" collapsed="false">
      <c r="A42" s="8" t="s">
        <v>8308</v>
      </c>
      <c r="B42" s="8" t="s">
        <v>487</v>
      </c>
      <c r="C42" s="8" t="s">
        <v>8272</v>
      </c>
      <c r="D42" s="8" t="n">
        <f aca="false">COUNTIF(Dishes!$M:$R,B42)</f>
        <v>8</v>
      </c>
      <c r="E42" s="8" t="n">
        <f aca="false">COUNTIF(Drinks!$N:$S,B42)</f>
        <v>0</v>
      </c>
      <c r="F42" s="8" t="n">
        <f aca="false">D42+E42</f>
        <v>8</v>
      </c>
    </row>
    <row r="43" customFormat="false" ht="15" hidden="false" customHeight="false" outlineLevel="0" collapsed="false">
      <c r="A43" s="8" t="s">
        <v>8309</v>
      </c>
      <c r="B43" s="8" t="s">
        <v>3249</v>
      </c>
      <c r="C43" s="8" t="s">
        <v>8272</v>
      </c>
      <c r="D43" s="8" t="n">
        <f aca="false">COUNTIF(Dishes!$M:$R,B43)</f>
        <v>1</v>
      </c>
      <c r="E43" s="8" t="n">
        <f aca="false">COUNTIF(Drinks!$N:$S,B43)</f>
        <v>0</v>
      </c>
      <c r="F43" s="8" t="n">
        <f aca="false">D43+E43</f>
        <v>1</v>
      </c>
    </row>
    <row r="44" customFormat="false" ht="15" hidden="false" customHeight="false" outlineLevel="0" collapsed="false">
      <c r="A44" s="8" t="s">
        <v>8310</v>
      </c>
      <c r="B44" s="8" t="s">
        <v>2943</v>
      </c>
      <c r="C44" s="8" t="s">
        <v>8272</v>
      </c>
      <c r="D44" s="8" t="n">
        <f aca="false">COUNTIF(Dishes!$M:$R,B44)</f>
        <v>1</v>
      </c>
      <c r="E44" s="8" t="n">
        <f aca="false">COUNTIF(Drinks!$N:$S,B44)</f>
        <v>0</v>
      </c>
      <c r="F44" s="8" t="n">
        <f aca="false">D44+E44</f>
        <v>1</v>
      </c>
    </row>
    <row r="45" customFormat="false" ht="15" hidden="false" customHeight="false" outlineLevel="0" collapsed="false">
      <c r="A45" s="8" t="s">
        <v>8311</v>
      </c>
      <c r="B45" s="8" t="s">
        <v>2615</v>
      </c>
      <c r="C45" s="8" t="s">
        <v>8276</v>
      </c>
      <c r="D45" s="8" t="n">
        <f aca="false">COUNTIF(Dishes!$M:$R,B45)</f>
        <v>1</v>
      </c>
      <c r="E45" s="8" t="n">
        <f aca="false">COUNTIF(Drinks!$N:$S,B45)</f>
        <v>0</v>
      </c>
      <c r="F45" s="8" t="n">
        <f aca="false">D45+E45</f>
        <v>1</v>
      </c>
    </row>
    <row r="46" customFormat="false" ht="15" hidden="false" customHeight="false" outlineLevel="0" collapsed="false">
      <c r="A46" s="8" t="s">
        <v>8312</v>
      </c>
      <c r="B46" s="8" t="s">
        <v>1922</v>
      </c>
      <c r="C46" s="8" t="s">
        <v>8259</v>
      </c>
      <c r="D46" s="8" t="n">
        <f aca="false">COUNTIF(Dishes!$M:$R,B46)</f>
        <v>2</v>
      </c>
      <c r="E46" s="8" t="n">
        <f aca="false">COUNTIF(Drinks!$N:$S,B46)</f>
        <v>0</v>
      </c>
      <c r="F46" s="8" t="n">
        <f aca="false">D46+E46</f>
        <v>2</v>
      </c>
    </row>
    <row r="47" customFormat="false" ht="15" hidden="false" customHeight="false" outlineLevel="0" collapsed="false">
      <c r="A47" s="8" t="s">
        <v>8313</v>
      </c>
      <c r="B47" s="8" t="s">
        <v>2623</v>
      </c>
      <c r="C47" s="8" t="s">
        <v>8287</v>
      </c>
      <c r="D47" s="8" t="n">
        <f aca="false">COUNTIF(Dishes!$M:$R,B47)</f>
        <v>5</v>
      </c>
      <c r="E47" s="8" t="n">
        <f aca="false">COUNTIF(Drinks!$N:$S,B47)</f>
        <v>0</v>
      </c>
      <c r="F47" s="8" t="n">
        <f aca="false">D47+E47</f>
        <v>5</v>
      </c>
    </row>
    <row r="48" customFormat="false" ht="15" hidden="false" customHeight="false" outlineLevel="0" collapsed="false">
      <c r="A48" s="8" t="s">
        <v>8314</v>
      </c>
      <c r="B48" s="8" t="s">
        <v>1307</v>
      </c>
      <c r="C48" s="8" t="s">
        <v>8276</v>
      </c>
      <c r="D48" s="8" t="n">
        <f aca="false">COUNTIF(Dishes!$M:$R,B48)</f>
        <v>14</v>
      </c>
      <c r="E48" s="8" t="n">
        <f aca="false">COUNTIF(Drinks!$N:$S,B48)</f>
        <v>0</v>
      </c>
      <c r="F48" s="8" t="n">
        <f aca="false">D48+E48</f>
        <v>14</v>
      </c>
    </row>
    <row r="49" customFormat="false" ht="15" hidden="false" customHeight="false" outlineLevel="0" collapsed="false">
      <c r="A49" s="8" t="s">
        <v>8315</v>
      </c>
      <c r="B49" s="8" t="s">
        <v>3436</v>
      </c>
      <c r="C49" s="8" t="s">
        <v>8276</v>
      </c>
      <c r="D49" s="8" t="n">
        <f aca="false">COUNTIF(Dishes!$M:$R,B49)</f>
        <v>1</v>
      </c>
      <c r="E49" s="8" t="n">
        <f aca="false">COUNTIF(Drinks!$N:$S,B49)</f>
        <v>0</v>
      </c>
      <c r="F49" s="8" t="n">
        <f aca="false">D49+E49</f>
        <v>1</v>
      </c>
    </row>
    <row r="50" customFormat="false" ht="15" hidden="false" customHeight="false" outlineLevel="0" collapsed="false">
      <c r="A50" s="8" t="s">
        <v>8316</v>
      </c>
      <c r="B50" s="8" t="s">
        <v>5571</v>
      </c>
      <c r="C50" s="8" t="s">
        <v>8276</v>
      </c>
      <c r="D50" s="8" t="n">
        <f aca="false">COUNTIF(Dishes!$M:$R,B50)</f>
        <v>1</v>
      </c>
      <c r="E50" s="8" t="n">
        <f aca="false">COUNTIF(Drinks!$N:$S,B50)</f>
        <v>0</v>
      </c>
      <c r="F50" s="8" t="n">
        <f aca="false">D50+E50</f>
        <v>1</v>
      </c>
    </row>
    <row r="51" customFormat="false" ht="15" hidden="false" customHeight="false" outlineLevel="0" collapsed="false">
      <c r="A51" s="8" t="s">
        <v>8317</v>
      </c>
      <c r="B51" s="8" t="s">
        <v>4494</v>
      </c>
      <c r="C51" s="8" t="s">
        <v>8276</v>
      </c>
      <c r="D51" s="8" t="n">
        <f aca="false">COUNTIF(Dishes!$M:$R,B51)</f>
        <v>1</v>
      </c>
      <c r="E51" s="8" t="n">
        <f aca="false">COUNTIF(Drinks!$N:$S,B51)</f>
        <v>0</v>
      </c>
      <c r="F51" s="8" t="n">
        <f aca="false">D51+E51</f>
        <v>1</v>
      </c>
    </row>
    <row r="52" customFormat="false" ht="15" hidden="false" customHeight="false" outlineLevel="0" collapsed="false">
      <c r="A52" s="8" t="s">
        <v>8318</v>
      </c>
      <c r="B52" s="8" t="s">
        <v>3605</v>
      </c>
      <c r="C52" s="8" t="s">
        <v>8276</v>
      </c>
      <c r="D52" s="8" t="n">
        <f aca="false">COUNTIF(Dishes!$M:$R,B52)</f>
        <v>1</v>
      </c>
      <c r="E52" s="8" t="n">
        <f aca="false">COUNTIF(Drinks!$N:$S,B52)</f>
        <v>0</v>
      </c>
      <c r="F52" s="8" t="n">
        <f aca="false">D52+E52</f>
        <v>1</v>
      </c>
    </row>
    <row r="53" customFormat="false" ht="15" hidden="false" customHeight="false" outlineLevel="0" collapsed="false">
      <c r="A53" s="8" t="s">
        <v>8319</v>
      </c>
      <c r="B53" s="8" t="s">
        <v>5048</v>
      </c>
      <c r="C53" s="8" t="s">
        <v>8276</v>
      </c>
      <c r="D53" s="8" t="n">
        <f aca="false">COUNTIF(Dishes!$M:$R,B53)</f>
        <v>1</v>
      </c>
      <c r="E53" s="8" t="n">
        <f aca="false">COUNTIF(Drinks!$N:$S,B53)</f>
        <v>0</v>
      </c>
      <c r="F53" s="8" t="n">
        <f aca="false">D53+E53</f>
        <v>1</v>
      </c>
    </row>
    <row r="54" customFormat="false" ht="15" hidden="false" customHeight="false" outlineLevel="0" collapsed="false">
      <c r="A54" s="8" t="s">
        <v>8320</v>
      </c>
      <c r="B54" s="8" t="s">
        <v>5548</v>
      </c>
      <c r="C54" s="8" t="s">
        <v>8276</v>
      </c>
      <c r="D54" s="8" t="n">
        <f aca="false">COUNTIF(Dishes!$M:$R,B54)</f>
        <v>1</v>
      </c>
      <c r="E54" s="8" t="n">
        <f aca="false">COUNTIF(Drinks!$N:$S,B54)</f>
        <v>0</v>
      </c>
      <c r="F54" s="8" t="n">
        <f aca="false">D54+E54</f>
        <v>1</v>
      </c>
    </row>
    <row r="55" customFormat="false" ht="15" hidden="false" customHeight="false" outlineLevel="0" collapsed="false">
      <c r="A55" s="8" t="s">
        <v>8321</v>
      </c>
      <c r="B55" s="8" t="s">
        <v>4120</v>
      </c>
      <c r="C55" s="8" t="s">
        <v>8276</v>
      </c>
      <c r="D55" s="8" t="n">
        <f aca="false">COUNTIF(Dishes!$M:$R,B55)</f>
        <v>1</v>
      </c>
      <c r="E55" s="8" t="n">
        <f aca="false">COUNTIF(Drinks!$N:$S,B55)</f>
        <v>0</v>
      </c>
      <c r="F55" s="8" t="n">
        <f aca="false">D55+E55</f>
        <v>1</v>
      </c>
    </row>
    <row r="56" customFormat="false" ht="15" hidden="false" customHeight="false" outlineLevel="0" collapsed="false">
      <c r="A56" s="8" t="s">
        <v>8322</v>
      </c>
      <c r="B56" s="8" t="s">
        <v>4836</v>
      </c>
      <c r="C56" s="8" t="s">
        <v>8276</v>
      </c>
      <c r="D56" s="8" t="n">
        <f aca="false">COUNTIF(Dishes!$M:$R,B56)</f>
        <v>2</v>
      </c>
      <c r="E56" s="8" t="n">
        <f aca="false">COUNTIF(Drinks!$N:$S,B56)</f>
        <v>0</v>
      </c>
      <c r="F56" s="8" t="n">
        <f aca="false">D56+E56</f>
        <v>2</v>
      </c>
    </row>
    <row r="57" customFormat="false" ht="15" hidden="false" customHeight="false" outlineLevel="0" collapsed="false">
      <c r="A57" s="8" t="s">
        <v>8323</v>
      </c>
      <c r="B57" s="8" t="s">
        <v>6306</v>
      </c>
      <c r="C57" s="8" t="s">
        <v>8268</v>
      </c>
      <c r="D57" s="8" t="n">
        <f aca="false">COUNTIF(Dishes!$M:$R,B57)</f>
        <v>0</v>
      </c>
      <c r="E57" s="8" t="n">
        <f aca="false">COUNTIF(Drinks!$N:$S,B57)</f>
        <v>1</v>
      </c>
      <c r="F57" s="8" t="n">
        <f aca="false">D57+E57</f>
        <v>1</v>
      </c>
    </row>
    <row r="58" customFormat="false" ht="15" hidden="false" customHeight="false" outlineLevel="0" collapsed="false">
      <c r="A58" s="8" t="s">
        <v>8324</v>
      </c>
      <c r="B58" s="8" t="s">
        <v>4451</v>
      </c>
      <c r="C58" s="8" t="s">
        <v>8272</v>
      </c>
      <c r="D58" s="8" t="n">
        <f aca="false">COUNTIF(Dishes!$M:$R,B58)</f>
        <v>1</v>
      </c>
      <c r="E58" s="8" t="n">
        <f aca="false">COUNTIF(Drinks!$N:$S,B58)</f>
        <v>0</v>
      </c>
      <c r="F58" s="8" t="n">
        <f aca="false">D58+E58</f>
        <v>1</v>
      </c>
    </row>
    <row r="59" customFormat="false" ht="15" hidden="false" customHeight="false" outlineLevel="0" collapsed="false">
      <c r="A59" s="8" t="s">
        <v>8325</v>
      </c>
      <c r="B59" s="8" t="s">
        <v>4423</v>
      </c>
      <c r="C59" s="8" t="s">
        <v>8257</v>
      </c>
      <c r="D59" s="8" t="n">
        <f aca="false">COUNTIF(Dishes!$M:$R,B59)</f>
        <v>1</v>
      </c>
      <c r="E59" s="8" t="n">
        <f aca="false">COUNTIF(Drinks!$N:$S,B59)</f>
        <v>0</v>
      </c>
      <c r="F59" s="8" t="n">
        <f aca="false">D59+E59</f>
        <v>1</v>
      </c>
    </row>
    <row r="60" customFormat="false" ht="15" hidden="false" customHeight="false" outlineLevel="0" collapsed="false">
      <c r="A60" s="8" t="s">
        <v>8326</v>
      </c>
      <c r="B60" s="8" t="s">
        <v>919</v>
      </c>
      <c r="C60" s="8" t="s">
        <v>8287</v>
      </c>
      <c r="D60" s="8" t="n">
        <f aca="false">COUNTIF(Dishes!$M:$R,B60)</f>
        <v>2</v>
      </c>
      <c r="E60" s="8" t="n">
        <f aca="false">COUNTIF(Drinks!$N:$S,B60)</f>
        <v>0</v>
      </c>
      <c r="F60" s="8" t="n">
        <f aca="false">D60+E60</f>
        <v>2</v>
      </c>
    </row>
    <row r="61" customFormat="false" ht="15" hidden="false" customHeight="false" outlineLevel="0" collapsed="false">
      <c r="A61" s="8" t="s">
        <v>8327</v>
      </c>
      <c r="B61" s="8" t="s">
        <v>6286</v>
      </c>
      <c r="C61" s="8" t="s">
        <v>8268</v>
      </c>
      <c r="D61" s="8" t="n">
        <f aca="false">COUNTIF(Dishes!$M:$R,B61)</f>
        <v>0</v>
      </c>
      <c r="E61" s="8" t="n">
        <f aca="false">COUNTIF(Drinks!$N:$S,B61)</f>
        <v>1</v>
      </c>
      <c r="F61" s="8" t="n">
        <f aca="false">D61+E61</f>
        <v>1</v>
      </c>
    </row>
    <row r="62" customFormat="false" ht="15" hidden="false" customHeight="false" outlineLevel="0" collapsed="false">
      <c r="A62" s="8" t="s">
        <v>8328</v>
      </c>
      <c r="B62" s="8" t="s">
        <v>5819</v>
      </c>
      <c r="C62" s="8" t="s">
        <v>8259</v>
      </c>
      <c r="D62" s="8" t="n">
        <f aca="false">COUNTIF(Dishes!$M:$R,B62)</f>
        <v>1</v>
      </c>
      <c r="E62" s="8" t="n">
        <f aca="false">COUNTIF(Drinks!$N:$S,B62)</f>
        <v>0</v>
      </c>
      <c r="F62" s="8" t="n">
        <f aca="false">D62+E62</f>
        <v>1</v>
      </c>
    </row>
    <row r="63" customFormat="false" ht="15" hidden="false" customHeight="false" outlineLevel="0" collapsed="false">
      <c r="A63" s="8" t="s">
        <v>8329</v>
      </c>
      <c r="B63" s="8" t="s">
        <v>3951</v>
      </c>
      <c r="C63" s="8" t="s">
        <v>8261</v>
      </c>
      <c r="D63" s="8" t="n">
        <f aca="false">COUNTIF(Dishes!$M:$R,B63)</f>
        <v>1</v>
      </c>
      <c r="E63" s="8" t="n">
        <f aca="false">COUNTIF(Drinks!$N:$S,B63)</f>
        <v>0</v>
      </c>
      <c r="F63" s="8" t="n">
        <f aca="false">D63+E63</f>
        <v>1</v>
      </c>
    </row>
    <row r="64" customFormat="false" ht="15" hidden="false" customHeight="false" outlineLevel="0" collapsed="false">
      <c r="A64" s="8" t="s">
        <v>8330</v>
      </c>
      <c r="B64" s="8" t="s">
        <v>565</v>
      </c>
      <c r="C64" s="8" t="s">
        <v>8287</v>
      </c>
      <c r="D64" s="8" t="n">
        <f aca="false">COUNTIF(Dishes!$M:$R,B64)</f>
        <v>1</v>
      </c>
      <c r="E64" s="8" t="n">
        <f aca="false">COUNTIF(Drinks!$N:$S,B64)</f>
        <v>0</v>
      </c>
      <c r="F64" s="8" t="n">
        <f aca="false">D64+E64</f>
        <v>1</v>
      </c>
    </row>
    <row r="65" customFormat="false" ht="15" hidden="false" customHeight="false" outlineLevel="0" collapsed="false">
      <c r="A65" s="8" t="s">
        <v>8331</v>
      </c>
      <c r="B65" s="8" t="s">
        <v>871</v>
      </c>
      <c r="C65" s="8" t="s">
        <v>8272</v>
      </c>
      <c r="D65" s="8" t="n">
        <f aca="false">COUNTIF(Dishes!$M:$R,B65)</f>
        <v>1</v>
      </c>
      <c r="E65" s="8" t="n">
        <f aca="false">COUNTIF(Drinks!$N:$S,B65)</f>
        <v>0</v>
      </c>
      <c r="F65" s="8" t="n">
        <f aca="false">D65+E65</f>
        <v>1</v>
      </c>
    </row>
    <row r="66" customFormat="false" ht="15" hidden="false" customHeight="false" outlineLevel="0" collapsed="false">
      <c r="A66" s="8" t="s">
        <v>8332</v>
      </c>
      <c r="B66" s="8" t="s">
        <v>230</v>
      </c>
      <c r="C66" s="8" t="s">
        <v>8272</v>
      </c>
      <c r="D66" s="8" t="n">
        <f aca="false">COUNTIF(Dishes!$M:$R,B66)</f>
        <v>1</v>
      </c>
      <c r="E66" s="8" t="n">
        <f aca="false">COUNTIF(Drinks!$N:$S,B66)</f>
        <v>0</v>
      </c>
      <c r="F66" s="8" t="n">
        <f aca="false">D66+E66</f>
        <v>1</v>
      </c>
    </row>
    <row r="67" customFormat="false" ht="15" hidden="false" customHeight="false" outlineLevel="0" collapsed="false">
      <c r="A67" s="8" t="s">
        <v>8333</v>
      </c>
      <c r="B67" s="8" t="s">
        <v>1725</v>
      </c>
      <c r="C67" s="8" t="s">
        <v>8274</v>
      </c>
      <c r="D67" s="8" t="n">
        <f aca="false">COUNTIF(Dishes!$M:$R,B67)</f>
        <v>1</v>
      </c>
      <c r="E67" s="8" t="n">
        <f aca="false">COUNTIF(Drinks!$N:$S,B67)</f>
        <v>0</v>
      </c>
      <c r="F67" s="8" t="n">
        <f aca="false">D67+E67</f>
        <v>1</v>
      </c>
    </row>
    <row r="68" customFormat="false" ht="15" hidden="false" customHeight="false" outlineLevel="0" collapsed="false">
      <c r="A68" s="8" t="s">
        <v>8334</v>
      </c>
      <c r="B68" s="8" t="s">
        <v>4442</v>
      </c>
      <c r="C68" s="8" t="s">
        <v>8259</v>
      </c>
      <c r="D68" s="8" t="n">
        <f aca="false">COUNTIF(Dishes!$M:$R,B68)</f>
        <v>1</v>
      </c>
      <c r="E68" s="8" t="n">
        <f aca="false">COUNTIF(Drinks!$N:$S,B68)</f>
        <v>0</v>
      </c>
      <c r="F68" s="8" t="n">
        <f aca="false">D68+E68</f>
        <v>1</v>
      </c>
    </row>
    <row r="69" customFormat="false" ht="15" hidden="false" customHeight="false" outlineLevel="0" collapsed="false">
      <c r="A69" s="8" t="s">
        <v>8335</v>
      </c>
      <c r="B69" s="8" t="s">
        <v>1401</v>
      </c>
      <c r="C69" s="8" t="s">
        <v>8259</v>
      </c>
      <c r="D69" s="8" t="n">
        <f aca="false">COUNTIF(Dishes!$M:$R,B69)</f>
        <v>1</v>
      </c>
      <c r="E69" s="8" t="n">
        <f aca="false">COUNTIF(Drinks!$N:$S,B69)</f>
        <v>0</v>
      </c>
      <c r="F69" s="8" t="n">
        <f aca="false">D69+E69</f>
        <v>1</v>
      </c>
    </row>
    <row r="70" customFormat="false" ht="15" hidden="false" customHeight="false" outlineLevel="0" collapsed="false">
      <c r="A70" s="8" t="s">
        <v>8336</v>
      </c>
      <c r="B70" s="8" t="s">
        <v>3267</v>
      </c>
      <c r="C70" s="8" t="s">
        <v>8257</v>
      </c>
      <c r="D70" s="8" t="n">
        <f aca="false">COUNTIF(Dishes!$M:$R,B70)</f>
        <v>1</v>
      </c>
      <c r="E70" s="8" t="n">
        <f aca="false">COUNTIF(Drinks!$N:$S,B70)</f>
        <v>0</v>
      </c>
      <c r="F70" s="8" t="n">
        <f aca="false">D70+E70</f>
        <v>1</v>
      </c>
    </row>
    <row r="71" customFormat="false" ht="15" hidden="false" customHeight="false" outlineLevel="0" collapsed="false">
      <c r="A71" s="8" t="s">
        <v>8337</v>
      </c>
      <c r="B71" s="8" t="s">
        <v>5480</v>
      </c>
      <c r="C71" s="8" t="s">
        <v>8298</v>
      </c>
      <c r="D71" s="8" t="n">
        <f aca="false">COUNTIF(Dishes!$M:$R,B71)</f>
        <v>1</v>
      </c>
      <c r="E71" s="8" t="n">
        <f aca="false">COUNTIF(Drinks!$N:$S,B71)</f>
        <v>0</v>
      </c>
      <c r="F71" s="8" t="n">
        <f aca="false">D71+E71</f>
        <v>1</v>
      </c>
    </row>
    <row r="72" customFormat="false" ht="15" hidden="false" customHeight="false" outlineLevel="0" collapsed="false">
      <c r="A72" s="8" t="s">
        <v>8338</v>
      </c>
      <c r="B72" s="8" t="s">
        <v>7169</v>
      </c>
      <c r="C72" s="8" t="s">
        <v>8287</v>
      </c>
      <c r="D72" s="8" t="n">
        <f aca="false">COUNTIF(Dishes!$M:$R,B72)</f>
        <v>0</v>
      </c>
      <c r="E72" s="8" t="n">
        <f aca="false">COUNTIF(Drinks!$N:$S,B72)</f>
        <v>1</v>
      </c>
      <c r="F72" s="8" t="n">
        <f aca="false">D72+E72</f>
        <v>1</v>
      </c>
    </row>
    <row r="73" customFormat="false" ht="15" hidden="false" customHeight="false" outlineLevel="0" collapsed="false">
      <c r="A73" s="8" t="s">
        <v>8339</v>
      </c>
      <c r="B73" s="8" t="s">
        <v>1266</v>
      </c>
      <c r="C73" s="8" t="s">
        <v>8298</v>
      </c>
      <c r="D73" s="8" t="n">
        <f aca="false">COUNTIF(Dishes!$M:$R,B73)</f>
        <v>1</v>
      </c>
      <c r="E73" s="8" t="n">
        <f aca="false">COUNTIF(Drinks!$N:$S,B73)</f>
        <v>0</v>
      </c>
      <c r="F73" s="8" t="n">
        <f aca="false">D73+E73</f>
        <v>1</v>
      </c>
    </row>
    <row r="74" customFormat="false" ht="15" hidden="false" customHeight="false" outlineLevel="0" collapsed="false">
      <c r="A74" s="8" t="s">
        <v>8340</v>
      </c>
      <c r="B74" s="8" t="s">
        <v>6870</v>
      </c>
      <c r="C74" s="8" t="s">
        <v>8259</v>
      </c>
      <c r="D74" s="8" t="n">
        <f aca="false">COUNTIF(Dishes!$M:$R,B74)</f>
        <v>0</v>
      </c>
      <c r="E74" s="8" t="n">
        <f aca="false">COUNTIF(Drinks!$N:$S,B74)</f>
        <v>1</v>
      </c>
      <c r="F74" s="8" t="n">
        <f aca="false">D74+E74</f>
        <v>1</v>
      </c>
    </row>
    <row r="75" customFormat="false" ht="15" hidden="false" customHeight="false" outlineLevel="0" collapsed="false">
      <c r="A75" s="8" t="s">
        <v>8341</v>
      </c>
      <c r="B75" s="8" t="s">
        <v>7040</v>
      </c>
      <c r="C75" s="8" t="s">
        <v>8259</v>
      </c>
      <c r="D75" s="8" t="n">
        <f aca="false">COUNTIF(Dishes!$M:$R,B75)</f>
        <v>0</v>
      </c>
      <c r="E75" s="8" t="n">
        <f aca="false">COUNTIF(Drinks!$N:$S,B75)</f>
        <v>4</v>
      </c>
      <c r="F75" s="8" t="n">
        <f aca="false">D75+E75</f>
        <v>4</v>
      </c>
    </row>
    <row r="76" customFormat="false" ht="15" hidden="false" customHeight="false" outlineLevel="0" collapsed="false">
      <c r="A76" s="8" t="s">
        <v>8342</v>
      </c>
      <c r="B76" s="8" t="s">
        <v>2768</v>
      </c>
      <c r="C76" s="8" t="s">
        <v>8259</v>
      </c>
      <c r="D76" s="8" t="n">
        <f aca="false">COUNTIF(Dishes!$M:$R,B76)</f>
        <v>1</v>
      </c>
      <c r="E76" s="8" t="n">
        <f aca="false">COUNTIF(Drinks!$N:$S,B76)</f>
        <v>0</v>
      </c>
      <c r="F76" s="8" t="n">
        <f aca="false">D76+E76</f>
        <v>1</v>
      </c>
    </row>
    <row r="77" customFormat="false" ht="15" hidden="false" customHeight="false" outlineLevel="0" collapsed="false">
      <c r="A77" s="8" t="s">
        <v>8343</v>
      </c>
      <c r="B77" s="8" t="s">
        <v>6803</v>
      </c>
      <c r="C77" s="8" t="s">
        <v>8344</v>
      </c>
      <c r="D77" s="8" t="n">
        <f aca="false">COUNTIF(Dishes!$M:$R,B77)</f>
        <v>0</v>
      </c>
      <c r="E77" s="8" t="n">
        <f aca="false">COUNTIF(Drinks!$N:$S,B77)</f>
        <v>6</v>
      </c>
      <c r="F77" s="8" t="n">
        <f aca="false">D77+E77</f>
        <v>6</v>
      </c>
    </row>
    <row r="78" customFormat="false" ht="15" hidden="false" customHeight="false" outlineLevel="0" collapsed="false">
      <c r="A78" s="8" t="s">
        <v>8345</v>
      </c>
      <c r="B78" s="8" t="s">
        <v>2570</v>
      </c>
      <c r="C78" s="8" t="s">
        <v>8257</v>
      </c>
      <c r="D78" s="8" t="n">
        <f aca="false">COUNTIF(Dishes!$M:$R,B78)</f>
        <v>1</v>
      </c>
      <c r="E78" s="8" t="n">
        <f aca="false">COUNTIF(Drinks!$N:$S,B78)</f>
        <v>0</v>
      </c>
      <c r="F78" s="8" t="n">
        <f aca="false">D78+E78</f>
        <v>1</v>
      </c>
    </row>
    <row r="79" customFormat="false" ht="15" hidden="false" customHeight="false" outlineLevel="0" collapsed="false">
      <c r="A79" s="8" t="s">
        <v>8346</v>
      </c>
      <c r="B79" s="8" t="s">
        <v>3583</v>
      </c>
      <c r="C79" s="8" t="s">
        <v>8287</v>
      </c>
      <c r="D79" s="8" t="n">
        <f aca="false">COUNTIF(Dishes!$M:$R,B79)</f>
        <v>1</v>
      </c>
      <c r="E79" s="8" t="n">
        <f aca="false">COUNTIF(Drinks!$N:$S,B79)</f>
        <v>0</v>
      </c>
      <c r="F79" s="8" t="n">
        <f aca="false">D79+E79</f>
        <v>1</v>
      </c>
    </row>
    <row r="80" customFormat="false" ht="15" hidden="false" customHeight="false" outlineLevel="0" collapsed="false">
      <c r="A80" s="8" t="s">
        <v>8347</v>
      </c>
      <c r="B80" s="8" t="s">
        <v>5069</v>
      </c>
      <c r="C80" s="8" t="s">
        <v>8265</v>
      </c>
      <c r="D80" s="8" t="n">
        <f aca="false">COUNTIF(Dishes!$M:$R,B80)</f>
        <v>1</v>
      </c>
      <c r="E80" s="8" t="n">
        <f aca="false">COUNTIF(Drinks!$N:$S,B80)</f>
        <v>0</v>
      </c>
      <c r="F80" s="8" t="n">
        <f aca="false">D80+E80</f>
        <v>1</v>
      </c>
    </row>
    <row r="81" customFormat="false" ht="15" hidden="false" customHeight="false" outlineLevel="0" collapsed="false">
      <c r="A81" s="8" t="s">
        <v>8348</v>
      </c>
      <c r="B81" s="8" t="s">
        <v>6279</v>
      </c>
      <c r="C81" s="8" t="s">
        <v>8268</v>
      </c>
      <c r="D81" s="8" t="n">
        <f aca="false">COUNTIF(Dishes!$M:$R,B81)</f>
        <v>0</v>
      </c>
      <c r="E81" s="8" t="n">
        <f aca="false">COUNTIF(Drinks!$N:$S,B81)</f>
        <v>1</v>
      </c>
      <c r="F81" s="8" t="n">
        <f aca="false">D81+E81</f>
        <v>1</v>
      </c>
    </row>
    <row r="82" customFormat="false" ht="15" hidden="false" customHeight="false" outlineLevel="0" collapsed="false">
      <c r="A82" s="8" t="s">
        <v>8349</v>
      </c>
      <c r="B82" s="8" t="s">
        <v>2009</v>
      </c>
      <c r="C82" s="8" t="s">
        <v>8265</v>
      </c>
      <c r="D82" s="8" t="n">
        <f aca="false">COUNTIF(Dishes!$M:$R,B82)</f>
        <v>11</v>
      </c>
      <c r="E82" s="8" t="n">
        <f aca="false">COUNTIF(Drinks!$N:$S,B82)</f>
        <v>0</v>
      </c>
      <c r="F82" s="8" t="n">
        <f aca="false">D82+E82</f>
        <v>11</v>
      </c>
    </row>
    <row r="83" customFormat="false" ht="15" hidden="false" customHeight="false" outlineLevel="0" collapsed="false">
      <c r="A83" s="8" t="s">
        <v>8350</v>
      </c>
      <c r="B83" s="8" t="s">
        <v>4309</v>
      </c>
      <c r="C83" s="8" t="s">
        <v>8287</v>
      </c>
      <c r="D83" s="8" t="n">
        <f aca="false">COUNTIF(Dishes!$M:$R,B83)</f>
        <v>1</v>
      </c>
      <c r="E83" s="8" t="n">
        <f aca="false">COUNTIF(Drinks!$N:$S,B83)</f>
        <v>0</v>
      </c>
      <c r="F83" s="8" t="n">
        <f aca="false">D83+E83</f>
        <v>1</v>
      </c>
    </row>
    <row r="84" customFormat="false" ht="15" hidden="false" customHeight="false" outlineLevel="0" collapsed="false">
      <c r="A84" s="8" t="s">
        <v>8351</v>
      </c>
      <c r="B84" s="8" t="s">
        <v>4327</v>
      </c>
      <c r="C84" s="8" t="s">
        <v>8272</v>
      </c>
      <c r="D84" s="8" t="n">
        <f aca="false">COUNTIF(Dishes!$M:$R,B84)</f>
        <v>1</v>
      </c>
      <c r="E84" s="8" t="n">
        <f aca="false">COUNTIF(Drinks!$N:$S,B84)</f>
        <v>0</v>
      </c>
      <c r="F84" s="8" t="n">
        <f aca="false">D84+E84</f>
        <v>1</v>
      </c>
    </row>
    <row r="85" customFormat="false" ht="15" hidden="false" customHeight="false" outlineLevel="0" collapsed="false">
      <c r="A85" s="8" t="s">
        <v>8352</v>
      </c>
      <c r="B85" s="8" t="s">
        <v>893</v>
      </c>
      <c r="C85" s="8" t="s">
        <v>8274</v>
      </c>
      <c r="D85" s="8" t="n">
        <f aca="false">COUNTIF(Dishes!$M:$R,B85)</f>
        <v>1</v>
      </c>
      <c r="E85" s="8" t="n">
        <f aca="false">COUNTIF(Drinks!$N:$S,B85)</f>
        <v>0</v>
      </c>
      <c r="F85" s="8" t="n">
        <f aca="false">D85+E85</f>
        <v>1</v>
      </c>
    </row>
    <row r="86" customFormat="false" ht="15" hidden="false" customHeight="false" outlineLevel="0" collapsed="false">
      <c r="A86" s="8" t="s">
        <v>8353</v>
      </c>
      <c r="B86" s="8" t="s">
        <v>400</v>
      </c>
      <c r="C86" s="8" t="s">
        <v>8276</v>
      </c>
      <c r="D86" s="8" t="n">
        <f aca="false">COUNTIF(Dishes!$M:$R,B86)</f>
        <v>1</v>
      </c>
      <c r="E86" s="8" t="n">
        <f aca="false">COUNTIF(Drinks!$N:$S,B86)</f>
        <v>0</v>
      </c>
      <c r="F86" s="8" t="n">
        <f aca="false">D86+E86</f>
        <v>1</v>
      </c>
    </row>
    <row r="87" customFormat="false" ht="15" hidden="false" customHeight="false" outlineLevel="0" collapsed="false">
      <c r="A87" s="8" t="s">
        <v>8354</v>
      </c>
      <c r="B87" s="8" t="s">
        <v>6590</v>
      </c>
      <c r="C87" s="8" t="s">
        <v>8259</v>
      </c>
      <c r="D87" s="8" t="n">
        <f aca="false">COUNTIF(Dishes!$M:$R,B87)</f>
        <v>0</v>
      </c>
      <c r="E87" s="8" t="n">
        <f aca="false">COUNTIF(Drinks!$N:$S,B87)</f>
        <v>1</v>
      </c>
      <c r="F87" s="8" t="n">
        <f aca="false">D87+E87</f>
        <v>1</v>
      </c>
    </row>
    <row r="88" customFormat="false" ht="15" hidden="false" customHeight="false" outlineLevel="0" collapsed="false">
      <c r="A88" s="8" t="s">
        <v>8355</v>
      </c>
      <c r="B88" s="8" t="s">
        <v>720</v>
      </c>
      <c r="C88" s="8" t="s">
        <v>8287</v>
      </c>
      <c r="D88" s="8" t="n">
        <f aca="false">COUNTIF(Dishes!$M:$R,B88)</f>
        <v>1</v>
      </c>
      <c r="E88" s="8" t="n">
        <f aca="false">COUNTIF(Drinks!$N:$S,B88)</f>
        <v>0</v>
      </c>
      <c r="F88" s="8" t="n">
        <f aca="false">D88+E88</f>
        <v>1</v>
      </c>
    </row>
    <row r="89" customFormat="false" ht="15" hidden="false" customHeight="false" outlineLevel="0" collapsed="false">
      <c r="A89" s="8" t="s">
        <v>8356</v>
      </c>
      <c r="B89" s="8" t="s">
        <v>5998</v>
      </c>
      <c r="C89" s="8" t="s">
        <v>8268</v>
      </c>
      <c r="D89" s="8" t="n">
        <f aca="false">COUNTIF(Dishes!$M:$R,B89)</f>
        <v>0</v>
      </c>
      <c r="E89" s="8" t="n">
        <f aca="false">COUNTIF(Drinks!$N:$S,B89)</f>
        <v>4</v>
      </c>
      <c r="F89" s="8" t="n">
        <f aca="false">D89+E89</f>
        <v>4</v>
      </c>
    </row>
    <row r="90" customFormat="false" ht="15" hidden="false" customHeight="false" outlineLevel="0" collapsed="false">
      <c r="A90" s="8" t="s">
        <v>8357</v>
      </c>
      <c r="B90" s="8" t="s">
        <v>6314</v>
      </c>
      <c r="C90" s="8" t="s">
        <v>8268</v>
      </c>
      <c r="D90" s="8" t="n">
        <f aca="false">COUNTIF(Dishes!$M:$R,B90)</f>
        <v>0</v>
      </c>
      <c r="E90" s="8" t="n">
        <f aca="false">COUNTIF(Drinks!$N:$S,B90)</f>
        <v>2</v>
      </c>
      <c r="F90" s="8" t="n">
        <f aca="false">D90+E90</f>
        <v>2</v>
      </c>
    </row>
    <row r="91" customFormat="false" ht="15" hidden="false" customHeight="false" outlineLevel="0" collapsed="false">
      <c r="A91" s="8" t="s">
        <v>8358</v>
      </c>
      <c r="B91" s="8" t="s">
        <v>4298</v>
      </c>
      <c r="C91" s="8" t="s">
        <v>8272</v>
      </c>
      <c r="D91" s="8" t="n">
        <f aca="false">COUNTIF(Dishes!$M:$R,B91)</f>
        <v>1</v>
      </c>
      <c r="E91" s="8" t="n">
        <f aca="false">COUNTIF(Drinks!$N:$S,B91)</f>
        <v>0</v>
      </c>
      <c r="F91" s="8" t="n">
        <f aca="false">D91+E91</f>
        <v>1</v>
      </c>
    </row>
    <row r="92" customFormat="false" ht="15" hidden="false" customHeight="false" outlineLevel="0" collapsed="false">
      <c r="A92" s="8" t="s">
        <v>8359</v>
      </c>
      <c r="B92" s="8" t="s">
        <v>4614</v>
      </c>
      <c r="C92" s="8" t="s">
        <v>8272</v>
      </c>
      <c r="D92" s="8" t="n">
        <f aca="false">COUNTIF(Dishes!$M:$R,B92)</f>
        <v>1</v>
      </c>
      <c r="E92" s="8" t="n">
        <f aca="false">COUNTIF(Drinks!$N:$S,B92)</f>
        <v>0</v>
      </c>
      <c r="F92" s="8" t="n">
        <f aca="false">D92+E92</f>
        <v>1</v>
      </c>
    </row>
    <row r="93" customFormat="false" ht="15" hidden="false" customHeight="false" outlineLevel="0" collapsed="false">
      <c r="A93" s="8" t="s">
        <v>8360</v>
      </c>
      <c r="B93" s="8" t="s">
        <v>412</v>
      </c>
      <c r="C93" s="8" t="s">
        <v>8272</v>
      </c>
      <c r="D93" s="8" t="n">
        <f aca="false">COUNTIF(Dishes!$M:$R,B93)</f>
        <v>11</v>
      </c>
      <c r="E93" s="8" t="n">
        <f aca="false">COUNTIF(Drinks!$N:$S,B93)</f>
        <v>0</v>
      </c>
      <c r="F93" s="8" t="n">
        <f aca="false">D93+E93</f>
        <v>11</v>
      </c>
    </row>
    <row r="94" customFormat="false" ht="15" hidden="false" customHeight="false" outlineLevel="0" collapsed="false">
      <c r="A94" s="8" t="s">
        <v>8361</v>
      </c>
      <c r="B94" s="8" t="s">
        <v>1679</v>
      </c>
      <c r="C94" s="8" t="s">
        <v>8287</v>
      </c>
      <c r="D94" s="8" t="n">
        <f aca="false">COUNTIF(Dishes!$M:$R,B94)</f>
        <v>1</v>
      </c>
      <c r="E94" s="8" t="n">
        <f aca="false">COUNTIF(Drinks!$N:$S,B94)</f>
        <v>0</v>
      </c>
      <c r="F94" s="8" t="n">
        <f aca="false">D94+E94</f>
        <v>1</v>
      </c>
    </row>
    <row r="95" customFormat="false" ht="15" hidden="false" customHeight="false" outlineLevel="0" collapsed="false">
      <c r="A95" s="8" t="s">
        <v>8362</v>
      </c>
      <c r="B95" s="8" t="s">
        <v>3493</v>
      </c>
      <c r="C95" s="8" t="s">
        <v>8272</v>
      </c>
      <c r="D95" s="8" t="n">
        <f aca="false">COUNTIF(Dishes!$M:$R,B95)</f>
        <v>2</v>
      </c>
      <c r="E95" s="8" t="n">
        <f aca="false">COUNTIF(Drinks!$N:$S,B95)</f>
        <v>0</v>
      </c>
      <c r="F95" s="8" t="n">
        <f aca="false">D95+E95</f>
        <v>2</v>
      </c>
    </row>
    <row r="96" customFormat="false" ht="15" hidden="false" customHeight="false" outlineLevel="0" collapsed="false">
      <c r="A96" s="8" t="s">
        <v>8363</v>
      </c>
      <c r="B96" s="8" t="s">
        <v>2883</v>
      </c>
      <c r="C96" s="8" t="s">
        <v>8257</v>
      </c>
      <c r="D96" s="8" t="n">
        <f aca="false">COUNTIF(Dishes!$M:$R,B96)</f>
        <v>2</v>
      </c>
      <c r="E96" s="8" t="n">
        <f aca="false">COUNTIF(Drinks!$N:$S,B96)</f>
        <v>0</v>
      </c>
      <c r="F96" s="8" t="n">
        <f aca="false">D96+E96</f>
        <v>2</v>
      </c>
    </row>
    <row r="97" customFormat="false" ht="15" hidden="false" customHeight="false" outlineLevel="0" collapsed="false">
      <c r="A97" s="8" t="s">
        <v>8364</v>
      </c>
      <c r="B97" s="8" t="s">
        <v>1456</v>
      </c>
      <c r="C97" s="8" t="s">
        <v>8282</v>
      </c>
      <c r="D97" s="8" t="n">
        <f aca="false">COUNTIF(Dishes!$M:$R,B97)</f>
        <v>2</v>
      </c>
      <c r="E97" s="8" t="n">
        <f aca="false">COUNTIF(Drinks!$N:$S,B97)</f>
        <v>0</v>
      </c>
      <c r="F97" s="8" t="n">
        <f aca="false">D97+E97</f>
        <v>2</v>
      </c>
    </row>
    <row r="98" customFormat="false" ht="15" hidden="false" customHeight="false" outlineLevel="0" collapsed="false">
      <c r="A98" s="8" t="s">
        <v>8365</v>
      </c>
      <c r="B98" s="8" t="s">
        <v>5257</v>
      </c>
      <c r="C98" s="8" t="s">
        <v>8257</v>
      </c>
      <c r="D98" s="8" t="n">
        <f aca="false">COUNTIF(Dishes!$M:$R,B98)</f>
        <v>1</v>
      </c>
      <c r="E98" s="8" t="n">
        <f aca="false">COUNTIF(Drinks!$N:$S,B98)</f>
        <v>0</v>
      </c>
      <c r="F98" s="8" t="n">
        <f aca="false">D98+E98</f>
        <v>1</v>
      </c>
    </row>
    <row r="99" customFormat="false" ht="15" hidden="false" customHeight="false" outlineLevel="0" collapsed="false">
      <c r="A99" s="8" t="s">
        <v>8366</v>
      </c>
      <c r="B99" s="8" t="s">
        <v>6256</v>
      </c>
      <c r="C99" s="8" t="s">
        <v>8282</v>
      </c>
      <c r="D99" s="8" t="n">
        <f aca="false">COUNTIF(Dishes!$M:$R,B99)</f>
        <v>0</v>
      </c>
      <c r="E99" s="8" t="n">
        <f aca="false">COUNTIF(Drinks!$N:$S,B99)</f>
        <v>1</v>
      </c>
      <c r="F99" s="8" t="n">
        <f aca="false">D99+E99</f>
        <v>1</v>
      </c>
    </row>
    <row r="100" customFormat="false" ht="15" hidden="false" customHeight="false" outlineLevel="0" collapsed="false">
      <c r="A100" s="8" t="s">
        <v>8367</v>
      </c>
      <c r="B100" s="8" t="s">
        <v>5007</v>
      </c>
      <c r="C100" s="8" t="s">
        <v>8265</v>
      </c>
      <c r="D100" s="8" t="n">
        <f aca="false">COUNTIF(Dishes!$M:$R,B100)</f>
        <v>1</v>
      </c>
      <c r="E100" s="8" t="n">
        <f aca="false">COUNTIF(Drinks!$N:$S,B100)</f>
        <v>0</v>
      </c>
      <c r="F100" s="8" t="n">
        <f aca="false">D100+E100</f>
        <v>1</v>
      </c>
    </row>
    <row r="101" customFormat="false" ht="15" hidden="false" customHeight="false" outlineLevel="0" collapsed="false">
      <c r="A101" s="8" t="s">
        <v>8368</v>
      </c>
      <c r="B101" s="8" t="s">
        <v>2643</v>
      </c>
      <c r="C101" s="8" t="s">
        <v>8257</v>
      </c>
      <c r="D101" s="8" t="n">
        <f aca="false">COUNTIF(Dishes!$M:$R,B101)</f>
        <v>1</v>
      </c>
      <c r="E101" s="8" t="n">
        <f aca="false">COUNTIF(Drinks!$N:$S,B101)</f>
        <v>0</v>
      </c>
      <c r="F101" s="8" t="n">
        <f aca="false">D101+E101</f>
        <v>1</v>
      </c>
    </row>
    <row r="102" customFormat="false" ht="15" hidden="false" customHeight="false" outlineLevel="0" collapsed="false">
      <c r="A102" s="8" t="s">
        <v>8369</v>
      </c>
      <c r="B102" s="8" t="s">
        <v>3897</v>
      </c>
      <c r="C102" s="8" t="s">
        <v>8272</v>
      </c>
      <c r="D102" s="8" t="n">
        <f aca="false">COUNTIF(Dishes!$M:$R,B102)</f>
        <v>1</v>
      </c>
      <c r="E102" s="8" t="n">
        <f aca="false">COUNTIF(Drinks!$N:$S,B102)</f>
        <v>0</v>
      </c>
      <c r="F102" s="8" t="n">
        <f aca="false">D102+E102</f>
        <v>1</v>
      </c>
    </row>
    <row r="103" customFormat="false" ht="15" hidden="false" customHeight="false" outlineLevel="0" collapsed="false">
      <c r="A103" s="8" t="s">
        <v>8370</v>
      </c>
      <c r="B103" s="8" t="s">
        <v>2924</v>
      </c>
      <c r="C103" s="8" t="s">
        <v>8272</v>
      </c>
      <c r="D103" s="8" t="n">
        <f aca="false">COUNTIF(Dishes!$M:$R,B103)</f>
        <v>2</v>
      </c>
      <c r="E103" s="8" t="n">
        <f aca="false">COUNTIF(Drinks!$N:$S,B103)</f>
        <v>0</v>
      </c>
      <c r="F103" s="8" t="n">
        <f aca="false">D103+E103</f>
        <v>2</v>
      </c>
    </row>
    <row r="104" customFormat="false" ht="15" hidden="false" customHeight="false" outlineLevel="0" collapsed="false">
      <c r="A104" s="8" t="s">
        <v>8371</v>
      </c>
      <c r="B104" s="8" t="s">
        <v>5645</v>
      </c>
      <c r="C104" s="8" t="s">
        <v>8272</v>
      </c>
      <c r="D104" s="8" t="n">
        <f aca="false">COUNTIF(Dishes!$M:$R,B104)</f>
        <v>1</v>
      </c>
      <c r="E104" s="8" t="n">
        <f aca="false">COUNTIF(Drinks!$N:$S,B104)</f>
        <v>0</v>
      </c>
      <c r="F104" s="8" t="n">
        <f aca="false">D104+E104</f>
        <v>1</v>
      </c>
    </row>
    <row r="105" customFormat="false" ht="15" hidden="false" customHeight="false" outlineLevel="0" collapsed="false">
      <c r="A105" s="8" t="s">
        <v>8372</v>
      </c>
      <c r="B105" s="8" t="s">
        <v>5671</v>
      </c>
      <c r="C105" s="8" t="s">
        <v>8272</v>
      </c>
      <c r="D105" s="8" t="n">
        <f aca="false">COUNTIF(Dishes!$M:$R,B105)</f>
        <v>1</v>
      </c>
      <c r="E105" s="8" t="n">
        <f aca="false">COUNTIF(Drinks!$N:$S,B105)</f>
        <v>0</v>
      </c>
      <c r="F105" s="8" t="n">
        <f aca="false">D105+E105</f>
        <v>1</v>
      </c>
    </row>
    <row r="106" customFormat="false" ht="15" hidden="false" customHeight="false" outlineLevel="0" collapsed="false">
      <c r="A106" s="8" t="s">
        <v>8373</v>
      </c>
      <c r="B106" s="8" t="s">
        <v>754</v>
      </c>
      <c r="C106" s="8" t="s">
        <v>8272</v>
      </c>
      <c r="D106" s="8" t="n">
        <f aca="false">COUNTIF(Dishes!$M:$R,B106)</f>
        <v>3</v>
      </c>
      <c r="E106" s="8" t="n">
        <f aca="false">COUNTIF(Drinks!$N:$S,B106)</f>
        <v>0</v>
      </c>
      <c r="F106" s="8" t="n">
        <f aca="false">D106+E106</f>
        <v>3</v>
      </c>
    </row>
    <row r="107" customFormat="false" ht="15" hidden="false" customHeight="false" outlineLevel="0" collapsed="false">
      <c r="A107" s="8" t="s">
        <v>8374</v>
      </c>
      <c r="B107" s="8" t="s">
        <v>6840</v>
      </c>
      <c r="C107" s="8" t="s">
        <v>8344</v>
      </c>
      <c r="D107" s="8" t="n">
        <f aca="false">COUNTIF(Dishes!$M:$R,B107)</f>
        <v>0</v>
      </c>
      <c r="E107" s="8" t="n">
        <f aca="false">COUNTIF(Drinks!$N:$S,B107)</f>
        <v>1</v>
      </c>
      <c r="F107" s="8" t="n">
        <f aca="false">D107+E107</f>
        <v>1</v>
      </c>
    </row>
    <row r="108" customFormat="false" ht="15" hidden="false" customHeight="false" outlineLevel="0" collapsed="false">
      <c r="A108" s="8" t="s">
        <v>8375</v>
      </c>
      <c r="B108" s="8" t="s">
        <v>214</v>
      </c>
      <c r="C108" s="8" t="s">
        <v>8265</v>
      </c>
      <c r="D108" s="8" t="n">
        <f aca="false">COUNTIF(Dishes!$M:$R,B108)</f>
        <v>38</v>
      </c>
      <c r="E108" s="8" t="n">
        <f aca="false">COUNTIF(Drinks!$N:$S,B108)</f>
        <v>0</v>
      </c>
      <c r="F108" s="8" t="n">
        <f aca="false">D108+E108</f>
        <v>38</v>
      </c>
    </row>
    <row r="109" customFormat="false" ht="15" hidden="false" customHeight="false" outlineLevel="0" collapsed="false">
      <c r="A109" s="8" t="s">
        <v>8376</v>
      </c>
      <c r="B109" s="8" t="s">
        <v>5146</v>
      </c>
      <c r="C109" s="8" t="s">
        <v>8265</v>
      </c>
      <c r="D109" s="8" t="n">
        <f aca="false">COUNTIF(Dishes!$M:$R,B109)</f>
        <v>1</v>
      </c>
      <c r="E109" s="8" t="n">
        <f aca="false">COUNTIF(Drinks!$N:$S,B109)</f>
        <v>0</v>
      </c>
      <c r="F109" s="8" t="n">
        <f aca="false">D109+E109</f>
        <v>1</v>
      </c>
    </row>
    <row r="110" customFormat="false" ht="15" hidden="false" customHeight="false" outlineLevel="0" collapsed="false">
      <c r="A110" s="8" t="s">
        <v>8377</v>
      </c>
      <c r="B110" s="8" t="s">
        <v>1419</v>
      </c>
      <c r="C110" s="8" t="s">
        <v>8259</v>
      </c>
      <c r="D110" s="8" t="n">
        <f aca="false">COUNTIF(Dishes!$M:$R,B110)</f>
        <v>2</v>
      </c>
      <c r="E110" s="8" t="n">
        <f aca="false">COUNTIF(Drinks!$N:$S,B110)</f>
        <v>0</v>
      </c>
      <c r="F110" s="8" t="n">
        <f aca="false">D110+E110</f>
        <v>2</v>
      </c>
    </row>
    <row r="111" customFormat="false" ht="15" hidden="false" customHeight="false" outlineLevel="0" collapsed="false">
      <c r="A111" s="8" t="s">
        <v>8378</v>
      </c>
      <c r="B111" s="8" t="s">
        <v>4213</v>
      </c>
      <c r="C111" s="8" t="s">
        <v>8265</v>
      </c>
      <c r="D111" s="8" t="n">
        <f aca="false">COUNTIF(Dishes!$M:$R,B111)</f>
        <v>1</v>
      </c>
      <c r="E111" s="8" t="n">
        <f aca="false">COUNTIF(Drinks!$N:$S,B111)</f>
        <v>0</v>
      </c>
      <c r="F111" s="8" t="n">
        <f aca="false">D111+E111</f>
        <v>1</v>
      </c>
    </row>
    <row r="112" customFormat="false" ht="15" hidden="false" customHeight="false" outlineLevel="0" collapsed="false">
      <c r="A112" s="8" t="s">
        <v>8379</v>
      </c>
      <c r="B112" s="8" t="s">
        <v>3849</v>
      </c>
      <c r="C112" s="8" t="s">
        <v>8265</v>
      </c>
      <c r="D112" s="8" t="n">
        <f aca="false">COUNTIF(Dishes!$M:$R,B112)</f>
        <v>4</v>
      </c>
      <c r="E112" s="8" t="n">
        <f aca="false">COUNTIF(Drinks!$N:$S,B112)</f>
        <v>0</v>
      </c>
      <c r="F112" s="8" t="n">
        <f aca="false">D112+E112</f>
        <v>4</v>
      </c>
    </row>
    <row r="113" customFormat="false" ht="15" hidden="false" customHeight="false" outlineLevel="0" collapsed="false">
      <c r="A113" s="8" t="s">
        <v>8380</v>
      </c>
      <c r="B113" s="8" t="s">
        <v>1371</v>
      </c>
      <c r="C113" s="8" t="s">
        <v>8287</v>
      </c>
      <c r="D113" s="8" t="n">
        <f aca="false">COUNTIF(Dishes!$M:$R,B113)</f>
        <v>11</v>
      </c>
      <c r="E113" s="8" t="n">
        <f aca="false">COUNTIF(Drinks!$N:$S,B113)</f>
        <v>0</v>
      </c>
      <c r="F113" s="8" t="n">
        <f aca="false">D113+E113</f>
        <v>11</v>
      </c>
    </row>
    <row r="114" customFormat="false" ht="15" hidden="false" customHeight="false" outlineLevel="0" collapsed="false">
      <c r="A114" s="8" t="s">
        <v>8381</v>
      </c>
      <c r="B114" s="8" t="s">
        <v>2934</v>
      </c>
      <c r="C114" s="8" t="s">
        <v>8272</v>
      </c>
      <c r="D114" s="8" t="n">
        <f aca="false">COUNTIF(Dishes!$M:$R,B114)</f>
        <v>1</v>
      </c>
      <c r="E114" s="8" t="n">
        <f aca="false">COUNTIF(Drinks!$N:$S,B114)</f>
        <v>0</v>
      </c>
      <c r="F114" s="8" t="n">
        <f aca="false">D114+E114</f>
        <v>1</v>
      </c>
    </row>
    <row r="115" customFormat="false" ht="15" hidden="false" customHeight="false" outlineLevel="0" collapsed="false">
      <c r="A115" s="8" t="s">
        <v>8382</v>
      </c>
      <c r="B115" s="8" t="s">
        <v>6125</v>
      </c>
      <c r="C115" s="8" t="s">
        <v>8268</v>
      </c>
      <c r="D115" s="8" t="n">
        <f aca="false">COUNTIF(Dishes!$M:$R,B115)</f>
        <v>0</v>
      </c>
      <c r="E115" s="8" t="n">
        <f aca="false">COUNTIF(Drinks!$N:$S,B115)</f>
        <v>1</v>
      </c>
      <c r="F115" s="8" t="n">
        <f aca="false">D115+E115</f>
        <v>1</v>
      </c>
    </row>
    <row r="116" customFormat="false" ht="15" hidden="false" customHeight="false" outlineLevel="0" collapsed="false">
      <c r="A116" s="8" t="s">
        <v>8383</v>
      </c>
      <c r="B116" s="8" t="s">
        <v>3691</v>
      </c>
      <c r="C116" s="8" t="s">
        <v>8261</v>
      </c>
      <c r="D116" s="8" t="n">
        <f aca="false">COUNTIF(Dishes!$M:$R,B116)</f>
        <v>2</v>
      </c>
      <c r="E116" s="8" t="n">
        <f aca="false">COUNTIF(Drinks!$N:$S,B116)</f>
        <v>0</v>
      </c>
      <c r="F116" s="8" t="n">
        <f aca="false">D116+E116</f>
        <v>2</v>
      </c>
    </row>
    <row r="117" customFormat="false" ht="15" hidden="false" customHeight="false" outlineLevel="0" collapsed="false">
      <c r="A117" s="8" t="s">
        <v>8384</v>
      </c>
      <c r="B117" s="8" t="s">
        <v>6018</v>
      </c>
      <c r="C117" s="8" t="s">
        <v>8268</v>
      </c>
      <c r="D117" s="8" t="n">
        <f aca="false">COUNTIF(Dishes!$M:$R,B117)</f>
        <v>0</v>
      </c>
      <c r="E117" s="8" t="n">
        <f aca="false">COUNTIF(Drinks!$N:$S,B117)</f>
        <v>1</v>
      </c>
      <c r="F117" s="8" t="n">
        <f aca="false">D117+E117</f>
        <v>1</v>
      </c>
    </row>
    <row r="118" customFormat="false" ht="15" hidden="false" customHeight="false" outlineLevel="0" collapsed="false">
      <c r="A118" s="8" t="s">
        <v>8385</v>
      </c>
      <c r="B118" s="8" t="s">
        <v>4037</v>
      </c>
      <c r="C118" s="8" t="s">
        <v>8261</v>
      </c>
      <c r="D118" s="8" t="n">
        <f aca="false">COUNTIF(Dishes!$M:$R,B118)</f>
        <v>1</v>
      </c>
      <c r="E118" s="8" t="n">
        <f aca="false">COUNTIF(Drinks!$N:$S,B118)</f>
        <v>0</v>
      </c>
      <c r="F118" s="8" t="n">
        <f aca="false">D118+E118</f>
        <v>1</v>
      </c>
    </row>
    <row r="119" customFormat="false" ht="15" hidden="false" customHeight="false" outlineLevel="0" collapsed="false">
      <c r="A119" s="8" t="s">
        <v>8386</v>
      </c>
      <c r="B119" s="8" t="s">
        <v>4019</v>
      </c>
      <c r="C119" s="8" t="s">
        <v>8298</v>
      </c>
      <c r="D119" s="8" t="n">
        <f aca="false">COUNTIF(Dishes!$M:$R,B119)</f>
        <v>1</v>
      </c>
      <c r="E119" s="8" t="n">
        <f aca="false">COUNTIF(Drinks!$N:$S,B119)</f>
        <v>0</v>
      </c>
      <c r="F119" s="8" t="n">
        <f aca="false">D119+E119</f>
        <v>1</v>
      </c>
    </row>
    <row r="120" customFormat="false" ht="15" hidden="false" customHeight="false" outlineLevel="0" collapsed="false">
      <c r="A120" s="8" t="s">
        <v>8387</v>
      </c>
      <c r="B120" s="8" t="s">
        <v>630</v>
      </c>
      <c r="C120" s="8" t="s">
        <v>8257</v>
      </c>
      <c r="D120" s="8" t="n">
        <f aca="false">COUNTIF(Dishes!$M:$R,B120)</f>
        <v>1</v>
      </c>
      <c r="E120" s="8" t="n">
        <f aca="false">COUNTIF(Drinks!$N:$S,B120)</f>
        <v>0</v>
      </c>
      <c r="F120" s="8" t="n">
        <f aca="false">D120+E120</f>
        <v>1</v>
      </c>
    </row>
    <row r="121" customFormat="false" ht="15" hidden="false" customHeight="false" outlineLevel="0" collapsed="false">
      <c r="A121" s="8" t="s">
        <v>8388</v>
      </c>
      <c r="B121" s="8" t="s">
        <v>356</v>
      </c>
      <c r="C121" s="8" t="s">
        <v>8287</v>
      </c>
      <c r="D121" s="8" t="n">
        <f aca="false">COUNTIF(Dishes!$M:$R,B121)</f>
        <v>15</v>
      </c>
      <c r="E121" s="8" t="n">
        <f aca="false">COUNTIF(Drinks!$N:$S,B121)</f>
        <v>0</v>
      </c>
      <c r="F121" s="8" t="n">
        <f aca="false">D121+E121</f>
        <v>15</v>
      </c>
    </row>
    <row r="122" customFormat="false" ht="15" hidden="false" customHeight="false" outlineLevel="0" collapsed="false">
      <c r="A122" s="8" t="s">
        <v>8389</v>
      </c>
      <c r="B122" s="8" t="s">
        <v>4222</v>
      </c>
      <c r="C122" s="8" t="s">
        <v>8282</v>
      </c>
      <c r="D122" s="8" t="n">
        <f aca="false">COUNTIF(Dishes!$M:$R,B122)</f>
        <v>1</v>
      </c>
      <c r="E122" s="8" t="n">
        <f aca="false">COUNTIF(Drinks!$N:$S,B122)</f>
        <v>0</v>
      </c>
      <c r="F122" s="8" t="n">
        <f aca="false">D122+E122</f>
        <v>1</v>
      </c>
    </row>
    <row r="123" customFormat="false" ht="15" hidden="false" customHeight="false" outlineLevel="0" collapsed="false">
      <c r="A123" s="8" t="s">
        <v>8390</v>
      </c>
      <c r="B123" s="8" t="s">
        <v>4703</v>
      </c>
      <c r="C123" s="8" t="s">
        <v>8282</v>
      </c>
      <c r="D123" s="8" t="n">
        <f aca="false">COUNTIF(Dishes!$M:$R,B123)</f>
        <v>1</v>
      </c>
      <c r="E123" s="8" t="n">
        <f aca="false">COUNTIF(Drinks!$N:$S,B123)</f>
        <v>0</v>
      </c>
      <c r="F123" s="8" t="n">
        <f aca="false">D123+E123</f>
        <v>1</v>
      </c>
    </row>
    <row r="124" customFormat="false" ht="15" hidden="false" customHeight="false" outlineLevel="0" collapsed="false">
      <c r="A124" s="8" t="s">
        <v>8391</v>
      </c>
      <c r="B124" s="8" t="s">
        <v>4124</v>
      </c>
      <c r="C124" s="8" t="s">
        <v>8287</v>
      </c>
      <c r="D124" s="8" t="n">
        <f aca="false">COUNTIF(Dishes!$M:$R,B124)</f>
        <v>1</v>
      </c>
      <c r="E124" s="8" t="n">
        <f aca="false">COUNTIF(Drinks!$N:$S,B124)</f>
        <v>0</v>
      </c>
      <c r="F124" s="8" t="n">
        <f aca="false">D124+E124</f>
        <v>1</v>
      </c>
    </row>
    <row r="125" customFormat="false" ht="15" hidden="false" customHeight="false" outlineLevel="0" collapsed="false">
      <c r="A125" s="8" t="s">
        <v>8392</v>
      </c>
      <c r="B125" s="8" t="s">
        <v>1694</v>
      </c>
      <c r="C125" s="8" t="s">
        <v>8282</v>
      </c>
      <c r="D125" s="8" t="n">
        <f aca="false">COUNTIF(Dishes!$M:$R,B125)</f>
        <v>1</v>
      </c>
      <c r="E125" s="8" t="n">
        <f aca="false">COUNTIF(Drinks!$N:$S,B125)</f>
        <v>0</v>
      </c>
      <c r="F125" s="8" t="n">
        <f aca="false">D125+E125</f>
        <v>1</v>
      </c>
    </row>
    <row r="126" customFormat="false" ht="15" hidden="false" customHeight="false" outlineLevel="0" collapsed="false">
      <c r="A126" s="8" t="s">
        <v>8393</v>
      </c>
      <c r="B126" s="8" t="s">
        <v>4134</v>
      </c>
      <c r="C126" s="8" t="s">
        <v>8272</v>
      </c>
      <c r="D126" s="8" t="n">
        <f aca="false">COUNTIF(Dishes!$M:$R,B126)</f>
        <v>1</v>
      </c>
      <c r="E126" s="8" t="n">
        <f aca="false">COUNTIF(Drinks!$N:$S,B126)</f>
        <v>0</v>
      </c>
      <c r="F126" s="8" t="n">
        <f aca="false">D126+E126</f>
        <v>1</v>
      </c>
    </row>
    <row r="127" customFormat="false" ht="15" hidden="false" customHeight="false" outlineLevel="0" collapsed="false">
      <c r="A127" s="8" t="s">
        <v>8394</v>
      </c>
      <c r="B127" s="8" t="s">
        <v>4685</v>
      </c>
      <c r="C127" s="8" t="s">
        <v>8259</v>
      </c>
      <c r="D127" s="8" t="n">
        <f aca="false">COUNTIF(Dishes!$M:$R,B127)</f>
        <v>2</v>
      </c>
      <c r="E127" s="8" t="n">
        <f aca="false">COUNTIF(Drinks!$N:$S,B127)</f>
        <v>0</v>
      </c>
      <c r="F127" s="8" t="n">
        <f aca="false">D127+E127</f>
        <v>2</v>
      </c>
    </row>
    <row r="128" customFormat="false" ht="15" hidden="false" customHeight="false" outlineLevel="0" collapsed="false">
      <c r="A128" s="8" t="s">
        <v>8395</v>
      </c>
      <c r="B128" s="8" t="s">
        <v>764</v>
      </c>
      <c r="C128" s="8" t="s">
        <v>8259</v>
      </c>
      <c r="D128" s="8" t="n">
        <f aca="false">COUNTIF(Dishes!$M:$R,B128)</f>
        <v>25</v>
      </c>
      <c r="E128" s="8" t="n">
        <f aca="false">COUNTIF(Drinks!$N:$S,B128)</f>
        <v>7</v>
      </c>
      <c r="F128" s="8" t="n">
        <f aca="false">D128+E128</f>
        <v>32</v>
      </c>
    </row>
    <row r="129" customFormat="false" ht="15" hidden="false" customHeight="false" outlineLevel="0" collapsed="false">
      <c r="A129" s="8" t="s">
        <v>8396</v>
      </c>
      <c r="B129" s="8" t="s">
        <v>306</v>
      </c>
      <c r="C129" s="8" t="s">
        <v>8259</v>
      </c>
      <c r="D129" s="8" t="n">
        <f aca="false">COUNTIF(Dishes!$M:$R,B129)</f>
        <v>1</v>
      </c>
      <c r="E129" s="8" t="n">
        <f aca="false">COUNTIF(Drinks!$N:$S,B129)</f>
        <v>0</v>
      </c>
      <c r="F129" s="8" t="n">
        <f aca="false">D129+E129</f>
        <v>1</v>
      </c>
    </row>
    <row r="130" customFormat="false" ht="15" hidden="false" customHeight="false" outlineLevel="0" collapsed="false">
      <c r="A130" s="8" t="s">
        <v>8397</v>
      </c>
      <c r="B130" s="8" t="s">
        <v>1933</v>
      </c>
      <c r="C130" s="8" t="s">
        <v>8287</v>
      </c>
      <c r="D130" s="8" t="n">
        <f aca="false">COUNTIF(Dishes!$M:$R,B130)</f>
        <v>6</v>
      </c>
      <c r="E130" s="8" t="n">
        <f aca="false">COUNTIF(Drinks!$N:$S,B130)</f>
        <v>0</v>
      </c>
      <c r="F130" s="8" t="n">
        <f aca="false">D130+E130</f>
        <v>6</v>
      </c>
    </row>
    <row r="131" customFormat="false" ht="15" hidden="false" customHeight="false" outlineLevel="0" collapsed="false">
      <c r="A131" s="8" t="s">
        <v>8398</v>
      </c>
      <c r="B131" s="8" t="s">
        <v>346</v>
      </c>
      <c r="C131" s="8" t="s">
        <v>8261</v>
      </c>
      <c r="D131" s="8" t="n">
        <f aca="false">COUNTIF(Dishes!$M:$R,B131)</f>
        <v>13</v>
      </c>
      <c r="E131" s="8" t="n">
        <f aca="false">COUNTIF(Drinks!$N:$S,B131)</f>
        <v>0</v>
      </c>
      <c r="F131" s="8" t="n">
        <f aca="false">D131+E131</f>
        <v>13</v>
      </c>
    </row>
    <row r="132" customFormat="false" ht="15" hidden="false" customHeight="false" outlineLevel="0" collapsed="false">
      <c r="A132" s="8" t="s">
        <v>8399</v>
      </c>
      <c r="B132" s="8" t="s">
        <v>6612</v>
      </c>
      <c r="C132" s="8" t="s">
        <v>8261</v>
      </c>
      <c r="D132" s="8" t="n">
        <f aca="false">COUNTIF(Dishes!$M:$R,B132)</f>
        <v>0</v>
      </c>
      <c r="E132" s="8" t="n">
        <f aca="false">COUNTIF(Drinks!$N:$S,B132)</f>
        <v>1</v>
      </c>
      <c r="F132" s="8" t="n">
        <f aca="false">D132+E132</f>
        <v>1</v>
      </c>
    </row>
    <row r="133" customFormat="false" ht="15" hidden="false" customHeight="false" outlineLevel="0" collapsed="false">
      <c r="A133" s="8" t="s">
        <v>8400</v>
      </c>
      <c r="B133" s="8" t="s">
        <v>5854</v>
      </c>
      <c r="C133" s="8" t="s">
        <v>8287</v>
      </c>
      <c r="D133" s="8" t="n">
        <f aca="false">COUNTIF(Dishes!$M:$R,B133)</f>
        <v>2</v>
      </c>
      <c r="E133" s="8" t="n">
        <f aca="false">COUNTIF(Drinks!$N:$S,B133)</f>
        <v>0</v>
      </c>
      <c r="F133" s="8" t="n">
        <f aca="false">D133+E133</f>
        <v>2</v>
      </c>
    </row>
    <row r="134" customFormat="false" ht="15" hidden="false" customHeight="false" outlineLevel="0" collapsed="false">
      <c r="A134" s="8" t="s">
        <v>8401</v>
      </c>
      <c r="B134" s="8" t="s">
        <v>5488</v>
      </c>
      <c r="C134" s="8" t="s">
        <v>8272</v>
      </c>
      <c r="D134" s="8" t="n">
        <f aca="false">COUNTIF(Dishes!$M:$R,B134)</f>
        <v>1</v>
      </c>
      <c r="E134" s="8" t="n">
        <f aca="false">COUNTIF(Drinks!$N:$S,B134)</f>
        <v>0</v>
      </c>
      <c r="F134" s="8" t="n">
        <f aca="false">D134+E134</f>
        <v>1</v>
      </c>
    </row>
    <row r="135" customFormat="false" ht="15" hidden="false" customHeight="false" outlineLevel="0" collapsed="false">
      <c r="A135" s="8" t="s">
        <v>8402</v>
      </c>
      <c r="B135" s="8" t="s">
        <v>1942</v>
      </c>
      <c r="C135" s="8" t="s">
        <v>8287</v>
      </c>
      <c r="D135" s="8" t="n">
        <f aca="false">COUNTIF(Dishes!$M:$R,B135)</f>
        <v>3</v>
      </c>
      <c r="E135" s="8" t="n">
        <f aca="false">COUNTIF(Drinks!$N:$S,B135)</f>
        <v>0</v>
      </c>
      <c r="F135" s="8" t="n">
        <f aca="false">D135+E135</f>
        <v>3</v>
      </c>
    </row>
    <row r="136" customFormat="false" ht="15" hidden="false" customHeight="false" outlineLevel="0" collapsed="false">
      <c r="A136" s="8" t="s">
        <v>8403</v>
      </c>
      <c r="B136" s="8" t="s">
        <v>4853</v>
      </c>
      <c r="C136" s="8" t="s">
        <v>8274</v>
      </c>
      <c r="D136" s="8" t="n">
        <f aca="false">COUNTIF(Dishes!$M:$R,B136)</f>
        <v>1</v>
      </c>
      <c r="E136" s="8" t="n">
        <f aca="false">COUNTIF(Drinks!$N:$S,B136)</f>
        <v>0</v>
      </c>
      <c r="F136" s="8" t="n">
        <f aca="false">D136+E136</f>
        <v>1</v>
      </c>
    </row>
    <row r="137" customFormat="false" ht="15" hidden="false" customHeight="false" outlineLevel="0" collapsed="false">
      <c r="A137" s="8" t="s">
        <v>8404</v>
      </c>
      <c r="B137" s="8" t="s">
        <v>3870</v>
      </c>
      <c r="C137" s="8" t="s">
        <v>8287</v>
      </c>
      <c r="D137" s="8" t="n">
        <f aca="false">COUNTIF(Dishes!$M:$R,B137)</f>
        <v>6</v>
      </c>
      <c r="E137" s="8" t="n">
        <f aca="false">COUNTIF(Drinks!$N:$S,B137)</f>
        <v>1</v>
      </c>
      <c r="F137" s="8" t="n">
        <f aca="false">D137+E137</f>
        <v>7</v>
      </c>
    </row>
    <row r="138" customFormat="false" ht="15" hidden="false" customHeight="false" outlineLevel="0" collapsed="false">
      <c r="A138" s="8" t="s">
        <v>8405</v>
      </c>
      <c r="B138" s="8" t="s">
        <v>2726</v>
      </c>
      <c r="C138" s="8" t="s">
        <v>8265</v>
      </c>
      <c r="D138" s="8" t="n">
        <f aca="false">COUNTIF(Dishes!$M:$R,B138)</f>
        <v>1</v>
      </c>
      <c r="E138" s="8" t="n">
        <f aca="false">COUNTIF(Drinks!$N:$S,B138)</f>
        <v>0</v>
      </c>
      <c r="F138" s="8" t="n">
        <f aca="false">D138+E138</f>
        <v>1</v>
      </c>
    </row>
    <row r="139" customFormat="false" ht="15" hidden="false" customHeight="false" outlineLevel="0" collapsed="false">
      <c r="A139" s="8" t="s">
        <v>8406</v>
      </c>
      <c r="B139" s="8" t="s">
        <v>424</v>
      </c>
      <c r="C139" s="8" t="s">
        <v>8259</v>
      </c>
      <c r="D139" s="8" t="n">
        <f aca="false">COUNTIF(Dishes!$M:$R,B139)</f>
        <v>4</v>
      </c>
      <c r="E139" s="8" t="n">
        <f aca="false">COUNTIF(Drinks!$N:$S,B139)</f>
        <v>0</v>
      </c>
      <c r="F139" s="8" t="n">
        <f aca="false">D139+E139</f>
        <v>4</v>
      </c>
    </row>
    <row r="140" customFormat="false" ht="15" hidden="false" customHeight="false" outlineLevel="0" collapsed="false">
      <c r="A140" s="8" t="s">
        <v>8407</v>
      </c>
      <c r="B140" s="8" t="s">
        <v>6208</v>
      </c>
      <c r="C140" s="8" t="s">
        <v>8268</v>
      </c>
      <c r="D140" s="8" t="n">
        <f aca="false">COUNTIF(Dishes!$M:$R,B140)</f>
        <v>0</v>
      </c>
      <c r="E140" s="8" t="n">
        <f aca="false">COUNTIF(Drinks!$N:$S,B140)</f>
        <v>1</v>
      </c>
      <c r="F140" s="8" t="n">
        <f aca="false">D140+E140</f>
        <v>1</v>
      </c>
    </row>
    <row r="141" customFormat="false" ht="15" hidden="false" customHeight="false" outlineLevel="0" collapsed="false">
      <c r="A141" s="8" t="s">
        <v>8408</v>
      </c>
      <c r="B141" s="8" t="s">
        <v>853</v>
      </c>
      <c r="C141" s="8" t="s">
        <v>8298</v>
      </c>
      <c r="D141" s="8" t="n">
        <f aca="false">COUNTIF(Dishes!$M:$R,B141)</f>
        <v>1</v>
      </c>
      <c r="E141" s="8" t="n">
        <f aca="false">COUNTIF(Drinks!$N:$S,B141)</f>
        <v>0</v>
      </c>
      <c r="F141" s="8" t="n">
        <f aca="false">D141+E141</f>
        <v>1</v>
      </c>
    </row>
    <row r="142" customFormat="false" ht="15" hidden="false" customHeight="false" outlineLevel="0" collapsed="false">
      <c r="A142" s="8" t="s">
        <v>8409</v>
      </c>
      <c r="B142" s="8" t="s">
        <v>228</v>
      </c>
      <c r="C142" s="8" t="s">
        <v>8298</v>
      </c>
      <c r="D142" s="8" t="n">
        <f aca="false">COUNTIF(Dishes!$M:$R,B142)</f>
        <v>1</v>
      </c>
      <c r="E142" s="8" t="n">
        <f aca="false">COUNTIF(Drinks!$N:$S,B142)</f>
        <v>0</v>
      </c>
      <c r="F142" s="8" t="n">
        <f aca="false">D142+E142</f>
        <v>1</v>
      </c>
    </row>
    <row r="143" customFormat="false" ht="15" hidden="false" customHeight="false" outlineLevel="0" collapsed="false">
      <c r="A143" s="8" t="s">
        <v>8410</v>
      </c>
      <c r="B143" s="8" t="s">
        <v>2632</v>
      </c>
      <c r="C143" s="8" t="s">
        <v>8276</v>
      </c>
      <c r="D143" s="8" t="n">
        <f aca="false">COUNTIF(Dishes!$M:$R,B143)</f>
        <v>1</v>
      </c>
      <c r="E143" s="8" t="n">
        <f aca="false">COUNTIF(Drinks!$N:$S,B143)</f>
        <v>0</v>
      </c>
      <c r="F143" s="8" t="n">
        <f aca="false">D143+E143</f>
        <v>1</v>
      </c>
    </row>
    <row r="144" customFormat="false" ht="15" hidden="false" customHeight="false" outlineLevel="0" collapsed="false">
      <c r="A144" s="8" t="s">
        <v>8411</v>
      </c>
      <c r="B144" s="8" t="s">
        <v>765</v>
      </c>
      <c r="C144" s="8" t="s">
        <v>8261</v>
      </c>
      <c r="D144" s="8" t="n">
        <f aca="false">COUNTIF(Dishes!$M:$R,B144)</f>
        <v>1</v>
      </c>
      <c r="E144" s="8" t="n">
        <f aca="false">COUNTIF(Drinks!$N:$S,B144)</f>
        <v>0</v>
      </c>
      <c r="F144" s="8" t="n">
        <f aca="false">D144+E144</f>
        <v>1</v>
      </c>
    </row>
    <row r="145" customFormat="false" ht="15" hidden="false" customHeight="false" outlineLevel="0" collapsed="false">
      <c r="A145" s="8" t="s">
        <v>8412</v>
      </c>
      <c r="B145" s="8" t="s">
        <v>2882</v>
      </c>
      <c r="C145" s="8" t="s">
        <v>8276</v>
      </c>
      <c r="D145" s="8" t="n">
        <f aca="false">COUNTIF(Dishes!$M:$R,B145)</f>
        <v>1</v>
      </c>
      <c r="E145" s="8" t="n">
        <f aca="false">COUNTIF(Drinks!$N:$S,B145)</f>
        <v>0</v>
      </c>
      <c r="F145" s="8" t="n">
        <f aca="false">D145+E145</f>
        <v>1</v>
      </c>
    </row>
    <row r="146" customFormat="false" ht="15" hidden="false" customHeight="false" outlineLevel="0" collapsed="false">
      <c r="A146" s="8" t="s">
        <v>8413</v>
      </c>
      <c r="B146" s="8" t="s">
        <v>5077</v>
      </c>
      <c r="C146" s="8" t="s">
        <v>8265</v>
      </c>
      <c r="D146" s="8" t="n">
        <f aca="false">COUNTIF(Dishes!$M:$R,B146)</f>
        <v>1</v>
      </c>
      <c r="E146" s="8" t="n">
        <f aca="false">COUNTIF(Drinks!$N:$S,B146)</f>
        <v>0</v>
      </c>
      <c r="F146" s="8" t="n">
        <f aca="false">D146+E146</f>
        <v>1</v>
      </c>
    </row>
    <row r="147" customFormat="false" ht="15" hidden="false" customHeight="false" outlineLevel="0" collapsed="false">
      <c r="A147" s="8" t="s">
        <v>8414</v>
      </c>
      <c r="B147" s="8" t="s">
        <v>3275</v>
      </c>
      <c r="C147" s="8" t="s">
        <v>8265</v>
      </c>
      <c r="D147" s="8" t="n">
        <f aca="false">COUNTIF(Dishes!$M:$R,B147)</f>
        <v>7</v>
      </c>
      <c r="E147" s="8" t="n">
        <f aca="false">COUNTIF(Drinks!$N:$S,B147)</f>
        <v>0</v>
      </c>
      <c r="F147" s="8" t="n">
        <f aca="false">D147+E147</f>
        <v>7</v>
      </c>
    </row>
    <row r="148" customFormat="false" ht="15" hidden="false" customHeight="false" outlineLevel="0" collapsed="false">
      <c r="A148" s="8" t="s">
        <v>8415</v>
      </c>
      <c r="B148" s="8" t="s">
        <v>5489</v>
      </c>
      <c r="C148" s="8" t="s">
        <v>8265</v>
      </c>
      <c r="D148" s="8" t="n">
        <f aca="false">COUNTIF(Dishes!$M:$R,B148)</f>
        <v>1</v>
      </c>
      <c r="E148" s="8" t="n">
        <f aca="false">COUNTIF(Drinks!$N:$S,B148)</f>
        <v>0</v>
      </c>
      <c r="F148" s="8" t="n">
        <f aca="false">D148+E148</f>
        <v>1</v>
      </c>
    </row>
    <row r="149" customFormat="false" ht="15" hidden="false" customHeight="false" outlineLevel="0" collapsed="false">
      <c r="A149" s="8" t="s">
        <v>8416</v>
      </c>
      <c r="B149" s="8" t="s">
        <v>4675</v>
      </c>
      <c r="C149" s="8" t="s">
        <v>8261</v>
      </c>
      <c r="D149" s="8" t="n">
        <f aca="false">COUNTIF(Dishes!$M:$R,B149)</f>
        <v>1</v>
      </c>
      <c r="E149" s="8" t="n">
        <f aca="false">COUNTIF(Drinks!$N:$S,B149)</f>
        <v>0</v>
      </c>
      <c r="F149" s="8" t="n">
        <f aca="false">D149+E149</f>
        <v>1</v>
      </c>
    </row>
    <row r="150" customFormat="false" ht="15" hidden="false" customHeight="false" outlineLevel="0" collapsed="false">
      <c r="A150" s="8" t="s">
        <v>8417</v>
      </c>
      <c r="B150" s="8" t="s">
        <v>6047</v>
      </c>
      <c r="C150" s="8" t="s">
        <v>8261</v>
      </c>
      <c r="D150" s="8" t="n">
        <f aca="false">COUNTIF(Dishes!$M:$R,B150)</f>
        <v>0</v>
      </c>
      <c r="E150" s="8" t="n">
        <f aca="false">COUNTIF(Drinks!$N:$S,B150)</f>
        <v>2</v>
      </c>
      <c r="F150" s="8" t="n">
        <f aca="false">D150+E150</f>
        <v>2</v>
      </c>
    </row>
    <row r="151" customFormat="false" ht="15" hidden="false" customHeight="false" outlineLevel="0" collapsed="false">
      <c r="A151" s="8" t="s">
        <v>8418</v>
      </c>
      <c r="B151" s="8" t="s">
        <v>6287</v>
      </c>
      <c r="C151" s="8" t="s">
        <v>8268</v>
      </c>
      <c r="D151" s="8" t="n">
        <f aca="false">COUNTIF(Dishes!$M:$R,B151)</f>
        <v>0</v>
      </c>
      <c r="E151" s="8" t="n">
        <f aca="false">COUNTIF(Drinks!$N:$S,B151)</f>
        <v>1</v>
      </c>
      <c r="F151" s="8" t="n">
        <f aca="false">D151+E151</f>
        <v>1</v>
      </c>
    </row>
    <row r="152" customFormat="false" ht="15" hidden="false" customHeight="false" outlineLevel="0" collapsed="false">
      <c r="A152" s="8" t="s">
        <v>8419</v>
      </c>
      <c r="B152" s="8" t="s">
        <v>1716</v>
      </c>
      <c r="C152" s="8" t="s">
        <v>8265</v>
      </c>
      <c r="D152" s="8" t="n">
        <f aca="false">COUNTIF(Dishes!$M:$R,B152)</f>
        <v>2</v>
      </c>
      <c r="E152" s="8" t="n">
        <f aca="false">COUNTIF(Drinks!$N:$S,B152)</f>
        <v>0</v>
      </c>
      <c r="F152" s="8" t="n">
        <f aca="false">D152+E152</f>
        <v>2</v>
      </c>
    </row>
    <row r="153" customFormat="false" ht="15" hidden="false" customHeight="false" outlineLevel="0" collapsed="false">
      <c r="A153" s="8" t="s">
        <v>8420</v>
      </c>
      <c r="B153" s="8" t="s">
        <v>1705</v>
      </c>
      <c r="C153" s="8" t="s">
        <v>8265</v>
      </c>
      <c r="D153" s="8" t="n">
        <f aca="false">COUNTIF(Dishes!$M:$R,B153)</f>
        <v>1</v>
      </c>
      <c r="E153" s="8" t="n">
        <f aca="false">COUNTIF(Drinks!$N:$S,B153)</f>
        <v>0</v>
      </c>
      <c r="F153" s="8" t="n">
        <f aca="false">D153+E153</f>
        <v>1</v>
      </c>
    </row>
    <row r="154" customFormat="false" ht="15" hidden="false" customHeight="false" outlineLevel="0" collapsed="false">
      <c r="A154" s="8" t="s">
        <v>8421</v>
      </c>
      <c r="B154" s="8" t="s">
        <v>2136</v>
      </c>
      <c r="C154" s="8" t="s">
        <v>8265</v>
      </c>
      <c r="D154" s="8" t="n">
        <f aca="false">COUNTIF(Dishes!$M:$R,B154)</f>
        <v>1</v>
      </c>
      <c r="E154" s="8" t="n">
        <f aca="false">COUNTIF(Drinks!$N:$S,B154)</f>
        <v>0</v>
      </c>
      <c r="F154" s="8" t="n">
        <f aca="false">D154+E154</f>
        <v>1</v>
      </c>
    </row>
    <row r="155" customFormat="false" ht="15" hidden="false" customHeight="false" outlineLevel="0" collapsed="false">
      <c r="A155" s="8" t="s">
        <v>8422</v>
      </c>
      <c r="B155" s="8" t="s">
        <v>5599</v>
      </c>
      <c r="C155" s="8" t="s">
        <v>8276</v>
      </c>
      <c r="D155" s="8" t="n">
        <f aca="false">COUNTIF(Dishes!$M:$R,B155)</f>
        <v>1</v>
      </c>
      <c r="E155" s="8" t="n">
        <f aca="false">COUNTIF(Drinks!$N:$S,B155)</f>
        <v>0</v>
      </c>
      <c r="F155" s="8" t="n">
        <f aca="false">D155+E155</f>
        <v>1</v>
      </c>
    </row>
    <row r="156" customFormat="false" ht="15" hidden="false" customHeight="false" outlineLevel="0" collapsed="false">
      <c r="A156" s="8" t="s">
        <v>8423</v>
      </c>
      <c r="B156" s="8" t="s">
        <v>213</v>
      </c>
      <c r="C156" s="8" t="s">
        <v>8276</v>
      </c>
      <c r="D156" s="8" t="n">
        <f aca="false">COUNTIF(Dishes!$M:$R,B156)</f>
        <v>34</v>
      </c>
      <c r="E156" s="8" t="n">
        <f aca="false">COUNTIF(Drinks!$N:$S,B156)</f>
        <v>0</v>
      </c>
      <c r="F156" s="8" t="n">
        <f aca="false">D156+E156</f>
        <v>34</v>
      </c>
    </row>
    <row r="157" customFormat="false" ht="15" hidden="false" customHeight="false" outlineLevel="0" collapsed="false">
      <c r="A157" s="8" t="s">
        <v>8424</v>
      </c>
      <c r="B157" s="8" t="s">
        <v>2348</v>
      </c>
      <c r="C157" s="8" t="s">
        <v>8276</v>
      </c>
      <c r="D157" s="8" t="n">
        <f aca="false">COUNTIF(Dishes!$M:$R,B157)</f>
        <v>1</v>
      </c>
      <c r="E157" s="8" t="n">
        <f aca="false">COUNTIF(Drinks!$N:$S,B157)</f>
        <v>0</v>
      </c>
      <c r="F157" s="8" t="n">
        <f aca="false">D157+E157</f>
        <v>1</v>
      </c>
    </row>
    <row r="158" customFormat="false" ht="15" hidden="false" customHeight="false" outlineLevel="0" collapsed="false">
      <c r="A158" s="8" t="s">
        <v>8425</v>
      </c>
      <c r="B158" s="8" t="s">
        <v>4826</v>
      </c>
      <c r="C158" s="8" t="s">
        <v>8276</v>
      </c>
      <c r="D158" s="8" t="n">
        <f aca="false">COUNTIF(Dishes!$M:$R,B158)</f>
        <v>1</v>
      </c>
      <c r="E158" s="8" t="n">
        <f aca="false">COUNTIF(Drinks!$N:$S,B158)</f>
        <v>0</v>
      </c>
      <c r="F158" s="8" t="n">
        <f aca="false">D158+E158</f>
        <v>1</v>
      </c>
    </row>
    <row r="159" customFormat="false" ht="15" hidden="false" customHeight="false" outlineLevel="0" collapsed="false">
      <c r="A159" s="8" t="s">
        <v>8426</v>
      </c>
      <c r="B159" s="8" t="s">
        <v>1427</v>
      </c>
      <c r="C159" s="8" t="s">
        <v>8257</v>
      </c>
      <c r="D159" s="8" t="n">
        <f aca="false">COUNTIF(Dishes!$M:$R,B159)</f>
        <v>1</v>
      </c>
      <c r="E159" s="8" t="n">
        <f aca="false">COUNTIF(Drinks!$N:$S,B159)</f>
        <v>0</v>
      </c>
      <c r="F159" s="8" t="n">
        <f aca="false">D159+E159</f>
        <v>1</v>
      </c>
    </row>
    <row r="160" customFormat="false" ht="15" hidden="false" customHeight="false" outlineLevel="0" collapsed="false">
      <c r="A160" s="8" t="s">
        <v>8427</v>
      </c>
      <c r="B160" s="8" t="s">
        <v>1640</v>
      </c>
      <c r="C160" s="8" t="s">
        <v>8276</v>
      </c>
      <c r="D160" s="8" t="n">
        <f aca="false">COUNTIF(Dishes!$M:$R,B160)</f>
        <v>1</v>
      </c>
      <c r="E160" s="8" t="n">
        <f aca="false">COUNTIF(Drinks!$N:$S,B160)</f>
        <v>0</v>
      </c>
      <c r="F160" s="8" t="n">
        <f aca="false">D160+E160</f>
        <v>1</v>
      </c>
    </row>
    <row r="161" customFormat="false" ht="15" hidden="false" customHeight="false" outlineLevel="0" collapsed="false">
      <c r="A161" s="8" t="s">
        <v>8428</v>
      </c>
      <c r="B161" s="8" t="s">
        <v>5071</v>
      </c>
      <c r="C161" s="8" t="s">
        <v>8276</v>
      </c>
      <c r="D161" s="8" t="n">
        <f aca="false">COUNTIF(Dishes!$M:$R,B161)</f>
        <v>1</v>
      </c>
      <c r="E161" s="8" t="n">
        <f aca="false">COUNTIF(Drinks!$N:$S,B161)</f>
        <v>0</v>
      </c>
      <c r="F161" s="8" t="n">
        <f aca="false">D161+E161</f>
        <v>1</v>
      </c>
    </row>
    <row r="162" customFormat="false" ht="15" hidden="false" customHeight="false" outlineLevel="0" collapsed="false">
      <c r="A162" s="8" t="s">
        <v>8429</v>
      </c>
      <c r="B162" s="8" t="s">
        <v>2794</v>
      </c>
      <c r="C162" s="8" t="s">
        <v>8272</v>
      </c>
      <c r="D162" s="8" t="n">
        <f aca="false">COUNTIF(Dishes!$M:$R,B162)</f>
        <v>1</v>
      </c>
      <c r="E162" s="8" t="n">
        <f aca="false">COUNTIF(Drinks!$N:$S,B162)</f>
        <v>0</v>
      </c>
      <c r="F162" s="8" t="n">
        <f aca="false">D162+E162</f>
        <v>1</v>
      </c>
    </row>
    <row r="163" customFormat="false" ht="15" hidden="false" customHeight="false" outlineLevel="0" collapsed="false">
      <c r="A163" s="8" t="s">
        <v>8430</v>
      </c>
      <c r="B163" s="8" t="s">
        <v>5623</v>
      </c>
      <c r="C163" s="8" t="s">
        <v>8298</v>
      </c>
      <c r="D163" s="8" t="n">
        <f aca="false">COUNTIF(Dishes!$M:$R,B163)</f>
        <v>1</v>
      </c>
      <c r="E163" s="8" t="n">
        <f aca="false">COUNTIF(Drinks!$N:$S,B163)</f>
        <v>0</v>
      </c>
      <c r="F163" s="8" t="n">
        <f aca="false">D163+E163</f>
        <v>1</v>
      </c>
    </row>
    <row r="164" customFormat="false" ht="15" hidden="false" customHeight="false" outlineLevel="0" collapsed="false">
      <c r="A164" s="8" t="s">
        <v>8431</v>
      </c>
      <c r="B164" s="8" t="s">
        <v>3730</v>
      </c>
      <c r="C164" s="8" t="s">
        <v>8298</v>
      </c>
      <c r="D164" s="8" t="n">
        <f aca="false">COUNTIF(Dishes!$M:$R,B164)</f>
        <v>1</v>
      </c>
      <c r="E164" s="8" t="n">
        <f aca="false">COUNTIF(Drinks!$N:$S,B164)</f>
        <v>0</v>
      </c>
      <c r="F164" s="8" t="n">
        <f aca="false">D164+E164</f>
        <v>1</v>
      </c>
    </row>
    <row r="165" customFormat="false" ht="15" hidden="false" customHeight="false" outlineLevel="0" collapsed="false">
      <c r="A165" s="8" t="s">
        <v>8432</v>
      </c>
      <c r="B165" s="8" t="s">
        <v>229</v>
      </c>
      <c r="C165" s="8" t="s">
        <v>8298</v>
      </c>
      <c r="D165" s="8" t="n">
        <f aca="false">COUNTIF(Dishes!$M:$R,B165)</f>
        <v>10</v>
      </c>
      <c r="E165" s="8" t="n">
        <f aca="false">COUNTIF(Drinks!$N:$S,B165)</f>
        <v>0</v>
      </c>
      <c r="F165" s="8" t="n">
        <f aca="false">D165+E165</f>
        <v>10</v>
      </c>
    </row>
    <row r="166" customFormat="false" ht="15" hidden="false" customHeight="false" outlineLevel="0" collapsed="false">
      <c r="A166" s="8" t="s">
        <v>8433</v>
      </c>
      <c r="B166" s="8" t="s">
        <v>7091</v>
      </c>
      <c r="C166" s="8" t="s">
        <v>8344</v>
      </c>
      <c r="D166" s="8" t="n">
        <f aca="false">COUNTIF(Dishes!$M:$R,B166)</f>
        <v>0</v>
      </c>
      <c r="E166" s="8" t="n">
        <f aca="false">COUNTIF(Drinks!$N:$S,B166)</f>
        <v>1</v>
      </c>
      <c r="F166" s="8" t="n">
        <f aca="false">D166+E166</f>
        <v>1</v>
      </c>
    </row>
    <row r="167" customFormat="false" ht="15" hidden="false" customHeight="false" outlineLevel="0" collapsed="false">
      <c r="A167" s="8" t="s">
        <v>8434</v>
      </c>
      <c r="B167" s="8" t="s">
        <v>3614</v>
      </c>
      <c r="C167" s="8" t="s">
        <v>8259</v>
      </c>
      <c r="D167" s="8" t="n">
        <f aca="false">COUNTIF(Dishes!$M:$R,B167)</f>
        <v>2</v>
      </c>
      <c r="E167" s="8" t="n">
        <f aca="false">COUNTIF(Drinks!$N:$S,B167)</f>
        <v>0</v>
      </c>
      <c r="F167" s="8" t="n">
        <f aca="false">D167+E167</f>
        <v>2</v>
      </c>
    </row>
    <row r="168" customFormat="false" ht="15" hidden="false" customHeight="false" outlineLevel="0" collapsed="false">
      <c r="A168" s="8" t="s">
        <v>8435</v>
      </c>
      <c r="B168" s="8" t="s">
        <v>3907</v>
      </c>
      <c r="C168" s="8" t="s">
        <v>8259</v>
      </c>
      <c r="D168" s="8" t="n">
        <f aca="false">COUNTIF(Dishes!$M:$R,B168)</f>
        <v>3</v>
      </c>
      <c r="E168" s="8" t="n">
        <f aca="false">COUNTIF(Drinks!$N:$S,B168)</f>
        <v>0</v>
      </c>
      <c r="F168" s="8" t="n">
        <f aca="false">D168+E168</f>
        <v>3</v>
      </c>
    </row>
    <row r="169" customFormat="false" ht="15" hidden="false" customHeight="false" outlineLevel="0" collapsed="false">
      <c r="A169" s="8" t="s">
        <v>8436</v>
      </c>
      <c r="B169" s="8" t="s">
        <v>2652</v>
      </c>
      <c r="C169" s="8" t="s">
        <v>8257</v>
      </c>
      <c r="D169" s="8" t="n">
        <f aca="false">COUNTIF(Dishes!$M:$R,B169)</f>
        <v>3</v>
      </c>
      <c r="E169" s="8" t="n">
        <f aca="false">COUNTIF(Drinks!$N:$S,B169)</f>
        <v>0</v>
      </c>
      <c r="F169" s="8" t="n">
        <f aca="false">D169+E169</f>
        <v>3</v>
      </c>
    </row>
    <row r="170" customFormat="false" ht="15" hidden="false" customHeight="false" outlineLevel="0" collapsed="false">
      <c r="A170" s="8" t="s">
        <v>8437</v>
      </c>
      <c r="B170" s="8" t="s">
        <v>2790</v>
      </c>
      <c r="C170" s="8" t="s">
        <v>8257</v>
      </c>
      <c r="D170" s="8" t="n">
        <f aca="false">COUNTIF(Dishes!$M:$R,B170)</f>
        <v>2</v>
      </c>
      <c r="E170" s="8" t="n">
        <f aca="false">COUNTIF(Drinks!$N:$S,B170)</f>
        <v>0</v>
      </c>
      <c r="F170" s="8" t="n">
        <f aca="false">D170+E170</f>
        <v>2</v>
      </c>
    </row>
    <row r="171" customFormat="false" ht="15" hidden="false" customHeight="false" outlineLevel="0" collapsed="false">
      <c r="A171" s="8" t="s">
        <v>8438</v>
      </c>
      <c r="B171" s="8" t="s">
        <v>5545</v>
      </c>
      <c r="C171" s="8" t="s">
        <v>8257</v>
      </c>
      <c r="D171" s="8" t="n">
        <f aca="false">COUNTIF(Dishes!$M:$R,B171)</f>
        <v>1</v>
      </c>
      <c r="E171" s="8" t="n">
        <f aca="false">COUNTIF(Drinks!$N:$S,B171)</f>
        <v>0</v>
      </c>
      <c r="F171" s="8" t="n">
        <f aca="false">D171+E171</f>
        <v>1</v>
      </c>
    </row>
    <row r="172" customFormat="false" ht="15" hidden="false" customHeight="false" outlineLevel="0" collapsed="false">
      <c r="A172" s="8" t="s">
        <v>8439</v>
      </c>
      <c r="B172" s="8" t="s">
        <v>3424</v>
      </c>
      <c r="C172" s="8" t="s">
        <v>8287</v>
      </c>
      <c r="D172" s="8" t="n">
        <f aca="false">COUNTIF(Dishes!$M:$R,B172)</f>
        <v>1</v>
      </c>
      <c r="E172" s="8" t="n">
        <f aca="false">COUNTIF(Drinks!$N:$S,B172)</f>
        <v>0</v>
      </c>
      <c r="F172" s="8" t="n">
        <f aca="false">D172+E172</f>
        <v>1</v>
      </c>
    </row>
    <row r="173" customFormat="false" ht="15" hidden="false" customHeight="false" outlineLevel="0" collapsed="false">
      <c r="A173" s="8" t="s">
        <v>8440</v>
      </c>
      <c r="B173" s="8" t="s">
        <v>4455</v>
      </c>
      <c r="C173" s="8" t="s">
        <v>8287</v>
      </c>
      <c r="D173" s="8" t="n">
        <f aca="false">COUNTIF(Dishes!$M:$R,B173)</f>
        <v>1</v>
      </c>
      <c r="E173" s="8" t="n">
        <f aca="false">COUNTIF(Drinks!$N:$S,B173)</f>
        <v>0</v>
      </c>
      <c r="F173" s="8" t="n">
        <f aca="false">D173+E173</f>
        <v>1</v>
      </c>
    </row>
    <row r="174" customFormat="false" ht="15" hidden="false" customHeight="false" outlineLevel="0" collapsed="false">
      <c r="A174" s="8" t="s">
        <v>8441</v>
      </c>
      <c r="B174" s="8" t="s">
        <v>5167</v>
      </c>
      <c r="C174" s="8" t="s">
        <v>8282</v>
      </c>
      <c r="D174" s="8" t="n">
        <f aca="false">COUNTIF(Dishes!$M:$R,B174)</f>
        <v>2</v>
      </c>
      <c r="E174" s="8" t="n">
        <f aca="false">COUNTIF(Drinks!$N:$S,B174)</f>
        <v>1</v>
      </c>
      <c r="F174" s="8" t="n">
        <f aca="false">D174+E174</f>
        <v>3</v>
      </c>
    </row>
    <row r="175" customFormat="false" ht="15" hidden="false" customHeight="false" outlineLevel="0" collapsed="false">
      <c r="A175" s="8" t="s">
        <v>8442</v>
      </c>
      <c r="B175" s="8" t="s">
        <v>3958</v>
      </c>
      <c r="C175" s="8" t="s">
        <v>8282</v>
      </c>
      <c r="D175" s="8" t="n">
        <f aca="false">COUNTIF(Dishes!$M:$R,B175)</f>
        <v>2</v>
      </c>
      <c r="E175" s="8" t="n">
        <f aca="false">COUNTIF(Drinks!$N:$S,B175)</f>
        <v>0</v>
      </c>
      <c r="F175" s="8" t="n">
        <f aca="false">D175+E175</f>
        <v>2</v>
      </c>
    </row>
    <row r="176" customFormat="false" ht="15" hidden="false" customHeight="false" outlineLevel="0" collapsed="false">
      <c r="A176" s="8" t="s">
        <v>8443</v>
      </c>
      <c r="B176" s="8" t="s">
        <v>5935</v>
      </c>
      <c r="C176" s="8" t="s">
        <v>8282</v>
      </c>
      <c r="D176" s="8" t="n">
        <f aca="false">COUNTIF(Dishes!$M:$R,B176)</f>
        <v>1</v>
      </c>
      <c r="E176" s="8" t="n">
        <f aca="false">COUNTIF(Drinks!$N:$S,B176)</f>
        <v>0</v>
      </c>
      <c r="F176" s="8" t="n">
        <f aca="false">D176+E176</f>
        <v>1</v>
      </c>
    </row>
    <row r="177" customFormat="false" ht="15" hidden="false" customHeight="false" outlineLevel="0" collapsed="false">
      <c r="A177" s="8" t="s">
        <v>8444</v>
      </c>
      <c r="B177" s="8" t="s">
        <v>4281</v>
      </c>
      <c r="C177" s="8" t="s">
        <v>8257</v>
      </c>
      <c r="D177" s="8" t="n">
        <f aca="false">COUNTIF(Dishes!$M:$R,B177)</f>
        <v>1</v>
      </c>
      <c r="E177" s="8" t="n">
        <f aca="false">COUNTIF(Drinks!$N:$S,B177)</f>
        <v>0</v>
      </c>
      <c r="F177" s="8" t="n">
        <f aca="false">D177+E177</f>
        <v>1</v>
      </c>
    </row>
    <row r="178" customFormat="false" ht="15" hidden="false" customHeight="false" outlineLevel="0" collapsed="false">
      <c r="A178" s="8" t="s">
        <v>8445</v>
      </c>
      <c r="B178" s="8" t="s">
        <v>4287</v>
      </c>
      <c r="C178" s="8" t="s">
        <v>8257</v>
      </c>
      <c r="D178" s="8" t="n">
        <f aca="false">COUNTIF(Dishes!$M:$R,B178)</f>
        <v>1</v>
      </c>
      <c r="E178" s="8" t="n">
        <f aca="false">COUNTIF(Drinks!$N:$S,B178)</f>
        <v>0</v>
      </c>
      <c r="F178" s="8" t="n">
        <f aca="false">D178+E178</f>
        <v>1</v>
      </c>
    </row>
    <row r="179" customFormat="false" ht="15" hidden="false" customHeight="false" outlineLevel="0" collapsed="false">
      <c r="A179" s="8" t="s">
        <v>8446</v>
      </c>
      <c r="B179" s="8" t="s">
        <v>4676</v>
      </c>
      <c r="C179" s="8" t="s">
        <v>8272</v>
      </c>
      <c r="D179" s="8" t="n">
        <f aca="false">COUNTIF(Dishes!$M:$R,B179)</f>
        <v>1</v>
      </c>
      <c r="E179" s="8" t="n">
        <f aca="false">COUNTIF(Drinks!$N:$S,B179)</f>
        <v>0</v>
      </c>
      <c r="F179" s="8" t="n">
        <f aca="false">D179+E179</f>
        <v>1</v>
      </c>
    </row>
    <row r="180" customFormat="false" ht="15" hidden="false" customHeight="false" outlineLevel="0" collapsed="false">
      <c r="A180" s="8" t="s">
        <v>8447</v>
      </c>
      <c r="B180" s="8" t="s">
        <v>5516</v>
      </c>
      <c r="C180" s="8" t="s">
        <v>8282</v>
      </c>
      <c r="D180" s="8" t="n">
        <f aca="false">COUNTIF(Dishes!$M:$R,B180)</f>
        <v>1</v>
      </c>
      <c r="E180" s="8" t="n">
        <f aca="false">COUNTIF(Drinks!$N:$S,B180)</f>
        <v>0</v>
      </c>
      <c r="F180" s="8" t="n">
        <f aca="false">D180+E180</f>
        <v>1</v>
      </c>
    </row>
    <row r="181" customFormat="false" ht="15" hidden="false" customHeight="false" outlineLevel="0" collapsed="false">
      <c r="A181" s="8" t="s">
        <v>8448</v>
      </c>
      <c r="B181" s="8" t="s">
        <v>5546</v>
      </c>
      <c r="C181" s="8" t="s">
        <v>8276</v>
      </c>
      <c r="D181" s="8" t="n">
        <f aca="false">COUNTIF(Dishes!$M:$R,B181)</f>
        <v>2</v>
      </c>
      <c r="E181" s="8" t="n">
        <f aca="false">COUNTIF(Drinks!$N:$S,B181)</f>
        <v>0</v>
      </c>
      <c r="F181" s="8" t="n">
        <f aca="false">D181+E181</f>
        <v>2</v>
      </c>
    </row>
    <row r="182" customFormat="false" ht="15" hidden="false" customHeight="false" outlineLevel="0" collapsed="false">
      <c r="A182" s="8" t="s">
        <v>8449</v>
      </c>
      <c r="B182" s="8" t="s">
        <v>4433</v>
      </c>
      <c r="C182" s="8" t="s">
        <v>8276</v>
      </c>
      <c r="D182" s="8" t="n">
        <f aca="false">COUNTIF(Dishes!$M:$R,B182)</f>
        <v>1</v>
      </c>
      <c r="E182" s="8" t="n">
        <f aca="false">COUNTIF(Drinks!$N:$S,B182)</f>
        <v>0</v>
      </c>
      <c r="F182" s="8" t="n">
        <f aca="false">D182+E182</f>
        <v>1</v>
      </c>
    </row>
    <row r="183" customFormat="false" ht="15" hidden="false" customHeight="false" outlineLevel="0" collapsed="false">
      <c r="A183" s="8" t="s">
        <v>8450</v>
      </c>
      <c r="B183" s="8" t="s">
        <v>4280</v>
      </c>
      <c r="C183" s="8" t="s">
        <v>8272</v>
      </c>
      <c r="D183" s="8" t="n">
        <f aca="false">COUNTIF(Dishes!$M:$R,B183)</f>
        <v>2</v>
      </c>
      <c r="E183" s="8" t="n">
        <f aca="false">COUNTIF(Drinks!$N:$S,B183)</f>
        <v>0</v>
      </c>
      <c r="F183" s="8" t="n">
        <f aca="false">D183+E183</f>
        <v>2</v>
      </c>
    </row>
    <row r="184" customFormat="false" ht="15" hidden="false" customHeight="false" outlineLevel="0" collapsed="false">
      <c r="A184" s="8" t="s">
        <v>8451</v>
      </c>
      <c r="B184" s="8" t="s">
        <v>7195</v>
      </c>
      <c r="C184" s="8" t="s">
        <v>8265</v>
      </c>
      <c r="D184" s="8" t="n">
        <f aca="false">COUNTIF(Dishes!$M:$R,B184)</f>
        <v>0</v>
      </c>
      <c r="E184" s="8" t="n">
        <f aca="false">COUNTIF(Drinks!$N:$S,B184)</f>
        <v>1</v>
      </c>
      <c r="F184" s="8" t="n">
        <f aca="false">D184+E184</f>
        <v>1</v>
      </c>
    </row>
    <row r="185" customFormat="false" ht="15" hidden="false" customHeight="false" outlineLevel="0" collapsed="false">
      <c r="A185" s="8" t="s">
        <v>8452</v>
      </c>
      <c r="B185" s="8" t="s">
        <v>5507</v>
      </c>
      <c r="C185" s="8" t="s">
        <v>8276</v>
      </c>
      <c r="D185" s="8" t="n">
        <f aca="false">COUNTIF(Dishes!$M:$R,B185)</f>
        <v>1</v>
      </c>
      <c r="E185" s="8" t="n">
        <f aca="false">COUNTIF(Drinks!$N:$S,B185)</f>
        <v>0</v>
      </c>
      <c r="F185" s="8" t="n">
        <f aca="false">D185+E185</f>
        <v>1</v>
      </c>
    </row>
    <row r="186" customFormat="false" ht="15" hidden="false" customHeight="false" outlineLevel="0" collapsed="false">
      <c r="A186" s="8" t="s">
        <v>8453</v>
      </c>
      <c r="B186" s="8" t="s">
        <v>3285</v>
      </c>
      <c r="C186" s="8" t="s">
        <v>8259</v>
      </c>
      <c r="D186" s="8" t="n">
        <f aca="false">COUNTIF(Dishes!$M:$R,B186)</f>
        <v>10</v>
      </c>
      <c r="E186" s="8" t="n">
        <f aca="false">COUNTIF(Drinks!$N:$S,B186)</f>
        <v>3</v>
      </c>
      <c r="F186" s="8" t="n">
        <f aca="false">D186+E186</f>
        <v>13</v>
      </c>
    </row>
    <row r="187" customFormat="false" ht="15" hidden="false" customHeight="false" outlineLevel="0" collapsed="false">
      <c r="A187" s="8" t="s">
        <v>8454</v>
      </c>
      <c r="B187" s="8" t="s">
        <v>6589</v>
      </c>
      <c r="C187" s="8" t="s">
        <v>8261</v>
      </c>
      <c r="D187" s="8" t="n">
        <f aca="false">COUNTIF(Dishes!$M:$R,B187)</f>
        <v>0</v>
      </c>
      <c r="E187" s="8" t="n">
        <f aca="false">COUNTIF(Drinks!$N:$S,B187)</f>
        <v>1</v>
      </c>
      <c r="F187" s="8" t="n">
        <f aca="false">D187+E187</f>
        <v>1</v>
      </c>
    </row>
    <row r="188" customFormat="false" ht="15" hidden="false" customHeight="false" outlineLevel="0" collapsed="false">
      <c r="A188" s="8" t="s">
        <v>8455</v>
      </c>
      <c r="B188" s="8" t="s">
        <v>6026</v>
      </c>
      <c r="C188" s="8" t="s">
        <v>8268</v>
      </c>
      <c r="D188" s="8" t="n">
        <f aca="false">COUNTIF(Dishes!$M:$R,B188)</f>
        <v>0</v>
      </c>
      <c r="E188" s="8" t="n">
        <f aca="false">COUNTIF(Drinks!$N:$S,B188)</f>
        <v>1</v>
      </c>
      <c r="F188" s="8" t="n">
        <f aca="false">D188+E188</f>
        <v>1</v>
      </c>
    </row>
    <row r="189" customFormat="false" ht="15" hidden="false" customHeight="false" outlineLevel="0" collapsed="false">
      <c r="A189" s="8" t="s">
        <v>8456</v>
      </c>
      <c r="B189" s="8" t="s">
        <v>3211</v>
      </c>
      <c r="C189" s="8" t="s">
        <v>8274</v>
      </c>
      <c r="D189" s="8" t="n">
        <f aca="false">COUNTIF(Dishes!$M:$R,B189)</f>
        <v>2</v>
      </c>
      <c r="E189" s="8" t="n">
        <f aca="false">COUNTIF(Drinks!$N:$S,B189)</f>
        <v>0</v>
      </c>
      <c r="F189" s="8" t="n">
        <f aca="false">D189+E189</f>
        <v>2</v>
      </c>
    </row>
    <row r="190" customFormat="false" ht="15" hidden="false" customHeight="false" outlineLevel="0" collapsed="false">
      <c r="A190" s="8" t="s">
        <v>8457</v>
      </c>
      <c r="B190" s="8" t="s">
        <v>2673</v>
      </c>
      <c r="C190" s="8" t="s">
        <v>8257</v>
      </c>
      <c r="D190" s="8" t="n">
        <f aca="false">COUNTIF(Dishes!$M:$R,B190)</f>
        <v>1</v>
      </c>
      <c r="E190" s="8" t="n">
        <f aca="false">COUNTIF(Drinks!$N:$S,B190)</f>
        <v>0</v>
      </c>
      <c r="F190" s="8" t="n">
        <f aca="false">D190+E190</f>
        <v>1</v>
      </c>
    </row>
    <row r="191" customFormat="false" ht="15" hidden="false" customHeight="false" outlineLevel="0" collapsed="false">
      <c r="A191" s="8" t="s">
        <v>8458</v>
      </c>
      <c r="B191" s="8" t="s">
        <v>4537</v>
      </c>
      <c r="C191" s="8" t="s">
        <v>8265</v>
      </c>
      <c r="D191" s="8" t="n">
        <f aca="false">COUNTIF(Dishes!$M:$R,B191)</f>
        <v>1</v>
      </c>
      <c r="E191" s="8" t="n">
        <f aca="false">COUNTIF(Drinks!$N:$S,B191)</f>
        <v>0</v>
      </c>
      <c r="F191" s="8" t="n">
        <f aca="false">D191+E191</f>
        <v>1</v>
      </c>
    </row>
    <row r="192" customFormat="false" ht="15" hidden="false" customHeight="false" outlineLevel="0" collapsed="false">
      <c r="A192" s="8" t="s">
        <v>8459</v>
      </c>
      <c r="B192" s="8" t="s">
        <v>1868</v>
      </c>
      <c r="C192" s="8" t="s">
        <v>8259</v>
      </c>
      <c r="D192" s="8" t="n">
        <f aca="false">COUNTIF(Dishes!$M:$R,B192)</f>
        <v>1</v>
      </c>
      <c r="E192" s="8" t="n">
        <f aca="false">COUNTIF(Drinks!$N:$S,B192)</f>
        <v>2</v>
      </c>
      <c r="F192" s="8" t="n">
        <f aca="false">D192+E192</f>
        <v>3</v>
      </c>
    </row>
    <row r="193" customFormat="false" ht="15" hidden="false" customHeight="false" outlineLevel="0" collapsed="false">
      <c r="A193" s="8" t="s">
        <v>8460</v>
      </c>
      <c r="B193" s="8" t="s">
        <v>6962</v>
      </c>
      <c r="C193" s="8" t="s">
        <v>8344</v>
      </c>
      <c r="D193" s="8" t="n">
        <f aca="false">COUNTIF(Dishes!$M:$R,B193)</f>
        <v>0</v>
      </c>
      <c r="E193" s="8" t="n">
        <f aca="false">COUNTIF(Drinks!$N:$S,B193)</f>
        <v>1</v>
      </c>
      <c r="F193" s="8" t="n">
        <f aca="false">D193+E193</f>
        <v>1</v>
      </c>
    </row>
    <row r="194" customFormat="false" ht="15" hidden="false" customHeight="false" outlineLevel="0" collapsed="false">
      <c r="A194" s="8" t="s">
        <v>8461</v>
      </c>
      <c r="B194" s="8" t="s">
        <v>4655</v>
      </c>
      <c r="C194" s="8" t="s">
        <v>8259</v>
      </c>
      <c r="D194" s="8" t="n">
        <f aca="false">COUNTIF(Dishes!$M:$R,B194)</f>
        <v>1</v>
      </c>
      <c r="E194" s="8" t="n">
        <f aca="false">COUNTIF(Drinks!$N:$S,B194)</f>
        <v>0</v>
      </c>
      <c r="F194" s="8" t="n">
        <f aca="false">D194+E194</f>
        <v>1</v>
      </c>
    </row>
    <row r="195" customFormat="false" ht="15" hidden="false" customHeight="false" outlineLevel="0" collapsed="false">
      <c r="A195" s="8" t="s">
        <v>8462</v>
      </c>
      <c r="B195" s="8" t="s">
        <v>3520</v>
      </c>
      <c r="C195" s="8" t="s">
        <v>8274</v>
      </c>
      <c r="D195" s="8" t="n">
        <f aca="false">COUNTIF(Dishes!$M:$R,B195)</f>
        <v>1</v>
      </c>
      <c r="E195" s="8" t="n">
        <f aca="false">COUNTIF(Drinks!$N:$S,B195)</f>
        <v>0</v>
      </c>
      <c r="F195" s="8" t="n">
        <f aca="false">D195+E195</f>
        <v>1</v>
      </c>
    </row>
    <row r="196" customFormat="false" ht="15" hidden="false" customHeight="false" outlineLevel="0" collapsed="false">
      <c r="A196" s="8" t="s">
        <v>8463</v>
      </c>
      <c r="B196" s="8" t="s">
        <v>3937</v>
      </c>
      <c r="C196" s="8" t="s">
        <v>8282</v>
      </c>
      <c r="D196" s="8" t="n">
        <f aca="false">COUNTIF(Dishes!$M:$R,B196)</f>
        <v>3</v>
      </c>
      <c r="E196" s="8" t="n">
        <f aca="false">COUNTIF(Drinks!$N:$S,B196)</f>
        <v>2</v>
      </c>
      <c r="F196" s="8" t="n">
        <f aca="false">D196+E196</f>
        <v>5</v>
      </c>
    </row>
    <row r="197" customFormat="false" ht="15" hidden="false" customHeight="false" outlineLevel="0" collapsed="false">
      <c r="A197" s="8" t="s">
        <v>8464</v>
      </c>
      <c r="B197" s="8" t="s">
        <v>6680</v>
      </c>
      <c r="C197" s="8" t="s">
        <v>8282</v>
      </c>
      <c r="D197" s="8" t="n">
        <f aca="false">COUNTIF(Dishes!$M:$R,B197)</f>
        <v>0</v>
      </c>
      <c r="E197" s="8" t="n">
        <f aca="false">COUNTIF(Drinks!$N:$S,B197)</f>
        <v>1</v>
      </c>
      <c r="F197" s="8" t="n">
        <f aca="false">D197+E197</f>
        <v>1</v>
      </c>
    </row>
    <row r="198" customFormat="false" ht="15" hidden="false" customHeight="false" outlineLevel="0" collapsed="false">
      <c r="A198" s="8" t="s">
        <v>8465</v>
      </c>
      <c r="B198" s="8" t="s">
        <v>678</v>
      </c>
      <c r="C198" s="8" t="s">
        <v>8261</v>
      </c>
      <c r="D198" s="8" t="n">
        <f aca="false">COUNTIF(Dishes!$M:$R,B198)</f>
        <v>18</v>
      </c>
      <c r="E198" s="8" t="n">
        <f aca="false">COUNTIF(Drinks!$N:$S,B198)</f>
        <v>0</v>
      </c>
      <c r="F198" s="8" t="n">
        <f aca="false">D198+E198</f>
        <v>18</v>
      </c>
    </row>
    <row r="199" customFormat="false" ht="15" hidden="false" customHeight="false" outlineLevel="0" collapsed="false">
      <c r="A199" s="8" t="s">
        <v>8466</v>
      </c>
      <c r="B199" s="8" t="s">
        <v>3403</v>
      </c>
      <c r="C199" s="8" t="s">
        <v>8257</v>
      </c>
      <c r="D199" s="8" t="n">
        <f aca="false">COUNTIF(Dishes!$M:$R,B199)</f>
        <v>1</v>
      </c>
      <c r="E199" s="8" t="n">
        <f aca="false">COUNTIF(Drinks!$N:$S,B199)</f>
        <v>0</v>
      </c>
      <c r="F199" s="8" t="n">
        <f aca="false">D199+E199</f>
        <v>1</v>
      </c>
    </row>
    <row r="200" customFormat="false" ht="15" hidden="false" customHeight="false" outlineLevel="0" collapsed="false">
      <c r="A200" s="8" t="s">
        <v>8467</v>
      </c>
      <c r="B200" s="8" t="s">
        <v>3531</v>
      </c>
      <c r="C200" s="8" t="s">
        <v>8257</v>
      </c>
      <c r="D200" s="8" t="n">
        <f aca="false">COUNTIF(Dishes!$M:$R,B200)</f>
        <v>1</v>
      </c>
      <c r="E200" s="8" t="n">
        <f aca="false">COUNTIF(Drinks!$N:$S,B200)</f>
        <v>0</v>
      </c>
      <c r="F200" s="8" t="n">
        <f aca="false">D200+E200</f>
        <v>1</v>
      </c>
    </row>
    <row r="201" customFormat="false" ht="15" hidden="false" customHeight="false" outlineLevel="0" collapsed="false">
      <c r="A201" s="8" t="s">
        <v>8468</v>
      </c>
      <c r="B201" s="8" t="s">
        <v>3721</v>
      </c>
      <c r="C201" s="8" t="s">
        <v>8261</v>
      </c>
      <c r="D201" s="8" t="n">
        <f aca="false">COUNTIF(Dishes!$M:$R,B201)</f>
        <v>1</v>
      </c>
      <c r="E201" s="8" t="n">
        <f aca="false">COUNTIF(Drinks!$N:$S,B201)</f>
        <v>0</v>
      </c>
      <c r="F201" s="8" t="n">
        <f aca="false">D201+E201</f>
        <v>1</v>
      </c>
    </row>
    <row r="202" customFormat="false" ht="15" hidden="false" customHeight="false" outlineLevel="0" collapsed="false">
      <c r="A202" s="8" t="s">
        <v>8469</v>
      </c>
      <c r="B202" s="8" t="s">
        <v>3624</v>
      </c>
      <c r="C202" s="8" t="s">
        <v>8282</v>
      </c>
      <c r="D202" s="8" t="n">
        <f aca="false">COUNTIF(Dishes!$M:$R,B202)</f>
        <v>1</v>
      </c>
      <c r="E202" s="8" t="n">
        <f aca="false">COUNTIF(Drinks!$N:$S,B202)</f>
        <v>0</v>
      </c>
      <c r="F202" s="8" t="n">
        <f aca="false">D202+E202</f>
        <v>1</v>
      </c>
    </row>
    <row r="203" customFormat="false" ht="15" hidden="false" customHeight="false" outlineLevel="0" collapsed="false">
      <c r="A203" s="8" t="s">
        <v>8470</v>
      </c>
      <c r="B203" s="8" t="s">
        <v>995</v>
      </c>
      <c r="C203" s="8" t="s">
        <v>8261</v>
      </c>
      <c r="D203" s="8" t="n">
        <f aca="false">COUNTIF(Dishes!$M:$R,B203)</f>
        <v>14</v>
      </c>
      <c r="E203" s="8" t="n">
        <f aca="false">COUNTIF(Drinks!$N:$S,B203)</f>
        <v>2</v>
      </c>
      <c r="F203" s="8" t="n">
        <f aca="false">D203+E203</f>
        <v>16</v>
      </c>
    </row>
    <row r="204" customFormat="false" ht="15" hidden="false" customHeight="false" outlineLevel="0" collapsed="false">
      <c r="A204" s="8" t="s">
        <v>8471</v>
      </c>
      <c r="B204" s="8" t="s">
        <v>1237</v>
      </c>
      <c r="C204" s="8" t="s">
        <v>8257</v>
      </c>
      <c r="D204" s="8" t="n">
        <f aca="false">COUNTIF(Dishes!$M:$R,B204)</f>
        <v>4</v>
      </c>
      <c r="E204" s="8" t="n">
        <f aca="false">COUNTIF(Drinks!$N:$S,B204)</f>
        <v>0</v>
      </c>
      <c r="F204" s="8" t="n">
        <f aca="false">D204+E204</f>
        <v>4</v>
      </c>
    </row>
    <row r="205" customFormat="false" ht="15" hidden="false" customHeight="false" outlineLevel="0" collapsed="false">
      <c r="A205" s="8" t="s">
        <v>8472</v>
      </c>
      <c r="B205" s="8" t="s">
        <v>3511</v>
      </c>
      <c r="C205" s="8" t="s">
        <v>8272</v>
      </c>
      <c r="D205" s="8" t="n">
        <f aca="false">COUNTIF(Dishes!$M:$R,B205)</f>
        <v>1</v>
      </c>
      <c r="E205" s="8" t="n">
        <f aca="false">COUNTIF(Drinks!$N:$S,B205)</f>
        <v>0</v>
      </c>
      <c r="F205" s="8" t="n">
        <f aca="false">D205+E205</f>
        <v>1</v>
      </c>
    </row>
    <row r="206" customFormat="false" ht="15" hidden="false" customHeight="false" outlineLevel="0" collapsed="false">
      <c r="A206" s="8" t="s">
        <v>8473</v>
      </c>
      <c r="B206" s="8" t="s">
        <v>1306</v>
      </c>
      <c r="C206" s="8" t="s">
        <v>8261</v>
      </c>
      <c r="D206" s="8" t="n">
        <f aca="false">COUNTIF(Dishes!$M:$R,B206)</f>
        <v>1</v>
      </c>
      <c r="E206" s="8" t="n">
        <f aca="false">COUNTIF(Drinks!$N:$S,B206)</f>
        <v>0</v>
      </c>
      <c r="F206" s="8" t="n">
        <f aca="false">D206+E206</f>
        <v>1</v>
      </c>
    </row>
    <row r="207" customFormat="false" ht="15" hidden="false" customHeight="false" outlineLevel="0" collapsed="false">
      <c r="A207" s="8" t="s">
        <v>8474</v>
      </c>
      <c r="B207" s="8" t="s">
        <v>4452</v>
      </c>
      <c r="C207" s="8" t="s">
        <v>8274</v>
      </c>
      <c r="D207" s="8" t="n">
        <f aca="false">COUNTIF(Dishes!$M:$R,B207)</f>
        <v>1</v>
      </c>
      <c r="E207" s="8" t="n">
        <f aca="false">COUNTIF(Drinks!$N:$S,B207)</f>
        <v>0</v>
      </c>
      <c r="F207" s="8" t="n">
        <f aca="false">D207+E207</f>
        <v>1</v>
      </c>
    </row>
    <row r="208" customFormat="false" ht="15" hidden="false" customHeight="false" outlineLevel="0" collapsed="false">
      <c r="A208" s="8" t="s">
        <v>8475</v>
      </c>
      <c r="B208" s="8" t="s">
        <v>6670</v>
      </c>
      <c r="C208" s="8" t="s">
        <v>8344</v>
      </c>
      <c r="D208" s="8" t="n">
        <f aca="false">COUNTIF(Dishes!$M:$R,B208)</f>
        <v>0</v>
      </c>
      <c r="E208" s="8" t="n">
        <f aca="false">COUNTIF(Drinks!$N:$S,B208)</f>
        <v>2</v>
      </c>
      <c r="F208" s="8" t="n">
        <f aca="false">D208+E208</f>
        <v>2</v>
      </c>
    </row>
    <row r="209" customFormat="false" ht="15" hidden="false" customHeight="false" outlineLevel="0" collapsed="false">
      <c r="A209" s="8" t="s">
        <v>8476</v>
      </c>
      <c r="B209" s="8" t="s">
        <v>6144</v>
      </c>
      <c r="C209" s="8" t="s">
        <v>8268</v>
      </c>
      <c r="D209" s="8" t="n">
        <f aca="false">COUNTIF(Dishes!$M:$R,B209)</f>
        <v>0</v>
      </c>
      <c r="E209" s="8" t="n">
        <f aca="false">COUNTIF(Drinks!$N:$S,B209)</f>
        <v>3</v>
      </c>
      <c r="F209" s="8" t="n">
        <f aca="false">D209+E209</f>
        <v>3</v>
      </c>
    </row>
    <row r="210" customFormat="false" ht="15" hidden="false" customHeight="false" outlineLevel="0" collapsed="false">
      <c r="A210" s="8" t="s">
        <v>8477</v>
      </c>
      <c r="B210" s="8" t="s">
        <v>6218</v>
      </c>
      <c r="C210" s="8" t="s">
        <v>8268</v>
      </c>
      <c r="D210" s="8" t="n">
        <f aca="false">COUNTIF(Dishes!$M:$R,B210)</f>
        <v>0</v>
      </c>
      <c r="E210" s="8" t="n">
        <f aca="false">COUNTIF(Drinks!$N:$S,B210)</f>
        <v>1</v>
      </c>
      <c r="F210" s="8" t="n">
        <f aca="false">D210+E210</f>
        <v>1</v>
      </c>
    </row>
    <row r="211" customFormat="false" ht="15" hidden="false" customHeight="false" outlineLevel="0" collapsed="false">
      <c r="A211" s="8" t="s">
        <v>8478</v>
      </c>
      <c r="B211" s="8" t="s">
        <v>6103</v>
      </c>
      <c r="C211" s="8" t="s">
        <v>8344</v>
      </c>
      <c r="D211" s="8" t="n">
        <f aca="false">COUNTIF(Dishes!$M:$R,B211)</f>
        <v>0</v>
      </c>
      <c r="E211" s="8" t="n">
        <f aca="false">COUNTIF(Drinks!$N:$S,B211)</f>
        <v>1</v>
      </c>
      <c r="F211" s="8" t="n">
        <f aca="false">D211+E211</f>
        <v>1</v>
      </c>
    </row>
    <row r="212" customFormat="false" ht="15" hidden="false" customHeight="false" outlineLevel="0" collapsed="false">
      <c r="A212" s="8" t="s">
        <v>8479</v>
      </c>
      <c r="B212" s="8" t="s">
        <v>6753</v>
      </c>
      <c r="C212" s="8" t="s">
        <v>8265</v>
      </c>
      <c r="D212" s="8" t="n">
        <f aca="false">COUNTIF(Dishes!$M:$R,B212)</f>
        <v>0</v>
      </c>
      <c r="E212" s="8" t="n">
        <f aca="false">COUNTIF(Drinks!$N:$S,B212)</f>
        <v>1</v>
      </c>
      <c r="F212" s="8" t="n">
        <f aca="false">D212+E212</f>
        <v>1</v>
      </c>
    </row>
    <row r="213" customFormat="false" ht="15" hidden="false" customHeight="false" outlineLevel="0" collapsed="false">
      <c r="A213" s="8" t="s">
        <v>8480</v>
      </c>
      <c r="B213" s="8" t="s">
        <v>5096</v>
      </c>
      <c r="C213" s="8" t="s">
        <v>8287</v>
      </c>
      <c r="D213" s="8" t="n">
        <f aca="false">COUNTIF(Dishes!$M:$R,B213)</f>
        <v>1</v>
      </c>
      <c r="E213" s="8" t="n">
        <f aca="false">COUNTIF(Drinks!$N:$S,B213)</f>
        <v>0</v>
      </c>
      <c r="F213" s="8" t="n">
        <f aca="false">D213+E213</f>
        <v>1</v>
      </c>
    </row>
    <row r="214" customFormat="false" ht="15" hidden="false" customHeight="false" outlineLevel="0" collapsed="false">
      <c r="A214" s="8" t="s">
        <v>8481</v>
      </c>
      <c r="B214" s="8" t="s">
        <v>781</v>
      </c>
      <c r="C214" s="8" t="s">
        <v>8287</v>
      </c>
      <c r="D214" s="8" t="n">
        <f aca="false">COUNTIF(Dishes!$M:$R,B214)</f>
        <v>1</v>
      </c>
      <c r="E214" s="8" t="n">
        <f aca="false">COUNTIF(Drinks!$N:$S,B214)</f>
        <v>0</v>
      </c>
      <c r="F214" s="8" t="n">
        <f aca="false">D214+E214</f>
        <v>1</v>
      </c>
    </row>
    <row r="215" customFormat="false" ht="15" hidden="false" customHeight="false" outlineLevel="0" collapsed="false">
      <c r="A215" s="8" t="s">
        <v>8482</v>
      </c>
      <c r="B215" s="8" t="s">
        <v>2494</v>
      </c>
      <c r="C215" s="8" t="s">
        <v>8265</v>
      </c>
      <c r="D215" s="8" t="n">
        <f aca="false">COUNTIF(Dishes!$M:$R,B215)</f>
        <v>4</v>
      </c>
      <c r="E215" s="8" t="n">
        <f aca="false">COUNTIF(Drinks!$N:$S,B215)</f>
        <v>4</v>
      </c>
      <c r="F215" s="8" t="n">
        <f aca="false">D215+E215</f>
        <v>8</v>
      </c>
    </row>
    <row r="216" customFormat="false" ht="15" hidden="false" customHeight="false" outlineLevel="0" collapsed="false">
      <c r="A216" s="8" t="s">
        <v>8483</v>
      </c>
      <c r="B216" s="8" t="s">
        <v>5364</v>
      </c>
      <c r="C216" s="8" t="s">
        <v>8257</v>
      </c>
      <c r="D216" s="8" t="n">
        <f aca="false">COUNTIF(Dishes!$M:$R,B216)</f>
        <v>1</v>
      </c>
      <c r="E216" s="8" t="n">
        <f aca="false">COUNTIF(Drinks!$N:$S,B216)</f>
        <v>0</v>
      </c>
      <c r="F216" s="8" t="n">
        <f aca="false">D216+E216</f>
        <v>1</v>
      </c>
    </row>
    <row r="217" customFormat="false" ht="15" hidden="false" customHeight="false" outlineLevel="0" collapsed="false">
      <c r="A217" s="8" t="s">
        <v>8484</v>
      </c>
      <c r="B217" s="8" t="s">
        <v>1750</v>
      </c>
      <c r="C217" s="8" t="s">
        <v>8272</v>
      </c>
      <c r="D217" s="8" t="n">
        <f aca="false">COUNTIF(Dishes!$M:$R,B217)</f>
        <v>1</v>
      </c>
      <c r="E217" s="8" t="n">
        <f aca="false">COUNTIF(Drinks!$N:$S,B217)</f>
        <v>0</v>
      </c>
      <c r="F217" s="8" t="n">
        <f aca="false">D217+E217</f>
        <v>1</v>
      </c>
    </row>
    <row r="218" customFormat="false" ht="15" hidden="false" customHeight="false" outlineLevel="0" collapsed="false">
      <c r="A218" s="8" t="s">
        <v>8485</v>
      </c>
      <c r="B218" s="8" t="s">
        <v>1474</v>
      </c>
      <c r="C218" s="8" t="s">
        <v>8257</v>
      </c>
      <c r="D218" s="8" t="n">
        <f aca="false">COUNTIF(Dishes!$M:$R,B218)</f>
        <v>1</v>
      </c>
      <c r="E218" s="8" t="n">
        <f aca="false">COUNTIF(Drinks!$N:$S,B218)</f>
        <v>0</v>
      </c>
      <c r="F218" s="8" t="n">
        <f aca="false">D218+E218</f>
        <v>1</v>
      </c>
    </row>
    <row r="219" customFormat="false" ht="15" hidden="false" customHeight="false" outlineLevel="0" collapsed="false">
      <c r="A219" s="8" t="s">
        <v>8486</v>
      </c>
      <c r="B219" s="8" t="s">
        <v>355</v>
      </c>
      <c r="C219" s="8" t="s">
        <v>8259</v>
      </c>
      <c r="D219" s="8" t="n">
        <f aca="false">COUNTIF(Dishes!$M:$R,B219)</f>
        <v>4</v>
      </c>
      <c r="E219" s="8" t="n">
        <f aca="false">COUNTIF(Drinks!$N:$S,B219)</f>
        <v>0</v>
      </c>
      <c r="F219" s="8" t="n">
        <f aca="false">D219+E219</f>
        <v>4</v>
      </c>
    </row>
    <row r="220" customFormat="false" ht="15" hidden="false" customHeight="false" outlineLevel="0" collapsed="false">
      <c r="A220" s="8" t="s">
        <v>8487</v>
      </c>
      <c r="B220" s="8" t="s">
        <v>6554</v>
      </c>
      <c r="C220" s="8" t="s">
        <v>8287</v>
      </c>
      <c r="D220" s="8" t="n">
        <f aca="false">COUNTIF(Dishes!$M:$R,B220)</f>
        <v>0</v>
      </c>
      <c r="E220" s="8" t="n">
        <f aca="false">COUNTIF(Drinks!$N:$S,B220)</f>
        <v>1</v>
      </c>
      <c r="F220" s="8" t="n">
        <f aca="false">D220+E220</f>
        <v>1</v>
      </c>
    </row>
    <row r="221" customFormat="false" ht="15" hidden="false" customHeight="false" outlineLevel="0" collapsed="false">
      <c r="A221" s="8" t="s">
        <v>8488</v>
      </c>
      <c r="B221" s="8" t="s">
        <v>5589</v>
      </c>
      <c r="C221" s="8" t="s">
        <v>8272</v>
      </c>
      <c r="D221" s="8" t="n">
        <f aca="false">COUNTIF(Dishes!$M:$R,B221)</f>
        <v>1</v>
      </c>
      <c r="E221" s="8" t="n">
        <f aca="false">COUNTIF(Drinks!$N:$S,B221)</f>
        <v>0</v>
      </c>
      <c r="F221" s="8" t="n">
        <f aca="false">D221+E221</f>
        <v>1</v>
      </c>
    </row>
    <row r="222" customFormat="false" ht="15" hidden="false" customHeight="false" outlineLevel="0" collapsed="false">
      <c r="A222" s="8" t="s">
        <v>8489</v>
      </c>
      <c r="B222" s="8" t="s">
        <v>5266</v>
      </c>
      <c r="C222" s="8" t="s">
        <v>8272</v>
      </c>
      <c r="D222" s="8" t="n">
        <f aca="false">COUNTIF(Dishes!$M:$R,B222)</f>
        <v>2</v>
      </c>
      <c r="E222" s="8" t="n">
        <f aca="false">COUNTIF(Drinks!$N:$S,B222)</f>
        <v>0</v>
      </c>
      <c r="F222" s="8" t="n">
        <f aca="false">D222+E222</f>
        <v>2</v>
      </c>
    </row>
    <row r="223" customFormat="false" ht="15" hidden="false" customHeight="false" outlineLevel="0" collapsed="false">
      <c r="A223" s="8" t="s">
        <v>8490</v>
      </c>
      <c r="B223" s="8" t="s">
        <v>1197</v>
      </c>
      <c r="C223" s="8" t="s">
        <v>8272</v>
      </c>
      <c r="D223" s="8" t="n">
        <f aca="false">COUNTIF(Dishes!$M:$R,B223)</f>
        <v>4</v>
      </c>
      <c r="E223" s="8" t="n">
        <f aca="false">COUNTIF(Drinks!$N:$S,B223)</f>
        <v>0</v>
      </c>
      <c r="F223" s="8" t="n">
        <f aca="false">D223+E223</f>
        <v>4</v>
      </c>
    </row>
    <row r="224" customFormat="false" ht="15" hidden="false" customHeight="false" outlineLevel="0" collapsed="false">
      <c r="A224" s="8" t="s">
        <v>8491</v>
      </c>
      <c r="B224" s="8" t="s">
        <v>4029</v>
      </c>
      <c r="C224" s="8" t="s">
        <v>8272</v>
      </c>
      <c r="D224" s="8" t="n">
        <f aca="false">COUNTIF(Dishes!$M:$R,B224)</f>
        <v>1</v>
      </c>
      <c r="E224" s="8" t="n">
        <f aca="false">COUNTIF(Drinks!$N:$S,B224)</f>
        <v>0</v>
      </c>
      <c r="F224" s="8" t="n">
        <f aca="false">D224+E224</f>
        <v>1</v>
      </c>
    </row>
    <row r="225" customFormat="false" ht="15" hidden="false" customHeight="false" outlineLevel="0" collapsed="false">
      <c r="A225" s="8" t="s">
        <v>8492</v>
      </c>
      <c r="B225" s="8" t="s">
        <v>5037</v>
      </c>
      <c r="C225" s="8" t="s">
        <v>8272</v>
      </c>
      <c r="D225" s="8" t="n">
        <f aca="false">COUNTIF(Dishes!$M:$R,B225)</f>
        <v>2</v>
      </c>
      <c r="E225" s="8" t="n">
        <f aca="false">COUNTIF(Drinks!$N:$S,B225)</f>
        <v>0</v>
      </c>
      <c r="F225" s="8" t="n">
        <f aca="false">D225+E225</f>
        <v>2</v>
      </c>
    </row>
    <row r="226" customFormat="false" ht="15" hidden="false" customHeight="false" outlineLevel="0" collapsed="false">
      <c r="A226" s="8" t="s">
        <v>8493</v>
      </c>
      <c r="B226" s="8" t="s">
        <v>5354</v>
      </c>
      <c r="C226" s="8" t="s">
        <v>8265</v>
      </c>
      <c r="D226" s="8" t="n">
        <f aca="false">COUNTIF(Dishes!$M:$R,B226)</f>
        <v>1</v>
      </c>
      <c r="E226" s="8" t="n">
        <f aca="false">COUNTIF(Drinks!$N:$S,B226)</f>
        <v>0</v>
      </c>
      <c r="F226" s="8" t="n">
        <f aca="false">D226+E226</f>
        <v>1</v>
      </c>
    </row>
    <row r="227" customFormat="false" ht="15" hidden="false" customHeight="false" outlineLevel="0" collapsed="false">
      <c r="A227" s="8" t="s">
        <v>8494</v>
      </c>
      <c r="B227" s="8" t="s">
        <v>4646</v>
      </c>
      <c r="C227" s="8" t="s">
        <v>8276</v>
      </c>
      <c r="D227" s="8" t="n">
        <f aca="false">COUNTIF(Dishes!$M:$R,B227)</f>
        <v>1</v>
      </c>
      <c r="E227" s="8" t="n">
        <f aca="false">COUNTIF(Drinks!$N:$S,B227)</f>
        <v>0</v>
      </c>
      <c r="F227" s="8" t="n">
        <f aca="false">D227+E227</f>
        <v>1</v>
      </c>
    </row>
    <row r="228" customFormat="false" ht="15" hidden="false" customHeight="false" outlineLevel="0" collapsed="false">
      <c r="A228" s="8" t="s">
        <v>8495</v>
      </c>
      <c r="B228" s="8" t="s">
        <v>6027</v>
      </c>
      <c r="C228" s="8" t="s">
        <v>8344</v>
      </c>
      <c r="D228" s="8" t="n">
        <f aca="false">COUNTIF(Dishes!$M:$R,B228)</f>
        <v>0</v>
      </c>
      <c r="E228" s="8" t="n">
        <f aca="false">COUNTIF(Drinks!$N:$S,B228)</f>
        <v>2</v>
      </c>
      <c r="F228" s="8" t="n">
        <f aca="false">D228+E228</f>
        <v>2</v>
      </c>
    </row>
    <row r="229" customFormat="false" ht="15" hidden="false" customHeight="false" outlineLevel="0" collapsed="false">
      <c r="A229" s="8" t="s">
        <v>8496</v>
      </c>
      <c r="B229" s="8" t="s">
        <v>345</v>
      </c>
      <c r="C229" s="8" t="s">
        <v>8265</v>
      </c>
      <c r="D229" s="8" t="n">
        <f aca="false">COUNTIF(Dishes!$M:$R,B229)</f>
        <v>18</v>
      </c>
      <c r="E229" s="8" t="n">
        <f aca="false">COUNTIF(Drinks!$N:$S,B229)</f>
        <v>2</v>
      </c>
      <c r="F229" s="8" t="n">
        <f aca="false">D229+E229</f>
        <v>20</v>
      </c>
    </row>
    <row r="230" customFormat="false" ht="15" hidden="false" customHeight="false" outlineLevel="0" collapsed="false">
      <c r="A230" s="8" t="s">
        <v>8497</v>
      </c>
      <c r="B230" s="8" t="s">
        <v>3118</v>
      </c>
      <c r="C230" s="8" t="s">
        <v>8265</v>
      </c>
      <c r="D230" s="8" t="n">
        <f aca="false">COUNTIF(Dishes!$M:$R,B230)</f>
        <v>2</v>
      </c>
      <c r="E230" s="8" t="n">
        <f aca="false">COUNTIF(Drinks!$N:$S,B230)</f>
        <v>0</v>
      </c>
      <c r="F230" s="8" t="n">
        <f aca="false">D230+E230</f>
        <v>2</v>
      </c>
    </row>
    <row r="231" customFormat="false" ht="15" hidden="false" customHeight="false" outlineLevel="0" collapsed="false">
      <c r="A231" s="8" t="s">
        <v>8498</v>
      </c>
      <c r="B231" s="8" t="s">
        <v>6255</v>
      </c>
      <c r="C231" s="8" t="s">
        <v>8265</v>
      </c>
      <c r="D231" s="8" t="n">
        <f aca="false">COUNTIF(Dishes!$M:$R,B231)</f>
        <v>0</v>
      </c>
      <c r="E231" s="8" t="n">
        <f aca="false">COUNTIF(Drinks!$N:$S,B231)</f>
        <v>1</v>
      </c>
      <c r="F231" s="8" t="n">
        <f aca="false">D231+E231</f>
        <v>1</v>
      </c>
    </row>
    <row r="232" customFormat="false" ht="15" hidden="false" customHeight="false" outlineLevel="0" collapsed="false">
      <c r="A232" s="8" t="s">
        <v>8499</v>
      </c>
      <c r="B232" s="8" t="s">
        <v>5987</v>
      </c>
      <c r="C232" s="8" t="s">
        <v>8261</v>
      </c>
      <c r="D232" s="8" t="n">
        <f aca="false">COUNTIF(Dishes!$M:$R,B232)</f>
        <v>0</v>
      </c>
      <c r="E232" s="8" t="n">
        <f aca="false">COUNTIF(Drinks!$N:$S,B232)</f>
        <v>1</v>
      </c>
      <c r="F232" s="8" t="n">
        <f aca="false">D232+E232</f>
        <v>1</v>
      </c>
    </row>
    <row r="233" customFormat="false" ht="15" hidden="false" customHeight="false" outlineLevel="0" collapsed="false">
      <c r="A233" s="8" t="s">
        <v>8500</v>
      </c>
      <c r="B233" s="8" t="s">
        <v>4715</v>
      </c>
      <c r="C233" s="8" t="s">
        <v>8265</v>
      </c>
      <c r="D233" s="8" t="n">
        <f aca="false">COUNTIF(Dishes!$M:$R,B233)</f>
        <v>1</v>
      </c>
      <c r="E233" s="8" t="n">
        <f aca="false">COUNTIF(Drinks!$N:$S,B233)</f>
        <v>0</v>
      </c>
      <c r="F233" s="8" t="n">
        <f aca="false">D233+E233</f>
        <v>1</v>
      </c>
    </row>
    <row r="234" customFormat="false" ht="15" hidden="false" customHeight="false" outlineLevel="0" collapsed="false">
      <c r="A234" s="8" t="s">
        <v>8501</v>
      </c>
      <c r="B234" s="8" t="s">
        <v>5284</v>
      </c>
      <c r="C234" s="8" t="s">
        <v>8265</v>
      </c>
      <c r="D234" s="8" t="n">
        <f aca="false">COUNTIF(Dishes!$M:$R,B234)</f>
        <v>2</v>
      </c>
      <c r="E234" s="8" t="n">
        <f aca="false">COUNTIF(Drinks!$N:$S,B234)</f>
        <v>1</v>
      </c>
      <c r="F234" s="8" t="n">
        <f aca="false">D234+E234</f>
        <v>3</v>
      </c>
    </row>
    <row r="235" customFormat="false" ht="15" hidden="false" customHeight="false" outlineLevel="0" collapsed="false">
      <c r="A235" s="8" t="s">
        <v>8502</v>
      </c>
      <c r="B235" s="8" t="s">
        <v>2811</v>
      </c>
      <c r="C235" s="8" t="s">
        <v>8272</v>
      </c>
      <c r="D235" s="8" t="n">
        <f aca="false">COUNTIF(Dishes!$M:$R,B235)</f>
        <v>1</v>
      </c>
      <c r="E235" s="8" t="n">
        <f aca="false">COUNTIF(Drinks!$N:$S,B235)</f>
        <v>0</v>
      </c>
      <c r="F235" s="8" t="n">
        <f aca="false">D235+E235</f>
        <v>1</v>
      </c>
    </row>
    <row r="236" customFormat="false" ht="15" hidden="false" customHeight="false" outlineLevel="0" collapsed="false">
      <c r="A236" s="8" t="s">
        <v>8503</v>
      </c>
      <c r="B236" s="8" t="s">
        <v>2434</v>
      </c>
      <c r="C236" s="8" t="s">
        <v>8272</v>
      </c>
      <c r="D236" s="8" t="n">
        <f aca="false">COUNTIF(Dishes!$M:$R,B236)</f>
        <v>1</v>
      </c>
      <c r="E236" s="8" t="n">
        <f aca="false">COUNTIF(Drinks!$N:$S,B236)</f>
        <v>0</v>
      </c>
      <c r="F236" s="8" t="n">
        <f aca="false">D236+E236</f>
        <v>1</v>
      </c>
    </row>
    <row r="237" customFormat="false" ht="15" hidden="false" customHeight="false" outlineLevel="0" collapsed="false">
      <c r="A237" s="8" t="s">
        <v>8504</v>
      </c>
      <c r="B237" s="8" t="s">
        <v>3404</v>
      </c>
      <c r="C237" s="8" t="s">
        <v>8272</v>
      </c>
      <c r="D237" s="8" t="n">
        <f aca="false">COUNTIF(Dishes!$M:$R,B237)</f>
        <v>1</v>
      </c>
      <c r="E237" s="8" t="n">
        <f aca="false">COUNTIF(Drinks!$N:$S,B237)</f>
        <v>0</v>
      </c>
      <c r="F237" s="8" t="n">
        <f aca="false">D237+E237</f>
        <v>1</v>
      </c>
    </row>
    <row r="238" customFormat="false" ht="15" hidden="false" customHeight="false" outlineLevel="0" collapsed="false">
      <c r="A238" s="8" t="s">
        <v>8505</v>
      </c>
      <c r="B238" s="8" t="s">
        <v>2810</v>
      </c>
      <c r="C238" s="8" t="s">
        <v>8272</v>
      </c>
      <c r="D238" s="8" t="n">
        <f aca="false">COUNTIF(Dishes!$M:$R,B238)</f>
        <v>1</v>
      </c>
      <c r="E238" s="8" t="n">
        <f aca="false">COUNTIF(Drinks!$N:$S,B238)</f>
        <v>0</v>
      </c>
      <c r="F238" s="8" t="n">
        <f aca="false">D238+E238</f>
        <v>1</v>
      </c>
    </row>
    <row r="239" customFormat="false" ht="15" hidden="false" customHeight="false" outlineLevel="0" collapsed="false">
      <c r="A239" s="8" t="s">
        <v>8506</v>
      </c>
      <c r="B239" s="8" t="s">
        <v>4122</v>
      </c>
      <c r="C239" s="8" t="s">
        <v>8272</v>
      </c>
      <c r="D239" s="8" t="n">
        <f aca="false">COUNTIF(Dishes!$M:$R,B239)</f>
        <v>2</v>
      </c>
      <c r="E239" s="8" t="n">
        <f aca="false">COUNTIF(Drinks!$N:$S,B239)</f>
        <v>0</v>
      </c>
      <c r="F239" s="8" t="n">
        <f aca="false">D239+E239</f>
        <v>2</v>
      </c>
    </row>
    <row r="240" customFormat="false" ht="15" hidden="false" customHeight="false" outlineLevel="0" collapsed="false">
      <c r="A240" s="8" t="s">
        <v>8507</v>
      </c>
      <c r="B240" s="8" t="s">
        <v>2378</v>
      </c>
      <c r="C240" s="8" t="s">
        <v>8265</v>
      </c>
      <c r="D240" s="8" t="n">
        <f aca="false">COUNTIF(Dishes!$M:$R,B240)</f>
        <v>1</v>
      </c>
      <c r="E240" s="8" t="n">
        <f aca="false">COUNTIF(Drinks!$N:$S,B240)</f>
        <v>0</v>
      </c>
      <c r="F240" s="8" t="n">
        <f aca="false">D240+E240</f>
        <v>1</v>
      </c>
    </row>
    <row r="241" customFormat="false" ht="15" hidden="false" customHeight="false" outlineLevel="0" collapsed="false">
      <c r="A241" s="8" t="s">
        <v>8508</v>
      </c>
      <c r="B241" s="8" t="s">
        <v>6127</v>
      </c>
      <c r="C241" s="8" t="s">
        <v>8344</v>
      </c>
      <c r="D241" s="8" t="n">
        <f aca="false">COUNTIF(Dishes!$M:$R,B241)</f>
        <v>0</v>
      </c>
      <c r="E241" s="8" t="n">
        <f aca="false">COUNTIF(Drinks!$N:$S,B241)</f>
        <v>2</v>
      </c>
      <c r="F241" s="8" t="n">
        <f aca="false">D241+E241</f>
        <v>2</v>
      </c>
    </row>
    <row r="242" customFormat="false" ht="15" hidden="false" customHeight="false" outlineLevel="0" collapsed="false">
      <c r="A242" s="8" t="s">
        <v>8509</v>
      </c>
      <c r="B242" s="8" t="s">
        <v>7187</v>
      </c>
      <c r="C242" s="8" t="s">
        <v>8263</v>
      </c>
      <c r="D242" s="8" t="n">
        <f aca="false">COUNTIF(Dishes!$M:$R,B242)</f>
        <v>0</v>
      </c>
      <c r="E242" s="8" t="n">
        <f aca="false">COUNTIF(Drinks!$N:$S,B242)</f>
        <v>1</v>
      </c>
      <c r="F242" s="8" t="n">
        <f aca="false">D242+E242</f>
        <v>1</v>
      </c>
    </row>
    <row r="243" customFormat="false" ht="15" hidden="false" customHeight="false" outlineLevel="0" collapsed="false">
      <c r="A243" s="8" t="s">
        <v>8510</v>
      </c>
      <c r="B243" s="8" t="s">
        <v>2047</v>
      </c>
      <c r="C243" s="8" t="s">
        <v>8287</v>
      </c>
      <c r="D243" s="8" t="n">
        <f aca="false">COUNTIF(Dishes!$M:$R,B243)</f>
        <v>5</v>
      </c>
      <c r="E243" s="8" t="n">
        <f aca="false">COUNTIF(Drinks!$N:$S,B243)</f>
        <v>0</v>
      </c>
      <c r="F243" s="8" t="n">
        <f aca="false">D243+E243</f>
        <v>5</v>
      </c>
    </row>
    <row r="244" customFormat="false" ht="15" hidden="false" customHeight="false" outlineLevel="0" collapsed="false">
      <c r="A244" s="8" t="s">
        <v>8511</v>
      </c>
      <c r="B244" s="8" t="s">
        <v>5776</v>
      </c>
      <c r="C244" s="8" t="s">
        <v>8259</v>
      </c>
      <c r="D244" s="8" t="n">
        <f aca="false">COUNTIF(Dishes!$M:$R,B244)</f>
        <v>1</v>
      </c>
      <c r="E244" s="8" t="n">
        <f aca="false">COUNTIF(Drinks!$N:$S,B244)</f>
        <v>0</v>
      </c>
      <c r="F244" s="8" t="n">
        <f aca="false">D244+E244</f>
        <v>1</v>
      </c>
    </row>
    <row r="245" customFormat="false" ht="15" hidden="false" customHeight="false" outlineLevel="0" collapsed="false">
      <c r="A245" s="8" t="s">
        <v>8512</v>
      </c>
      <c r="B245" s="8" t="s">
        <v>1748</v>
      </c>
      <c r="C245" s="8" t="s">
        <v>8265</v>
      </c>
      <c r="D245" s="8" t="n">
        <f aca="false">COUNTIF(Dishes!$M:$R,B245)</f>
        <v>1</v>
      </c>
      <c r="E245" s="8" t="n">
        <f aca="false">COUNTIF(Drinks!$N:$S,B245)</f>
        <v>0</v>
      </c>
      <c r="F245" s="8" t="n">
        <f aca="false">D245+E245</f>
        <v>1</v>
      </c>
    </row>
    <row r="246" customFormat="false" ht="15" hidden="false" customHeight="false" outlineLevel="0" collapsed="false">
      <c r="A246" s="8" t="s">
        <v>8513</v>
      </c>
      <c r="B246" s="8" t="s">
        <v>4725</v>
      </c>
      <c r="C246" s="8" t="s">
        <v>8274</v>
      </c>
      <c r="D246" s="8" t="n">
        <f aca="false">COUNTIF(Dishes!$M:$R,B246)</f>
        <v>1</v>
      </c>
      <c r="E246" s="8" t="n">
        <f aca="false">COUNTIF(Drinks!$N:$S,B246)</f>
        <v>0</v>
      </c>
      <c r="F246" s="8" t="n">
        <f aca="false">D246+E246</f>
        <v>1</v>
      </c>
    </row>
    <row r="247" customFormat="false" ht="15" hidden="false" customHeight="false" outlineLevel="0" collapsed="false">
      <c r="A247" s="8" t="s">
        <v>8514</v>
      </c>
      <c r="B247" s="8" t="s">
        <v>3540</v>
      </c>
      <c r="C247" s="8" t="s">
        <v>8257</v>
      </c>
      <c r="D247" s="8" t="n">
        <f aca="false">COUNTIF(Dishes!$M:$R,B247)</f>
        <v>2</v>
      </c>
      <c r="E247" s="8" t="n">
        <f aca="false">COUNTIF(Drinks!$N:$S,B247)</f>
        <v>0</v>
      </c>
      <c r="F247" s="8" t="n">
        <f aca="false">D247+E247</f>
        <v>2</v>
      </c>
    </row>
    <row r="248" customFormat="false" ht="15" hidden="false" customHeight="false" outlineLevel="0" collapsed="false">
      <c r="A248" s="8" t="s">
        <v>8515</v>
      </c>
      <c r="B248" s="8" t="s">
        <v>668</v>
      </c>
      <c r="C248" s="8" t="s">
        <v>8259</v>
      </c>
      <c r="D248" s="8" t="n">
        <f aca="false">COUNTIF(Dishes!$M:$R,B248)</f>
        <v>15</v>
      </c>
      <c r="E248" s="8" t="n">
        <f aca="false">COUNTIF(Drinks!$N:$S,B248)</f>
        <v>0</v>
      </c>
      <c r="F248" s="8" t="n">
        <f aca="false">D248+E248</f>
        <v>15</v>
      </c>
    </row>
    <row r="249" customFormat="false" ht="15" hidden="false" customHeight="false" outlineLevel="0" collapsed="false">
      <c r="A249" s="8" t="s">
        <v>8516</v>
      </c>
      <c r="B249" s="8" t="s">
        <v>4623</v>
      </c>
      <c r="C249" s="8" t="s">
        <v>8259</v>
      </c>
      <c r="D249" s="8" t="n">
        <f aca="false">COUNTIF(Dishes!$M:$R,B249)</f>
        <v>2</v>
      </c>
      <c r="E249" s="8" t="n">
        <f aca="false">COUNTIF(Drinks!$N:$S,B249)</f>
        <v>0</v>
      </c>
      <c r="F249" s="8" t="n">
        <f aca="false">D249+E249</f>
        <v>2</v>
      </c>
    </row>
    <row r="250" customFormat="false" ht="15" hidden="false" customHeight="false" outlineLevel="0" collapsed="false">
      <c r="A250" s="8" t="s">
        <v>8517</v>
      </c>
      <c r="B250" s="8" t="s">
        <v>3001</v>
      </c>
      <c r="C250" s="8" t="s">
        <v>8259</v>
      </c>
      <c r="D250" s="8" t="n">
        <f aca="false">COUNTIF(Dishes!$M:$R,B250)</f>
        <v>1</v>
      </c>
      <c r="E250" s="8" t="n">
        <f aca="false">COUNTIF(Drinks!$N:$S,B250)</f>
        <v>0</v>
      </c>
      <c r="F250" s="8" t="n">
        <f aca="false">D250+E250</f>
        <v>1</v>
      </c>
    </row>
    <row r="251" customFormat="false" ht="15" hidden="false" customHeight="false" outlineLevel="0" collapsed="false">
      <c r="A251" s="8" t="s">
        <v>8518</v>
      </c>
      <c r="B251" s="8" t="s">
        <v>4545</v>
      </c>
      <c r="C251" s="8" t="s">
        <v>8265</v>
      </c>
      <c r="D251" s="8" t="n">
        <f aca="false">COUNTIF(Dishes!$M:$R,B251)</f>
        <v>2</v>
      </c>
      <c r="E251" s="8" t="n">
        <f aca="false">COUNTIF(Drinks!$N:$S,B251)</f>
        <v>0</v>
      </c>
      <c r="F251" s="8" t="n">
        <f aca="false">D251+E251</f>
        <v>2</v>
      </c>
    </row>
    <row r="252" customFormat="false" ht="15" hidden="false" customHeight="false" outlineLevel="0" collapsed="false">
      <c r="A252" s="8" t="s">
        <v>8519</v>
      </c>
      <c r="B252" s="8" t="s">
        <v>4405</v>
      </c>
      <c r="C252" s="8" t="s">
        <v>8265</v>
      </c>
      <c r="D252" s="8" t="n">
        <f aca="false">COUNTIF(Dishes!$M:$R,B252)</f>
        <v>1</v>
      </c>
      <c r="E252" s="8" t="n">
        <f aca="false">COUNTIF(Drinks!$N:$S,B252)</f>
        <v>0</v>
      </c>
      <c r="F252" s="8" t="n">
        <f aca="false">D252+E252</f>
        <v>1</v>
      </c>
    </row>
    <row r="253" customFormat="false" ht="15" hidden="false" customHeight="false" outlineLevel="0" collapsed="false">
      <c r="A253" s="8" t="s">
        <v>8520</v>
      </c>
      <c r="B253" s="8" t="s">
        <v>756</v>
      </c>
      <c r="C253" s="8" t="s">
        <v>8259</v>
      </c>
      <c r="D253" s="8" t="n">
        <f aca="false">COUNTIF(Dishes!$M:$R,B253)</f>
        <v>1</v>
      </c>
      <c r="E253" s="8" t="n">
        <f aca="false">COUNTIF(Drinks!$N:$S,B253)</f>
        <v>0</v>
      </c>
      <c r="F253" s="8" t="n">
        <f aca="false">D253+E253</f>
        <v>1</v>
      </c>
    </row>
    <row r="254" customFormat="false" ht="15" hidden="false" customHeight="false" outlineLevel="0" collapsed="false">
      <c r="A254" s="8" t="s">
        <v>8521</v>
      </c>
      <c r="B254" s="8" t="s">
        <v>2871</v>
      </c>
      <c r="C254" s="8" t="s">
        <v>8287</v>
      </c>
      <c r="D254" s="8" t="n">
        <f aca="false">COUNTIF(Dishes!$M:$R,B254)</f>
        <v>1</v>
      </c>
      <c r="E254" s="8" t="n">
        <f aca="false">COUNTIF(Drinks!$N:$S,B254)</f>
        <v>0</v>
      </c>
      <c r="F254" s="8" t="n">
        <f aca="false">D254+E254</f>
        <v>1</v>
      </c>
    </row>
    <row r="255" customFormat="false" ht="15" hidden="false" customHeight="false" outlineLevel="0" collapsed="false">
      <c r="A255" s="8" t="s">
        <v>8522</v>
      </c>
      <c r="B255" s="8" t="s">
        <v>4250</v>
      </c>
      <c r="C255" s="8" t="s">
        <v>8282</v>
      </c>
      <c r="D255" s="8" t="n">
        <f aca="false">COUNTIF(Dishes!$M:$R,B255)</f>
        <v>1</v>
      </c>
      <c r="E255" s="8" t="n">
        <f aca="false">COUNTIF(Drinks!$N:$S,B255)</f>
        <v>0</v>
      </c>
      <c r="F255" s="8" t="n">
        <f aca="false">D255+E255</f>
        <v>1</v>
      </c>
    </row>
    <row r="256" customFormat="false" ht="15" hidden="false" customHeight="false" outlineLevel="0" collapsed="false">
      <c r="A256" s="8" t="s">
        <v>8523</v>
      </c>
      <c r="B256" s="8" t="s">
        <v>4604</v>
      </c>
      <c r="C256" s="8" t="s">
        <v>8257</v>
      </c>
      <c r="D256" s="8" t="n">
        <f aca="false">COUNTIF(Dishes!$M:$R,B256)</f>
        <v>1</v>
      </c>
      <c r="E256" s="8" t="n">
        <f aca="false">COUNTIF(Drinks!$N:$S,B256)</f>
        <v>0</v>
      </c>
      <c r="F256" s="8" t="n">
        <f aca="false">D256+E256</f>
        <v>1</v>
      </c>
    </row>
    <row r="257" customFormat="false" ht="15" hidden="false" customHeight="false" outlineLevel="0" collapsed="false">
      <c r="A257" s="8" t="s">
        <v>8524</v>
      </c>
      <c r="B257" s="8" t="s">
        <v>7220</v>
      </c>
      <c r="C257" s="8" t="s">
        <v>8344</v>
      </c>
      <c r="D257" s="8" t="n">
        <f aca="false">COUNTIF(Dishes!$M:$R,B257)</f>
        <v>0</v>
      </c>
      <c r="E257" s="8" t="n">
        <f aca="false">COUNTIF(Drinks!$N:$S,B257)</f>
        <v>1</v>
      </c>
      <c r="F257" s="8" t="n">
        <f aca="false">D257+E257</f>
        <v>1</v>
      </c>
    </row>
    <row r="258" customFormat="false" ht="15" hidden="false" customHeight="false" outlineLevel="0" collapsed="false">
      <c r="A258" s="8" t="s">
        <v>8525</v>
      </c>
      <c r="B258" s="8" t="s">
        <v>6093</v>
      </c>
      <c r="C258" s="8" t="s">
        <v>8268</v>
      </c>
      <c r="D258" s="8" t="n">
        <f aca="false">COUNTIF(Dishes!$M:$R,B258)</f>
        <v>0</v>
      </c>
      <c r="E258" s="8" t="n">
        <f aca="false">COUNTIF(Drinks!$N:$S,B258)</f>
        <v>2</v>
      </c>
      <c r="F258" s="8" t="n">
        <f aca="false">D258+E258</f>
        <v>2</v>
      </c>
    </row>
    <row r="259" customFormat="false" ht="15" hidden="false" customHeight="false" outlineLevel="0" collapsed="false">
      <c r="A259" s="8" t="s">
        <v>8526</v>
      </c>
      <c r="B259" s="8" t="s">
        <v>3425</v>
      </c>
      <c r="C259" s="8" t="s">
        <v>8257</v>
      </c>
      <c r="D259" s="8" t="n">
        <f aca="false">COUNTIF(Dishes!$M:$R,B259)</f>
        <v>2</v>
      </c>
      <c r="E259" s="8" t="n">
        <f aca="false">COUNTIF(Drinks!$N:$S,B259)</f>
        <v>0</v>
      </c>
      <c r="F259" s="8" t="n">
        <f aca="false">D259+E259</f>
        <v>2</v>
      </c>
    </row>
    <row r="260" customFormat="false" ht="15" hidden="false" customHeight="false" outlineLevel="0" collapsed="false">
      <c r="A260" s="8" t="s">
        <v>8527</v>
      </c>
      <c r="B260" s="8" t="s">
        <v>2914</v>
      </c>
      <c r="C260" s="8" t="s">
        <v>8257</v>
      </c>
      <c r="D260" s="8" t="n">
        <f aca="false">COUNTIF(Dishes!$M:$R,B260)</f>
        <v>5</v>
      </c>
      <c r="E260" s="8" t="n">
        <f aca="false">COUNTIF(Drinks!$N:$S,B260)</f>
        <v>0</v>
      </c>
      <c r="F260" s="8" t="n">
        <f aca="false">D260+E260</f>
        <v>5</v>
      </c>
    </row>
    <row r="261" customFormat="false" ht="15" hidden="false" customHeight="false" outlineLevel="0" collapsed="false">
      <c r="A261" s="8" t="s">
        <v>8528</v>
      </c>
      <c r="B261" s="8" t="s">
        <v>2239</v>
      </c>
      <c r="C261" s="8" t="s">
        <v>8261</v>
      </c>
      <c r="D261" s="8" t="n">
        <f aca="false">COUNTIF(Dishes!$M:$R,B261)</f>
        <v>3</v>
      </c>
      <c r="E261" s="8" t="n">
        <f aca="false">COUNTIF(Drinks!$N:$S,B261)</f>
        <v>0</v>
      </c>
      <c r="F261" s="8" t="n">
        <f aca="false">D261+E261</f>
        <v>3</v>
      </c>
    </row>
    <row r="262" customFormat="false" ht="15" hidden="false" customHeight="false" outlineLevel="0" collapsed="false">
      <c r="A262" s="8" t="s">
        <v>8529</v>
      </c>
      <c r="B262" s="8" t="s">
        <v>7094</v>
      </c>
      <c r="C262" s="8" t="s">
        <v>8344</v>
      </c>
      <c r="D262" s="8" t="n">
        <f aca="false">COUNTIF(Dishes!$M:$R,B262)</f>
        <v>0</v>
      </c>
      <c r="E262" s="8" t="n">
        <f aca="false">COUNTIF(Drinks!$N:$S,B262)</f>
        <v>1</v>
      </c>
      <c r="F262" s="8" t="n">
        <f aca="false">D262+E262</f>
        <v>1</v>
      </c>
    </row>
    <row r="263" customFormat="false" ht="15" hidden="false" customHeight="false" outlineLevel="0" collapsed="false">
      <c r="A263" s="8" t="s">
        <v>8530</v>
      </c>
      <c r="B263" s="8" t="s">
        <v>5150</v>
      </c>
      <c r="C263" s="8" t="s">
        <v>8276</v>
      </c>
      <c r="D263" s="8" t="n">
        <f aca="false">COUNTIF(Dishes!$M:$R,B263)</f>
        <v>1</v>
      </c>
      <c r="E263" s="8" t="n">
        <f aca="false">COUNTIF(Drinks!$N:$S,B263)</f>
        <v>0</v>
      </c>
      <c r="F263" s="8" t="n">
        <f aca="false">D263+E263</f>
        <v>1</v>
      </c>
    </row>
    <row r="264" customFormat="false" ht="15" hidden="false" customHeight="false" outlineLevel="0" collapsed="false">
      <c r="A264" s="8" t="s">
        <v>8531</v>
      </c>
      <c r="B264" s="8" t="s">
        <v>1658</v>
      </c>
      <c r="C264" s="8" t="s">
        <v>8272</v>
      </c>
      <c r="D264" s="8" t="n">
        <f aca="false">COUNTIF(Dishes!$M:$R,B264)</f>
        <v>1</v>
      </c>
      <c r="E264" s="8" t="n">
        <f aca="false">COUNTIF(Drinks!$N:$S,B264)</f>
        <v>0</v>
      </c>
      <c r="F264" s="8" t="n">
        <f aca="false">D264+E264</f>
        <v>1</v>
      </c>
    </row>
    <row r="265" customFormat="false" ht="15" hidden="false" customHeight="false" outlineLevel="0" collapsed="false">
      <c r="A265" s="8" t="s">
        <v>8532</v>
      </c>
      <c r="B265" s="8" t="s">
        <v>5498</v>
      </c>
      <c r="C265" s="8" t="s">
        <v>8257</v>
      </c>
      <c r="D265" s="8" t="n">
        <f aca="false">COUNTIF(Dishes!$M:$R,B265)</f>
        <v>1</v>
      </c>
      <c r="E265" s="8" t="n">
        <f aca="false">COUNTIF(Drinks!$N:$S,B265)</f>
        <v>0</v>
      </c>
      <c r="F265" s="8" t="n">
        <f aca="false">D265+E265</f>
        <v>1</v>
      </c>
    </row>
    <row r="266" customFormat="false" ht="15" hidden="false" customHeight="false" outlineLevel="0" collapsed="false">
      <c r="A266" s="8" t="s">
        <v>8533</v>
      </c>
      <c r="B266" s="8" t="s">
        <v>3972</v>
      </c>
      <c r="C266" s="8" t="s">
        <v>8265</v>
      </c>
      <c r="D266" s="8" t="n">
        <f aca="false">COUNTIF(Dishes!$M:$R,B266)</f>
        <v>1</v>
      </c>
      <c r="E266" s="8" t="n">
        <f aca="false">COUNTIF(Drinks!$N:$S,B266)</f>
        <v>0</v>
      </c>
      <c r="F266" s="8" t="n">
        <f aca="false">D266+E266</f>
        <v>1</v>
      </c>
    </row>
    <row r="267" customFormat="false" ht="15" hidden="false" customHeight="false" outlineLevel="0" collapsed="false">
      <c r="A267" s="8" t="s">
        <v>8534</v>
      </c>
      <c r="B267" s="8" t="s">
        <v>629</v>
      </c>
      <c r="C267" s="8" t="s">
        <v>8298</v>
      </c>
      <c r="D267" s="8" t="n">
        <f aca="false">COUNTIF(Dishes!$M:$R,B267)</f>
        <v>1</v>
      </c>
      <c r="E267" s="8" t="n">
        <f aca="false">COUNTIF(Drinks!$N:$S,B267)</f>
        <v>0</v>
      </c>
      <c r="F267" s="8" t="n">
        <f aca="false">D267+E267</f>
        <v>1</v>
      </c>
    </row>
    <row r="268" customFormat="false" ht="15" hidden="false" customHeight="false" outlineLevel="0" collapsed="false">
      <c r="A268" s="8" t="s">
        <v>8535</v>
      </c>
      <c r="B268" s="8" t="s">
        <v>2497</v>
      </c>
      <c r="C268" s="8" t="s">
        <v>8261</v>
      </c>
      <c r="D268" s="8" t="n">
        <f aca="false">COUNTIF(Dishes!$M:$R,B268)</f>
        <v>2</v>
      </c>
      <c r="E268" s="8" t="n">
        <f aca="false">COUNTIF(Drinks!$N:$S,B268)</f>
        <v>0</v>
      </c>
      <c r="F268" s="8" t="n">
        <f aca="false">D268+E268</f>
        <v>2</v>
      </c>
    </row>
    <row r="269" customFormat="false" ht="15" hidden="false" customHeight="false" outlineLevel="0" collapsed="false">
      <c r="A269" s="8" t="s">
        <v>8536</v>
      </c>
      <c r="B269" s="8" t="s">
        <v>3539</v>
      </c>
      <c r="C269" s="8" t="s">
        <v>8298</v>
      </c>
      <c r="D269" s="8" t="n">
        <f aca="false">COUNTIF(Dishes!$M:$R,B269)</f>
        <v>1</v>
      </c>
      <c r="E269" s="8" t="n">
        <f aca="false">COUNTIF(Drinks!$N:$S,B269)</f>
        <v>0</v>
      </c>
      <c r="F269" s="8" t="n">
        <f aca="false">D269+E269</f>
        <v>1</v>
      </c>
    </row>
    <row r="270" customFormat="false" ht="15" hidden="false" customHeight="false" outlineLevel="0" collapsed="false">
      <c r="A270" s="8" t="s">
        <v>8537</v>
      </c>
      <c r="B270" s="8" t="s">
        <v>943</v>
      </c>
      <c r="C270" s="8" t="s">
        <v>8259</v>
      </c>
      <c r="D270" s="8" t="n">
        <f aca="false">COUNTIF(Dishes!$M:$R,B270)</f>
        <v>1</v>
      </c>
      <c r="E270" s="8" t="n">
        <f aca="false">COUNTIF(Drinks!$N:$S,B270)</f>
        <v>0</v>
      </c>
      <c r="F270" s="8" t="n">
        <f aca="false">D270+E270</f>
        <v>1</v>
      </c>
    </row>
    <row r="271" customFormat="false" ht="15" hidden="false" customHeight="false" outlineLevel="0" collapsed="false">
      <c r="A271" s="8" t="s">
        <v>8538</v>
      </c>
      <c r="B271" s="8" t="s">
        <v>4724</v>
      </c>
      <c r="C271" s="8" t="s">
        <v>8259</v>
      </c>
      <c r="D271" s="8" t="n">
        <f aca="false">COUNTIF(Dishes!$M:$R,B271)</f>
        <v>4</v>
      </c>
      <c r="E271" s="8" t="n">
        <f aca="false">COUNTIF(Drinks!$N:$S,B271)</f>
        <v>0</v>
      </c>
      <c r="F271" s="8" t="n">
        <f aca="false">D271+E271</f>
        <v>4</v>
      </c>
    </row>
    <row r="272" customFormat="false" ht="15" hidden="false" customHeight="false" outlineLevel="0" collapsed="false">
      <c r="A272" s="8" t="s">
        <v>8539</v>
      </c>
      <c r="B272" s="8" t="s">
        <v>2642</v>
      </c>
      <c r="C272" s="8" t="s">
        <v>8257</v>
      </c>
      <c r="D272" s="8" t="n">
        <f aca="false">COUNTIF(Dishes!$M:$R,B272)</f>
        <v>2</v>
      </c>
      <c r="E272" s="8" t="n">
        <f aca="false">COUNTIF(Drinks!$N:$S,B272)</f>
        <v>0</v>
      </c>
      <c r="F272" s="8" t="n">
        <f aca="false">D272+E272</f>
        <v>2</v>
      </c>
    </row>
    <row r="273" customFormat="false" ht="15" hidden="false" customHeight="false" outlineLevel="0" collapsed="false">
      <c r="A273" s="8" t="s">
        <v>8540</v>
      </c>
      <c r="B273" s="8" t="s">
        <v>1140</v>
      </c>
      <c r="C273" s="8" t="s">
        <v>8272</v>
      </c>
      <c r="D273" s="8" t="n">
        <f aca="false">COUNTIF(Dishes!$M:$R,B273)</f>
        <v>2</v>
      </c>
      <c r="E273" s="8" t="n">
        <f aca="false">COUNTIF(Drinks!$N:$S,B273)</f>
        <v>0</v>
      </c>
      <c r="F273" s="8" t="n">
        <f aca="false">D273+E273</f>
        <v>2</v>
      </c>
    </row>
    <row r="274" customFormat="false" ht="15" hidden="false" customHeight="false" outlineLevel="0" collapsed="false">
      <c r="A274" s="8" t="s">
        <v>8541</v>
      </c>
      <c r="B274" s="8" t="s">
        <v>2558</v>
      </c>
      <c r="C274" s="8" t="s">
        <v>8257</v>
      </c>
      <c r="D274" s="8" t="n">
        <f aca="false">COUNTIF(Dishes!$M:$R,B274)</f>
        <v>3</v>
      </c>
      <c r="E274" s="8" t="n">
        <f aca="false">COUNTIF(Drinks!$N:$S,B274)</f>
        <v>0</v>
      </c>
      <c r="F274" s="8" t="n">
        <f aca="false">D274+E274</f>
        <v>3</v>
      </c>
    </row>
    <row r="275" customFormat="false" ht="15" hidden="false" customHeight="false" outlineLevel="0" collapsed="false">
      <c r="A275" s="8" t="s">
        <v>8542</v>
      </c>
      <c r="B275" s="8" t="s">
        <v>6703</v>
      </c>
      <c r="C275" s="8" t="s">
        <v>8344</v>
      </c>
      <c r="D275" s="8" t="n">
        <f aca="false">COUNTIF(Dishes!$M:$R,B275)</f>
        <v>0</v>
      </c>
      <c r="E275" s="8" t="n">
        <f aca="false">COUNTIF(Drinks!$N:$S,B275)</f>
        <v>1</v>
      </c>
      <c r="F275" s="8" t="n">
        <f aca="false">D275+E275</f>
        <v>1</v>
      </c>
    </row>
    <row r="276" customFormat="false" ht="15" hidden="false" customHeight="false" outlineLevel="0" collapsed="false">
      <c r="A276" s="8" t="s">
        <v>8543</v>
      </c>
      <c r="B276" s="8" t="s">
        <v>5524</v>
      </c>
      <c r="C276" s="8" t="s">
        <v>8272</v>
      </c>
      <c r="D276" s="8" t="n">
        <f aca="false">COUNTIF(Dishes!$M:$R,B276)</f>
        <v>1</v>
      </c>
      <c r="E276" s="8" t="n">
        <f aca="false">COUNTIF(Drinks!$N:$S,B276)</f>
        <v>0</v>
      </c>
      <c r="F276" s="8" t="n">
        <f aca="false">D276+E276</f>
        <v>1</v>
      </c>
    </row>
    <row r="277" customFormat="false" ht="15" hidden="false" customHeight="false" outlineLevel="0" collapsed="false">
      <c r="A277" s="8" t="s">
        <v>8544</v>
      </c>
      <c r="B277" s="8" t="s">
        <v>1522</v>
      </c>
      <c r="C277" s="8" t="s">
        <v>8261</v>
      </c>
      <c r="D277" s="8" t="n">
        <f aca="false">COUNTIF(Dishes!$M:$R,B277)</f>
        <v>1</v>
      </c>
      <c r="E277" s="8" t="n">
        <f aca="false">COUNTIF(Drinks!$N:$S,B277)</f>
        <v>0</v>
      </c>
      <c r="F277" s="8" t="n">
        <f aca="false">D277+E277</f>
        <v>1</v>
      </c>
    </row>
    <row r="278" customFormat="false" ht="15" hidden="false" customHeight="false" outlineLevel="0" collapsed="false">
      <c r="A278" s="8" t="s">
        <v>8545</v>
      </c>
      <c r="B278" s="8" t="s">
        <v>2548</v>
      </c>
      <c r="C278" s="8" t="s">
        <v>8259</v>
      </c>
      <c r="D278" s="8" t="n">
        <f aca="false">COUNTIF(Dishes!$M:$R,B278)</f>
        <v>2</v>
      </c>
      <c r="E278" s="8" t="n">
        <f aca="false">COUNTIF(Drinks!$N:$S,B278)</f>
        <v>0</v>
      </c>
      <c r="F278" s="8" t="n">
        <f aca="false">D278+E278</f>
        <v>2</v>
      </c>
    </row>
    <row r="279" customFormat="false" ht="15" hidden="false" customHeight="false" outlineLevel="0" collapsed="false">
      <c r="A279" s="8" t="s">
        <v>8546</v>
      </c>
      <c r="B279" s="8" t="s">
        <v>628</v>
      </c>
      <c r="C279" s="8" t="s">
        <v>8259</v>
      </c>
      <c r="D279" s="8" t="n">
        <f aca="false">COUNTIF(Dishes!$M:$R,B279)</f>
        <v>3</v>
      </c>
      <c r="E279" s="8" t="n">
        <f aca="false">COUNTIF(Drinks!$N:$S,B279)</f>
        <v>0</v>
      </c>
      <c r="F279" s="8" t="n">
        <f aca="false">D279+E279</f>
        <v>3</v>
      </c>
    </row>
    <row r="280" customFormat="false" ht="15" hidden="false" customHeight="false" outlineLevel="0" collapsed="false">
      <c r="A280" s="8" t="s">
        <v>8547</v>
      </c>
      <c r="B280" s="8" t="s">
        <v>1042</v>
      </c>
      <c r="C280" s="8" t="s">
        <v>8274</v>
      </c>
      <c r="D280" s="8" t="n">
        <f aca="false">COUNTIF(Dishes!$M:$R,B280)</f>
        <v>1</v>
      </c>
      <c r="E280" s="8" t="n">
        <f aca="false">COUNTIF(Drinks!$N:$S,B280)</f>
        <v>0</v>
      </c>
      <c r="F280" s="8" t="n">
        <f aca="false">D280+E280</f>
        <v>1</v>
      </c>
    </row>
    <row r="281" customFormat="false" ht="15" hidden="false" customHeight="false" outlineLevel="0" collapsed="false">
      <c r="A281" s="8" t="s">
        <v>8548</v>
      </c>
      <c r="B281" s="8" t="s">
        <v>1733</v>
      </c>
      <c r="C281" s="8" t="s">
        <v>8298</v>
      </c>
      <c r="D281" s="8" t="n">
        <f aca="false">COUNTIF(Dishes!$M:$R,B281)</f>
        <v>1</v>
      </c>
      <c r="E281" s="8" t="n">
        <f aca="false">COUNTIF(Drinks!$N:$S,B281)</f>
        <v>0</v>
      </c>
      <c r="F281" s="8" t="n">
        <f aca="false">D281+E281</f>
        <v>1</v>
      </c>
    </row>
    <row r="282" customFormat="false" ht="15" hidden="false" customHeight="false" outlineLevel="0" collapsed="false">
      <c r="A282" s="8" t="s">
        <v>8549</v>
      </c>
      <c r="B282" s="8" t="s">
        <v>1102</v>
      </c>
      <c r="C282" s="8" t="s">
        <v>8287</v>
      </c>
      <c r="D282" s="8" t="n">
        <f aca="false">COUNTIF(Dishes!$M:$R,B282)</f>
        <v>1</v>
      </c>
      <c r="E282" s="8" t="n">
        <f aca="false">COUNTIF(Drinks!$N:$S,B282)</f>
        <v>0</v>
      </c>
      <c r="F282" s="8" t="n">
        <f aca="false">D282+E282</f>
        <v>1</v>
      </c>
    </row>
    <row r="283" customFormat="false" ht="15" hidden="false" customHeight="false" outlineLevel="0" collapsed="false">
      <c r="A283" s="8" t="s">
        <v>8550</v>
      </c>
      <c r="B283" s="8" t="s">
        <v>883</v>
      </c>
      <c r="C283" s="8" t="s">
        <v>8261</v>
      </c>
      <c r="D283" s="8" t="n">
        <f aca="false">COUNTIF(Dishes!$M:$R,B283)</f>
        <v>1</v>
      </c>
      <c r="E283" s="8" t="n">
        <f aca="false">COUNTIF(Drinks!$N:$S,B283)</f>
        <v>0</v>
      </c>
      <c r="F283" s="8" t="n">
        <f aca="false">D283+E283</f>
        <v>1</v>
      </c>
    </row>
    <row r="284" customFormat="false" ht="15" hidden="false" customHeight="false" outlineLevel="0" collapsed="false">
      <c r="A284" s="8" t="s">
        <v>8551</v>
      </c>
      <c r="B284" s="8" t="s">
        <v>1821</v>
      </c>
      <c r="C284" s="8" t="s">
        <v>8259</v>
      </c>
      <c r="D284" s="8" t="n">
        <f aca="false">COUNTIF(Dishes!$M:$R,B284)</f>
        <v>2</v>
      </c>
      <c r="E284" s="8" t="n">
        <f aca="false">COUNTIF(Drinks!$N:$S,B284)</f>
        <v>0</v>
      </c>
      <c r="F284" s="8" t="n">
        <f aca="false">D284+E284</f>
        <v>2</v>
      </c>
    </row>
    <row r="285" customFormat="false" ht="15" hidden="false" customHeight="false" outlineLevel="0" collapsed="false">
      <c r="A285" s="8" t="s">
        <v>8552</v>
      </c>
      <c r="B285" s="8" t="s">
        <v>1830</v>
      </c>
      <c r="C285" s="8" t="s">
        <v>8259</v>
      </c>
      <c r="D285" s="8" t="n">
        <f aca="false">COUNTIF(Dishes!$M:$R,B285)</f>
        <v>1</v>
      </c>
      <c r="E285" s="8" t="n">
        <f aca="false">COUNTIF(Drinks!$N:$S,B285)</f>
        <v>0</v>
      </c>
      <c r="F285" s="8" t="n">
        <f aca="false">D285+E285</f>
        <v>1</v>
      </c>
    </row>
    <row r="286" customFormat="false" ht="15" hidden="false" customHeight="false" outlineLevel="0" collapsed="false">
      <c r="A286" s="8" t="s">
        <v>8553</v>
      </c>
      <c r="B286" s="8" t="s">
        <v>6008</v>
      </c>
      <c r="C286" s="8" t="s">
        <v>8268</v>
      </c>
      <c r="D286" s="8" t="n">
        <f aca="false">COUNTIF(Dishes!$M:$R,B286)</f>
        <v>0</v>
      </c>
      <c r="E286" s="8" t="n">
        <f aca="false">COUNTIF(Drinks!$N:$S,B286)</f>
        <v>1</v>
      </c>
      <c r="F286" s="8" t="n">
        <f aca="false">D286+E286</f>
        <v>1</v>
      </c>
    </row>
    <row r="287" customFormat="false" ht="15" hidden="false" customHeight="false" outlineLevel="0" collapsed="false">
      <c r="A287" s="8" t="s">
        <v>8554</v>
      </c>
      <c r="B287" s="8" t="s">
        <v>4195</v>
      </c>
      <c r="C287" s="8" t="s">
        <v>8276</v>
      </c>
      <c r="D287" s="8" t="n">
        <f aca="false">COUNTIF(Dishes!$M:$R,B287)</f>
        <v>1</v>
      </c>
      <c r="E287" s="8" t="n">
        <f aca="false">COUNTIF(Drinks!$N:$S,B287)</f>
        <v>0</v>
      </c>
      <c r="F287" s="8" t="n">
        <f aca="false">D287+E287</f>
        <v>1</v>
      </c>
    </row>
    <row r="288" customFormat="false" ht="15" hidden="false" customHeight="false" outlineLevel="0" collapsed="false">
      <c r="A288" s="8" t="s">
        <v>8555</v>
      </c>
      <c r="B288" s="8" t="s">
        <v>4186</v>
      </c>
      <c r="C288" s="8" t="s">
        <v>8276</v>
      </c>
      <c r="D288" s="8" t="n">
        <f aca="false">COUNTIF(Dishes!$M:$R,B288)</f>
        <v>1</v>
      </c>
      <c r="E288" s="8" t="n">
        <f aca="false">COUNTIF(Drinks!$N:$S,B288)</f>
        <v>0</v>
      </c>
      <c r="F288" s="8" t="n">
        <f aca="false">D288+E288</f>
        <v>1</v>
      </c>
    </row>
    <row r="289" customFormat="false" ht="15" hidden="false" customHeight="false" outlineLevel="0" collapsed="false">
      <c r="A289" s="8" t="s">
        <v>8556</v>
      </c>
      <c r="B289" s="8" t="s">
        <v>5578</v>
      </c>
      <c r="C289" s="8" t="s">
        <v>8265</v>
      </c>
      <c r="D289" s="8" t="n">
        <f aca="false">COUNTIF(Dishes!$M:$R,B289)</f>
        <v>1</v>
      </c>
      <c r="E289" s="8" t="n">
        <f aca="false">COUNTIF(Drinks!$N:$S,B289)</f>
        <v>0</v>
      </c>
      <c r="F289" s="8" t="n">
        <f aca="false">D289+E289</f>
        <v>1</v>
      </c>
    </row>
    <row r="290" customFormat="false" ht="15" hidden="false" customHeight="false" outlineLevel="0" collapsed="false">
      <c r="A290" s="8" t="s">
        <v>8557</v>
      </c>
      <c r="B290" s="8" t="s">
        <v>1782</v>
      </c>
      <c r="C290" s="8" t="s">
        <v>8272</v>
      </c>
      <c r="D290" s="8" t="n">
        <f aca="false">COUNTIF(Dishes!$M:$R,B290)</f>
        <v>7</v>
      </c>
      <c r="E290" s="8" t="n">
        <f aca="false">COUNTIF(Drinks!$N:$S,B290)</f>
        <v>0</v>
      </c>
      <c r="F290" s="8" t="n">
        <f aca="false">D290+E290</f>
        <v>7</v>
      </c>
    </row>
    <row r="291" customFormat="false" ht="15" hidden="false" customHeight="false" outlineLevel="0" collapsed="false">
      <c r="A291" s="8" t="s">
        <v>8558</v>
      </c>
      <c r="B291" s="8" t="s">
        <v>5008</v>
      </c>
      <c r="C291" s="8" t="s">
        <v>8276</v>
      </c>
      <c r="D291" s="8" t="n">
        <f aca="false">COUNTIF(Dishes!$M:$R,B291)</f>
        <v>1</v>
      </c>
      <c r="E291" s="8" t="n">
        <f aca="false">COUNTIF(Drinks!$N:$S,B291)</f>
        <v>0</v>
      </c>
      <c r="F291" s="8" t="n">
        <f aca="false">D291+E291</f>
        <v>1</v>
      </c>
    </row>
    <row r="292" customFormat="false" ht="15" hidden="false" customHeight="false" outlineLevel="0" collapsed="false">
      <c r="A292" s="8" t="s">
        <v>8559</v>
      </c>
      <c r="B292" s="8" t="s">
        <v>1313</v>
      </c>
      <c r="C292" s="8" t="s">
        <v>8265</v>
      </c>
      <c r="D292" s="8" t="n">
        <f aca="false">COUNTIF(Dishes!$M:$R,B292)</f>
        <v>32</v>
      </c>
      <c r="E292" s="8" t="n">
        <f aca="false">COUNTIF(Drinks!$N:$S,B292)</f>
        <v>1</v>
      </c>
      <c r="F292" s="8" t="n">
        <f aca="false">D292+E292</f>
        <v>33</v>
      </c>
    </row>
    <row r="293" customFormat="false" ht="15" hidden="false" customHeight="false" outlineLevel="0" collapsed="false">
      <c r="A293" s="8" t="s">
        <v>8560</v>
      </c>
      <c r="B293" s="8" t="s">
        <v>2746</v>
      </c>
      <c r="C293" s="8" t="s">
        <v>8265</v>
      </c>
      <c r="D293" s="8" t="n">
        <f aca="false">COUNTIF(Dishes!$M:$R,B293)</f>
        <v>1</v>
      </c>
      <c r="E293" s="8" t="n">
        <f aca="false">COUNTIF(Drinks!$N:$S,B293)</f>
        <v>0</v>
      </c>
      <c r="F293" s="8" t="n">
        <f aca="false">D293+E293</f>
        <v>1</v>
      </c>
    </row>
    <row r="294" customFormat="false" ht="15" hidden="false" customHeight="false" outlineLevel="0" collapsed="false">
      <c r="A294" s="8" t="s">
        <v>8561</v>
      </c>
      <c r="B294" s="8" t="s">
        <v>5874</v>
      </c>
      <c r="C294" s="8" t="s">
        <v>8265</v>
      </c>
      <c r="D294" s="8" t="n">
        <f aca="false">COUNTIF(Dishes!$M:$R,B294)</f>
        <v>1</v>
      </c>
      <c r="E294" s="8" t="n">
        <f aca="false">COUNTIF(Drinks!$N:$S,B294)</f>
        <v>0</v>
      </c>
      <c r="F294" s="8" t="n">
        <f aca="false">D294+E294</f>
        <v>1</v>
      </c>
    </row>
    <row r="295" customFormat="false" ht="15" hidden="false" customHeight="false" outlineLevel="0" collapsed="false">
      <c r="A295" s="8" t="s">
        <v>8562</v>
      </c>
      <c r="B295" s="8" t="s">
        <v>2734</v>
      </c>
      <c r="C295" s="8" t="s">
        <v>8272</v>
      </c>
      <c r="D295" s="8" t="n">
        <f aca="false">COUNTIF(Dishes!$M:$R,B295)</f>
        <v>3</v>
      </c>
      <c r="E295" s="8" t="n">
        <f aca="false">COUNTIF(Drinks!$N:$S,B295)</f>
        <v>0</v>
      </c>
      <c r="F295" s="8" t="n">
        <f aca="false">D295+E295</f>
        <v>3</v>
      </c>
    </row>
    <row r="296" customFormat="false" ht="15" hidden="false" customHeight="false" outlineLevel="0" collapsed="false">
      <c r="A296" s="8" t="s">
        <v>8563</v>
      </c>
      <c r="B296" s="8" t="s">
        <v>4059</v>
      </c>
      <c r="C296" s="8" t="s">
        <v>8272</v>
      </c>
      <c r="D296" s="8" t="n">
        <f aca="false">COUNTIF(Dishes!$M:$R,B296)</f>
        <v>1</v>
      </c>
      <c r="E296" s="8" t="n">
        <f aca="false">COUNTIF(Drinks!$N:$S,B296)</f>
        <v>0</v>
      </c>
      <c r="F296" s="8" t="n">
        <f aca="false">D296+E296</f>
        <v>1</v>
      </c>
    </row>
    <row r="297" customFormat="false" ht="15" hidden="false" customHeight="false" outlineLevel="0" collapsed="false">
      <c r="A297" s="8" t="s">
        <v>8564</v>
      </c>
      <c r="B297" s="8" t="s">
        <v>6080</v>
      </c>
      <c r="C297" s="8" t="s">
        <v>8265</v>
      </c>
      <c r="D297" s="8" t="n">
        <f aca="false">COUNTIF(Dishes!$M:$R,B297)</f>
        <v>0</v>
      </c>
      <c r="E297" s="8" t="n">
        <f aca="false">COUNTIF(Drinks!$N:$S,B297)</f>
        <v>2</v>
      </c>
      <c r="F297" s="8" t="n">
        <f aca="false">D297+E297</f>
        <v>2</v>
      </c>
    </row>
    <row r="298" customFormat="false" ht="15" hidden="false" customHeight="false" outlineLevel="0" collapsed="false">
      <c r="A298" s="8" t="s">
        <v>8565</v>
      </c>
      <c r="B298" s="8" t="s">
        <v>3117</v>
      </c>
      <c r="C298" s="8" t="s">
        <v>8265</v>
      </c>
      <c r="D298" s="8" t="n">
        <f aca="false">COUNTIF(Dishes!$M:$R,B298)</f>
        <v>3</v>
      </c>
      <c r="E298" s="8" t="n">
        <f aca="false">COUNTIF(Drinks!$N:$S,B298)</f>
        <v>0</v>
      </c>
      <c r="F298" s="8" t="n">
        <f aca="false">D298+E298</f>
        <v>3</v>
      </c>
    </row>
    <row r="299" customFormat="false" ht="15" hidden="false" customHeight="false" outlineLevel="0" collapsed="false">
      <c r="A299" s="8" t="s">
        <v>8566</v>
      </c>
      <c r="B299" s="8" t="s">
        <v>1031</v>
      </c>
      <c r="C299" s="8" t="s">
        <v>8265</v>
      </c>
      <c r="D299" s="8" t="n">
        <f aca="false">COUNTIF(Dishes!$M:$R,B299)</f>
        <v>5</v>
      </c>
      <c r="E299" s="8" t="n">
        <f aca="false">COUNTIF(Drinks!$N:$S,B299)</f>
        <v>0</v>
      </c>
      <c r="F299" s="8" t="n">
        <f aca="false">D299+E299</f>
        <v>5</v>
      </c>
    </row>
    <row r="300" customFormat="false" ht="15" hidden="false" customHeight="false" outlineLevel="0" collapsed="false">
      <c r="A300" s="8" t="s">
        <v>8567</v>
      </c>
      <c r="B300" s="8" t="s">
        <v>1767</v>
      </c>
      <c r="C300" s="8" t="s">
        <v>8261</v>
      </c>
      <c r="D300" s="8" t="n">
        <f aca="false">COUNTIF(Dishes!$M:$R,B300)</f>
        <v>1</v>
      </c>
      <c r="E300" s="8" t="n">
        <f aca="false">COUNTIF(Drinks!$N:$S,B300)</f>
        <v>0</v>
      </c>
      <c r="F300" s="8" t="n">
        <f aca="false">D300+E300</f>
        <v>1</v>
      </c>
    </row>
    <row r="301" customFormat="false" ht="15" hidden="false" customHeight="false" outlineLevel="0" collapsed="false">
      <c r="A301" s="8" t="s">
        <v>8568</v>
      </c>
      <c r="B301" s="8" t="s">
        <v>6376</v>
      </c>
      <c r="C301" s="8" t="s">
        <v>8344</v>
      </c>
      <c r="D301" s="8" t="n">
        <f aca="false">COUNTIF(Dishes!$M:$R,B301)</f>
        <v>0</v>
      </c>
      <c r="E301" s="8" t="n">
        <f aca="false">COUNTIF(Drinks!$N:$S,B301)</f>
        <v>1</v>
      </c>
      <c r="F301" s="8" t="n">
        <f aca="false">D301+E301</f>
        <v>1</v>
      </c>
    </row>
    <row r="302" customFormat="false" ht="15" hidden="false" customHeight="false" outlineLevel="0" collapsed="false">
      <c r="A302" s="8" t="s">
        <v>8569</v>
      </c>
      <c r="B302" s="8" t="s">
        <v>3939</v>
      </c>
      <c r="C302" s="8" t="s">
        <v>8344</v>
      </c>
      <c r="D302" s="8" t="n">
        <f aca="false">COUNTIF(Dishes!$M:$R,B302)</f>
        <v>1</v>
      </c>
      <c r="E302" s="8" t="n">
        <f aca="false">COUNTIF(Drinks!$N:$S,B302)</f>
        <v>7</v>
      </c>
      <c r="F302" s="8" t="n">
        <f aca="false">D302+E302</f>
        <v>8</v>
      </c>
    </row>
    <row r="303" customFormat="false" ht="15" hidden="false" customHeight="false" outlineLevel="0" collapsed="false">
      <c r="A303" s="8" t="s">
        <v>8570</v>
      </c>
      <c r="B303" s="8" t="s">
        <v>6395</v>
      </c>
      <c r="C303" s="8" t="s">
        <v>8268</v>
      </c>
      <c r="D303" s="8" t="n">
        <f aca="false">COUNTIF(Dishes!$M:$R,B303)</f>
        <v>0</v>
      </c>
      <c r="E303" s="8" t="n">
        <f aca="false">COUNTIF(Drinks!$N:$S,B303)</f>
        <v>1</v>
      </c>
      <c r="F303" s="8" t="n">
        <f aca="false">D303+E303</f>
        <v>1</v>
      </c>
    </row>
    <row r="304" customFormat="false" ht="15" hidden="false" customHeight="false" outlineLevel="0" collapsed="false">
      <c r="A304" s="8" t="s">
        <v>8571</v>
      </c>
      <c r="B304" s="8" t="s">
        <v>5393</v>
      </c>
      <c r="C304" s="8" t="s">
        <v>8265</v>
      </c>
      <c r="D304" s="8" t="n">
        <f aca="false">COUNTIF(Dishes!$M:$R,B304)</f>
        <v>1</v>
      </c>
      <c r="E304" s="8" t="n">
        <f aca="false">COUNTIF(Drinks!$N:$S,B304)</f>
        <v>1</v>
      </c>
      <c r="F304" s="8" t="n">
        <f aca="false">D304+E304</f>
        <v>2</v>
      </c>
    </row>
    <row r="305" customFormat="false" ht="15" hidden="false" customHeight="false" outlineLevel="0" collapsed="false">
      <c r="A305" s="8" t="s">
        <v>8572</v>
      </c>
      <c r="B305" s="8" t="s">
        <v>5479</v>
      </c>
      <c r="C305" s="8" t="s">
        <v>8272</v>
      </c>
      <c r="D305" s="8" t="n">
        <f aca="false">COUNTIF(Dishes!$M:$R,B305)</f>
        <v>2</v>
      </c>
      <c r="E305" s="8" t="n">
        <f aca="false">COUNTIF(Drinks!$N:$S,B305)</f>
        <v>0</v>
      </c>
      <c r="F305" s="8" t="n">
        <f aca="false">D305+E305</f>
        <v>2</v>
      </c>
    </row>
    <row r="306" customFormat="false" ht="15" hidden="false" customHeight="false" outlineLevel="0" collapsed="false">
      <c r="A306" s="8" t="s">
        <v>8573</v>
      </c>
      <c r="B306" s="8" t="s">
        <v>5774</v>
      </c>
      <c r="C306" s="8" t="s">
        <v>8298</v>
      </c>
      <c r="D306" s="8" t="n">
        <f aca="false">COUNTIF(Dishes!$M:$R,B306)</f>
        <v>1</v>
      </c>
      <c r="E306" s="8" t="n">
        <f aca="false">COUNTIF(Drinks!$N:$S,B306)</f>
        <v>0</v>
      </c>
      <c r="F306" s="8" t="n">
        <f aca="false">D306+E306</f>
        <v>1</v>
      </c>
    </row>
    <row r="307" customFormat="false" ht="15" hidden="false" customHeight="false" outlineLevel="0" collapsed="false">
      <c r="A307" s="8" t="s">
        <v>8574</v>
      </c>
      <c r="B307" s="8" t="s">
        <v>541</v>
      </c>
      <c r="C307" s="8" t="s">
        <v>8259</v>
      </c>
      <c r="D307" s="8" t="n">
        <f aca="false">COUNTIF(Dishes!$M:$R,B307)</f>
        <v>9</v>
      </c>
      <c r="E307" s="8" t="n">
        <f aca="false">COUNTIF(Drinks!$N:$S,B307)</f>
        <v>1</v>
      </c>
      <c r="F307" s="8" t="n">
        <f aca="false">D307+E307</f>
        <v>10</v>
      </c>
    </row>
    <row r="308" customFormat="false" ht="15" hidden="false" customHeight="false" outlineLevel="0" collapsed="false">
      <c r="A308" s="8" t="s">
        <v>8575</v>
      </c>
      <c r="B308" s="8" t="s">
        <v>741</v>
      </c>
      <c r="C308" s="8" t="s">
        <v>8259</v>
      </c>
      <c r="D308" s="8" t="n">
        <f aca="false">COUNTIF(Dishes!$M:$R,B308)</f>
        <v>4</v>
      </c>
      <c r="E308" s="8" t="n">
        <f aca="false">COUNTIF(Drinks!$N:$S,B308)</f>
        <v>0</v>
      </c>
      <c r="F308" s="8" t="n">
        <f aca="false">D308+E308</f>
        <v>4</v>
      </c>
    </row>
    <row r="309" customFormat="false" ht="15" hidden="false" customHeight="false" outlineLevel="0" collapsed="false">
      <c r="A309" s="8" t="s">
        <v>8576</v>
      </c>
      <c r="B309" s="8" t="s">
        <v>687</v>
      </c>
      <c r="C309" s="8" t="s">
        <v>8259</v>
      </c>
      <c r="D309" s="8" t="n">
        <f aca="false">COUNTIF(Dishes!$M:$R,B309)</f>
        <v>1</v>
      </c>
      <c r="E309" s="8" t="n">
        <f aca="false">COUNTIF(Drinks!$N:$S,B309)</f>
        <v>0</v>
      </c>
      <c r="F309" s="8" t="n">
        <f aca="false">D309+E309</f>
        <v>1</v>
      </c>
    </row>
    <row r="310" customFormat="false" ht="15" hidden="false" customHeight="false" outlineLevel="0" collapsed="false">
      <c r="A310" s="8" t="s">
        <v>8577</v>
      </c>
      <c r="B310" s="8" t="s">
        <v>325</v>
      </c>
      <c r="C310" s="8" t="s">
        <v>8259</v>
      </c>
      <c r="D310" s="8" t="n">
        <f aca="false">COUNTIF(Dishes!$M:$R,B310)</f>
        <v>1</v>
      </c>
      <c r="E310" s="8" t="n">
        <f aca="false">COUNTIF(Drinks!$N:$S,B310)</f>
        <v>0</v>
      </c>
      <c r="F310" s="8" t="n">
        <f aca="false">D310+E310</f>
        <v>1</v>
      </c>
    </row>
    <row r="311" customFormat="false" ht="15" hidden="false" customHeight="false" outlineLevel="0" collapsed="false">
      <c r="A311" s="8" t="s">
        <v>8578</v>
      </c>
      <c r="B311" s="8" t="s">
        <v>1813</v>
      </c>
      <c r="C311" s="8" t="s">
        <v>8287</v>
      </c>
      <c r="D311" s="8" t="n">
        <f aca="false">COUNTIF(Dishes!$M:$R,B311)</f>
        <v>1</v>
      </c>
      <c r="E311" s="8" t="n">
        <f aca="false">COUNTIF(Drinks!$N:$S,B311)</f>
        <v>0</v>
      </c>
      <c r="F311" s="8" t="n">
        <f aca="false">D311+E311</f>
        <v>1</v>
      </c>
    </row>
    <row r="312" customFormat="false" ht="15" hidden="false" customHeight="false" outlineLevel="0" collapsed="false">
      <c r="A312" s="8" t="s">
        <v>8579</v>
      </c>
      <c r="B312" s="8" t="s">
        <v>1050</v>
      </c>
      <c r="C312" s="8" t="s">
        <v>8272</v>
      </c>
      <c r="D312" s="8" t="n">
        <f aca="false">COUNTIF(Dishes!$M:$R,B312)</f>
        <v>3</v>
      </c>
      <c r="E312" s="8" t="n">
        <f aca="false">COUNTIF(Drinks!$N:$S,B312)</f>
        <v>0</v>
      </c>
      <c r="F312" s="8" t="n">
        <f aca="false">D312+E312</f>
        <v>3</v>
      </c>
    </row>
    <row r="313" customFormat="false" ht="15" hidden="false" customHeight="false" outlineLevel="0" collapsed="false">
      <c r="A313" s="8" t="s">
        <v>8580</v>
      </c>
      <c r="B313" s="8" t="s">
        <v>2683</v>
      </c>
      <c r="C313" s="8" t="s">
        <v>8298</v>
      </c>
      <c r="D313" s="8" t="n">
        <f aca="false">COUNTIF(Dishes!$M:$R,B313)</f>
        <v>1</v>
      </c>
      <c r="E313" s="8" t="n">
        <f aca="false">COUNTIF(Drinks!$N:$S,B313)</f>
        <v>0</v>
      </c>
      <c r="F313" s="8" t="n">
        <f aca="false">D313+E313</f>
        <v>1</v>
      </c>
    </row>
    <row r="314" customFormat="false" ht="15" hidden="false" customHeight="false" outlineLevel="0" collapsed="false">
      <c r="A314" s="8" t="s">
        <v>8581</v>
      </c>
      <c r="B314" s="8" t="s">
        <v>669</v>
      </c>
      <c r="C314" s="8" t="s">
        <v>8272</v>
      </c>
      <c r="D314" s="8" t="n">
        <f aca="false">COUNTIF(Dishes!$M:$R,B314)</f>
        <v>1</v>
      </c>
      <c r="E314" s="8" t="n">
        <f aca="false">COUNTIF(Drinks!$N:$S,B314)</f>
        <v>0</v>
      </c>
      <c r="F314" s="8" t="n">
        <f aca="false">D314+E314</f>
        <v>1</v>
      </c>
    </row>
    <row r="315" customFormat="false" ht="15" hidden="false" customHeight="false" outlineLevel="0" collapsed="false">
      <c r="A315" s="8" t="s">
        <v>8582</v>
      </c>
      <c r="B315" s="8" t="s">
        <v>3151</v>
      </c>
      <c r="C315" s="8" t="s">
        <v>8287</v>
      </c>
      <c r="D315" s="8" t="n">
        <f aca="false">COUNTIF(Dishes!$M:$R,B315)</f>
        <v>1</v>
      </c>
      <c r="E315" s="8" t="n">
        <f aca="false">COUNTIF(Drinks!$N:$S,B315)</f>
        <v>0</v>
      </c>
      <c r="F315" s="8" t="n">
        <f aca="false">D315+E315</f>
        <v>1</v>
      </c>
    </row>
    <row r="316" customFormat="false" ht="15" hidden="false" customHeight="false" outlineLevel="0" collapsed="false">
      <c r="A316" s="8" t="s">
        <v>8583</v>
      </c>
      <c r="B316" s="8" t="s">
        <v>3749</v>
      </c>
      <c r="C316" s="8" t="s">
        <v>8272</v>
      </c>
      <c r="D316" s="8" t="n">
        <f aca="false">COUNTIF(Dishes!$M:$R,B316)</f>
        <v>1</v>
      </c>
      <c r="E316" s="8" t="n">
        <f aca="false">COUNTIF(Drinks!$N:$S,B316)</f>
        <v>0</v>
      </c>
      <c r="F316" s="8" t="n">
        <f aca="false">D316+E316</f>
        <v>1</v>
      </c>
    </row>
    <row r="317" customFormat="false" ht="15" hidden="false" customHeight="false" outlineLevel="0" collapsed="false">
      <c r="A317" s="8" t="s">
        <v>8584</v>
      </c>
      <c r="B317" s="8" t="s">
        <v>3062</v>
      </c>
      <c r="C317" s="8" t="s">
        <v>8298</v>
      </c>
      <c r="D317" s="8" t="n">
        <f aca="false">COUNTIF(Dishes!$M:$R,B317)</f>
        <v>1</v>
      </c>
      <c r="E317" s="8" t="n">
        <f aca="false">COUNTIF(Drinks!$N:$S,B317)</f>
        <v>0</v>
      </c>
      <c r="F317" s="8" t="n">
        <f aca="false">D317+E317</f>
        <v>1</v>
      </c>
    </row>
    <row r="318" customFormat="false" ht="15" hidden="false" customHeight="false" outlineLevel="0" collapsed="false">
      <c r="A318" s="8" t="s">
        <v>8585</v>
      </c>
      <c r="B318" s="8" t="s">
        <v>2844</v>
      </c>
      <c r="C318" s="8" t="s">
        <v>8298</v>
      </c>
      <c r="D318" s="8" t="n">
        <f aca="false">COUNTIF(Dishes!$M:$R,B318)</f>
        <v>1</v>
      </c>
      <c r="E318" s="8" t="n">
        <f aca="false">COUNTIF(Drinks!$N:$S,B318)</f>
        <v>0</v>
      </c>
      <c r="F318" s="8" t="n">
        <f aca="false">D318+E318</f>
        <v>1</v>
      </c>
    </row>
    <row r="319" customFormat="false" ht="15" hidden="false" customHeight="false" outlineLevel="0" collapsed="false">
      <c r="A319" s="8" t="s">
        <v>8586</v>
      </c>
      <c r="B319" s="8" t="s">
        <v>1749</v>
      </c>
      <c r="C319" s="8" t="s">
        <v>8344</v>
      </c>
      <c r="D319" s="8" t="n">
        <f aca="false">COUNTIF(Dishes!$M:$R,B319)</f>
        <v>1</v>
      </c>
      <c r="E319" s="8" t="n">
        <f aca="false">COUNTIF(Drinks!$N:$S,B319)</f>
        <v>0</v>
      </c>
      <c r="F319" s="8" t="n">
        <f aca="false">D319+E319</f>
        <v>1</v>
      </c>
    </row>
    <row r="320" customFormat="false" ht="15" hidden="false" customHeight="false" outlineLevel="0" collapsed="false">
      <c r="A320" s="8" t="s">
        <v>8587</v>
      </c>
      <c r="B320" s="8" t="s">
        <v>4934</v>
      </c>
      <c r="C320" s="8" t="s">
        <v>8265</v>
      </c>
      <c r="D320" s="8" t="n">
        <f aca="false">COUNTIF(Dishes!$M:$R,B320)</f>
        <v>2</v>
      </c>
      <c r="E320" s="8" t="n">
        <f aca="false">COUNTIF(Drinks!$N:$S,B320)</f>
        <v>0</v>
      </c>
      <c r="F320" s="8" t="n">
        <f aca="false">D320+E320</f>
        <v>2</v>
      </c>
    </row>
    <row r="321" customFormat="false" ht="15" hidden="false" customHeight="false" outlineLevel="0" collapsed="false">
      <c r="A321" s="8" t="s">
        <v>8588</v>
      </c>
      <c r="B321" s="8" t="s">
        <v>3915</v>
      </c>
      <c r="C321" s="8" t="s">
        <v>8272</v>
      </c>
      <c r="D321" s="8" t="n">
        <f aca="false">COUNTIF(Dishes!$M:$R,B321)</f>
        <v>1</v>
      </c>
      <c r="E321" s="8" t="n">
        <f aca="false">COUNTIF(Drinks!$N:$S,B321)</f>
        <v>0</v>
      </c>
      <c r="F321" s="8" t="n">
        <f aca="false">D321+E321</f>
        <v>1</v>
      </c>
    </row>
    <row r="322" customFormat="false" ht="15" hidden="false" customHeight="false" outlineLevel="0" collapsed="false">
      <c r="A322" s="8" t="s">
        <v>8589</v>
      </c>
      <c r="B322" s="8" t="s">
        <v>4891</v>
      </c>
      <c r="C322" s="8" t="s">
        <v>8272</v>
      </c>
      <c r="D322" s="8" t="n">
        <f aca="false">COUNTIF(Dishes!$M:$R,B322)</f>
        <v>2</v>
      </c>
      <c r="E322" s="8" t="n">
        <f aca="false">COUNTIF(Drinks!$N:$S,B322)</f>
        <v>0</v>
      </c>
      <c r="F322" s="8" t="n">
        <f aca="false">D322+E322</f>
        <v>2</v>
      </c>
    </row>
    <row r="323" customFormat="false" ht="15" hidden="false" customHeight="false" outlineLevel="0" collapsed="false">
      <c r="A323" s="8" t="s">
        <v>8590</v>
      </c>
      <c r="B323" s="8" t="s">
        <v>4989</v>
      </c>
      <c r="C323" s="8" t="s">
        <v>8272</v>
      </c>
      <c r="D323" s="8" t="n">
        <f aca="false">COUNTIF(Dishes!$M:$R,B323)</f>
        <v>1</v>
      </c>
      <c r="E323" s="8" t="n">
        <f aca="false">COUNTIF(Drinks!$N:$S,B323)</f>
        <v>0</v>
      </c>
      <c r="F323" s="8" t="n">
        <f aca="false">D323+E323</f>
        <v>1</v>
      </c>
    </row>
    <row r="324" customFormat="false" ht="15" hidden="false" customHeight="false" outlineLevel="0" collapsed="false">
      <c r="A324" s="8" t="s">
        <v>8591</v>
      </c>
      <c r="B324" s="8" t="s">
        <v>4881</v>
      </c>
      <c r="C324" s="8" t="s">
        <v>8272</v>
      </c>
      <c r="D324" s="8" t="n">
        <f aca="false">COUNTIF(Dishes!$M:$R,B324)</f>
        <v>2</v>
      </c>
      <c r="E324" s="8" t="n">
        <f aca="false">COUNTIF(Drinks!$N:$S,B324)</f>
        <v>0</v>
      </c>
      <c r="F324" s="8" t="n">
        <f aca="false">D324+E324</f>
        <v>2</v>
      </c>
    </row>
    <row r="325" customFormat="false" ht="15" hidden="false" customHeight="false" outlineLevel="0" collapsed="false">
      <c r="A325" s="8" t="s">
        <v>8592</v>
      </c>
      <c r="B325" s="8" t="s">
        <v>6669</v>
      </c>
      <c r="C325" s="8" t="s">
        <v>8344</v>
      </c>
      <c r="D325" s="8" t="n">
        <f aca="false">COUNTIF(Dishes!$M:$R,B325)</f>
        <v>0</v>
      </c>
      <c r="E325" s="8" t="n">
        <f aca="false">COUNTIF(Drinks!$N:$S,B325)</f>
        <v>1</v>
      </c>
      <c r="F325" s="8" t="n">
        <f aca="false">D325+E325</f>
        <v>1</v>
      </c>
    </row>
    <row r="326" customFormat="false" ht="15" hidden="false" customHeight="false" outlineLevel="0" collapsed="false">
      <c r="A326" s="8" t="s">
        <v>8593</v>
      </c>
      <c r="B326" s="8" t="s">
        <v>6738</v>
      </c>
      <c r="C326" s="8" t="s">
        <v>8344</v>
      </c>
      <c r="D326" s="8" t="n">
        <f aca="false">COUNTIF(Dishes!$M:$R,B326)</f>
        <v>0</v>
      </c>
      <c r="E326" s="8" t="n">
        <f aca="false">COUNTIF(Drinks!$N:$S,B326)</f>
        <v>1</v>
      </c>
      <c r="F326" s="8" t="n">
        <f aca="false">D326+E326</f>
        <v>1</v>
      </c>
    </row>
    <row r="327" customFormat="false" ht="15" hidden="false" customHeight="false" outlineLevel="0" collapsed="false">
      <c r="A327" s="8" t="s">
        <v>8594</v>
      </c>
      <c r="B327" s="8" t="s">
        <v>1411</v>
      </c>
      <c r="C327" s="8" t="s">
        <v>8272</v>
      </c>
      <c r="D327" s="8" t="n">
        <f aca="false">COUNTIF(Dishes!$M:$R,B327)</f>
        <v>1</v>
      </c>
      <c r="E327" s="8" t="n">
        <f aca="false">COUNTIF(Drinks!$N:$S,B327)</f>
        <v>0</v>
      </c>
      <c r="F327" s="8" t="n">
        <f aca="false">D327+E327</f>
        <v>1</v>
      </c>
    </row>
    <row r="328" customFormat="false" ht="15" hidden="false" customHeight="false" outlineLevel="0" collapsed="false">
      <c r="A328" s="8" t="s">
        <v>8595</v>
      </c>
      <c r="B328" s="8" t="s">
        <v>311</v>
      </c>
      <c r="C328" s="8" t="s">
        <v>8274</v>
      </c>
      <c r="D328" s="8" t="n">
        <f aca="false">COUNTIF(Dishes!$M:$R,B328)</f>
        <v>5</v>
      </c>
      <c r="E328" s="8" t="n">
        <f aca="false">COUNTIF(Drinks!$N:$S,B328)</f>
        <v>0</v>
      </c>
      <c r="F328" s="8" t="n">
        <f aca="false">D328+E328</f>
        <v>5</v>
      </c>
    </row>
    <row r="329" customFormat="false" ht="15" hidden="false" customHeight="false" outlineLevel="0" collapsed="false">
      <c r="A329" s="8" t="s">
        <v>8596</v>
      </c>
      <c r="B329" s="8" t="s">
        <v>3731</v>
      </c>
      <c r="C329" s="8" t="s">
        <v>8274</v>
      </c>
      <c r="D329" s="8" t="n">
        <f aca="false">COUNTIF(Dishes!$M:$R,B329)</f>
        <v>1</v>
      </c>
      <c r="E329" s="8" t="n">
        <f aca="false">COUNTIF(Drinks!$N:$S,B329)</f>
        <v>0</v>
      </c>
      <c r="F329" s="8" t="n">
        <f aca="false">D329+E329</f>
        <v>1</v>
      </c>
    </row>
    <row r="330" customFormat="false" ht="15" hidden="false" customHeight="false" outlineLevel="0" collapsed="false">
      <c r="A330" s="8" t="s">
        <v>8597</v>
      </c>
      <c r="B330" s="8" t="s">
        <v>2912</v>
      </c>
      <c r="C330" s="8" t="s">
        <v>8274</v>
      </c>
      <c r="D330" s="8" t="n">
        <f aca="false">COUNTIF(Dishes!$M:$R,B330)</f>
        <v>2</v>
      </c>
      <c r="E330" s="8" t="n">
        <f aca="false">COUNTIF(Drinks!$N:$S,B330)</f>
        <v>0</v>
      </c>
      <c r="F330" s="8" t="n">
        <f aca="false">D330+E330</f>
        <v>2</v>
      </c>
    </row>
    <row r="331" customFormat="false" ht="15" hidden="false" customHeight="false" outlineLevel="0" collapsed="false">
      <c r="A331" s="8" t="s">
        <v>8598</v>
      </c>
      <c r="B331" s="8" t="s">
        <v>2594</v>
      </c>
      <c r="C331" s="8" t="s">
        <v>8274</v>
      </c>
      <c r="D331" s="8" t="n">
        <f aca="false">COUNTIF(Dishes!$M:$R,B331)</f>
        <v>1</v>
      </c>
      <c r="E331" s="8" t="n">
        <f aca="false">COUNTIF(Drinks!$N:$S,B331)</f>
        <v>0</v>
      </c>
      <c r="F331" s="8" t="n">
        <f aca="false">D331+E331</f>
        <v>1</v>
      </c>
    </row>
    <row r="332" customFormat="false" ht="15" hidden="false" customHeight="false" outlineLevel="0" collapsed="false">
      <c r="A332" s="8" t="s">
        <v>8599</v>
      </c>
      <c r="B332" s="8" t="s">
        <v>3149</v>
      </c>
      <c r="C332" s="8" t="s">
        <v>8274</v>
      </c>
      <c r="D332" s="8" t="n">
        <f aca="false">COUNTIF(Dishes!$M:$R,B332)</f>
        <v>8</v>
      </c>
      <c r="E332" s="8" t="n">
        <f aca="false">COUNTIF(Drinks!$N:$S,B332)</f>
        <v>0</v>
      </c>
      <c r="F332" s="8" t="n">
        <f aca="false">D332+E332</f>
        <v>8</v>
      </c>
    </row>
    <row r="333" customFormat="false" ht="15" hidden="false" customHeight="false" outlineLevel="0" collapsed="false">
      <c r="A333" s="8" t="s">
        <v>8600</v>
      </c>
      <c r="B333" s="8" t="s">
        <v>2603</v>
      </c>
      <c r="C333" s="8" t="s">
        <v>8259</v>
      </c>
      <c r="D333" s="8" t="n">
        <f aca="false">COUNTIF(Dishes!$M:$R,B333)</f>
        <v>1</v>
      </c>
      <c r="E333" s="8" t="n">
        <f aca="false">COUNTIF(Drinks!$N:$S,B333)</f>
        <v>0</v>
      </c>
      <c r="F333" s="8" t="n">
        <f aca="false">D333+E333</f>
        <v>1</v>
      </c>
    </row>
    <row r="334" customFormat="false" ht="15" hidden="false" customHeight="false" outlineLevel="0" collapsed="false">
      <c r="A334" s="8" t="s">
        <v>8601</v>
      </c>
      <c r="B334" s="8" t="s">
        <v>2804</v>
      </c>
      <c r="C334" s="8" t="s">
        <v>8272</v>
      </c>
      <c r="D334" s="8" t="n">
        <f aca="false">COUNTIF(Dishes!$M:$R,B334)</f>
        <v>2</v>
      </c>
      <c r="E334" s="8" t="n">
        <f aca="false">COUNTIF(Drinks!$N:$S,B334)</f>
        <v>0</v>
      </c>
      <c r="F334" s="8" t="n">
        <f aca="false">D334+E334</f>
        <v>2</v>
      </c>
    </row>
    <row r="335" customFormat="false" ht="15" hidden="false" customHeight="false" outlineLevel="0" collapsed="false">
      <c r="A335" s="8" t="s">
        <v>8602</v>
      </c>
      <c r="B335" s="8" t="s">
        <v>3792</v>
      </c>
      <c r="C335" s="8" t="s">
        <v>8276</v>
      </c>
      <c r="D335" s="8" t="n">
        <f aca="false">COUNTIF(Dishes!$M:$R,B335)</f>
        <v>1</v>
      </c>
      <c r="E335" s="8" t="n">
        <f aca="false">COUNTIF(Drinks!$N:$S,B335)</f>
        <v>0</v>
      </c>
      <c r="F335" s="8" t="n">
        <f aca="false">D335+E335</f>
        <v>1</v>
      </c>
    </row>
    <row r="336" customFormat="false" ht="15" hidden="false" customHeight="false" outlineLevel="0" collapsed="false">
      <c r="A336" s="8" t="s">
        <v>8603</v>
      </c>
      <c r="B336" s="8" t="s">
        <v>973</v>
      </c>
      <c r="C336" s="8" t="s">
        <v>8272</v>
      </c>
      <c r="D336" s="8" t="n">
        <f aca="false">COUNTIF(Dishes!$M:$R,B336)</f>
        <v>1</v>
      </c>
      <c r="E336" s="8" t="n">
        <f aca="false">COUNTIF(Drinks!$N:$S,B336)</f>
        <v>0</v>
      </c>
      <c r="F336" s="8" t="n">
        <f aca="false">D336+E336</f>
        <v>1</v>
      </c>
    </row>
    <row r="337" customFormat="false" ht="15" hidden="false" customHeight="false" outlineLevel="0" collapsed="false">
      <c r="A337" s="8" t="s">
        <v>8604</v>
      </c>
      <c r="B337" s="8" t="s">
        <v>3522</v>
      </c>
      <c r="C337" s="8" t="s">
        <v>8272</v>
      </c>
      <c r="D337" s="8" t="n">
        <f aca="false">COUNTIF(Dishes!$M:$R,B337)</f>
        <v>1</v>
      </c>
      <c r="E337" s="8" t="n">
        <f aca="false">COUNTIF(Drinks!$N:$S,B337)</f>
        <v>0</v>
      </c>
      <c r="F337" s="8" t="n">
        <f aca="false">D337+E337</f>
        <v>1</v>
      </c>
    </row>
    <row r="338" customFormat="false" ht="15" hidden="false" customHeight="false" outlineLevel="0" collapsed="false">
      <c r="A338" s="8" t="s">
        <v>8605</v>
      </c>
      <c r="B338" s="8" t="s">
        <v>854</v>
      </c>
      <c r="C338" s="8" t="s">
        <v>8272</v>
      </c>
      <c r="D338" s="8" t="n">
        <f aca="false">COUNTIF(Dishes!$M:$R,B338)</f>
        <v>3</v>
      </c>
      <c r="E338" s="8" t="n">
        <f aca="false">COUNTIF(Drinks!$N:$S,B338)</f>
        <v>0</v>
      </c>
      <c r="F338" s="8" t="n">
        <f aca="false">D338+E338</f>
        <v>3</v>
      </c>
    </row>
    <row r="339" customFormat="false" ht="15" hidden="false" customHeight="false" outlineLevel="0" collapsed="false">
      <c r="A339" s="8" t="s">
        <v>8606</v>
      </c>
      <c r="B339" s="8" t="s">
        <v>836</v>
      </c>
      <c r="C339" s="8" t="s">
        <v>8272</v>
      </c>
      <c r="D339" s="8" t="n">
        <f aca="false">COUNTIF(Dishes!$M:$R,B339)</f>
        <v>2</v>
      </c>
      <c r="E339" s="8" t="n">
        <f aca="false">COUNTIF(Drinks!$N:$S,B339)</f>
        <v>0</v>
      </c>
      <c r="F339" s="8" t="n">
        <f aca="false">D339+E339</f>
        <v>2</v>
      </c>
    </row>
    <row r="340" customFormat="false" ht="15" hidden="false" customHeight="false" outlineLevel="0" collapsed="false">
      <c r="A340" s="8" t="s">
        <v>8607</v>
      </c>
      <c r="B340" s="8" t="s">
        <v>5147</v>
      </c>
      <c r="C340" s="8" t="s">
        <v>8272</v>
      </c>
      <c r="D340" s="8" t="n">
        <f aca="false">COUNTIF(Dishes!$M:$R,B340)</f>
        <v>1</v>
      </c>
      <c r="E340" s="8" t="n">
        <f aca="false">COUNTIF(Drinks!$N:$S,B340)</f>
        <v>0</v>
      </c>
      <c r="F340" s="8" t="n">
        <f aca="false">D340+E340</f>
        <v>1</v>
      </c>
    </row>
    <row r="341" customFormat="false" ht="15" hidden="false" customHeight="false" outlineLevel="0" collapsed="false">
      <c r="A341" s="8" t="s">
        <v>8608</v>
      </c>
      <c r="B341" s="8" t="s">
        <v>5310</v>
      </c>
      <c r="C341" s="8" t="s">
        <v>8272</v>
      </c>
      <c r="D341" s="8" t="n">
        <f aca="false">COUNTIF(Dishes!$M:$R,B341)</f>
        <v>1</v>
      </c>
      <c r="E341" s="8" t="n">
        <f aca="false">COUNTIF(Drinks!$N:$S,B341)</f>
        <v>0</v>
      </c>
      <c r="F341" s="8" t="n">
        <f aca="false">D341+E341</f>
        <v>1</v>
      </c>
    </row>
    <row r="342" customFormat="false" ht="15" hidden="false" customHeight="false" outlineLevel="0" collapsed="false">
      <c r="A342" s="8" t="s">
        <v>8609</v>
      </c>
      <c r="B342" s="8" t="s">
        <v>5059</v>
      </c>
      <c r="C342" s="8" t="s">
        <v>8276</v>
      </c>
      <c r="D342" s="8" t="n">
        <f aca="false">COUNTIF(Dishes!$M:$R,B342)</f>
        <v>2</v>
      </c>
      <c r="E342" s="8" t="n">
        <f aca="false">COUNTIF(Drinks!$N:$S,B342)</f>
        <v>0</v>
      </c>
      <c r="F342" s="8" t="n">
        <f aca="false">D342+E342</f>
        <v>2</v>
      </c>
    </row>
    <row r="343" customFormat="false" ht="15" hidden="false" customHeight="false" outlineLevel="0" collapsed="false">
      <c r="A343" s="8" t="s">
        <v>8610</v>
      </c>
      <c r="B343" s="8" t="s">
        <v>2311</v>
      </c>
      <c r="C343" s="8" t="s">
        <v>8276</v>
      </c>
      <c r="D343" s="8" t="n">
        <f aca="false">COUNTIF(Dishes!$M:$R,B343)</f>
        <v>1</v>
      </c>
      <c r="E343" s="8" t="n">
        <f aca="false">COUNTIF(Drinks!$N:$S,B343)</f>
        <v>0</v>
      </c>
      <c r="F343" s="8" t="n">
        <f aca="false">D343+E343</f>
        <v>1</v>
      </c>
    </row>
    <row r="344" customFormat="false" ht="15" hidden="false" customHeight="false" outlineLevel="0" collapsed="false">
      <c r="A344" s="8" t="s">
        <v>8611</v>
      </c>
      <c r="B344" s="8" t="s">
        <v>6147</v>
      </c>
      <c r="C344" s="8" t="s">
        <v>8344</v>
      </c>
      <c r="D344" s="8" t="n">
        <f aca="false">COUNTIF(Dishes!$M:$R,B344)</f>
        <v>0</v>
      </c>
      <c r="E344" s="8" t="n">
        <f aca="false">COUNTIF(Drinks!$N:$S,B344)</f>
        <v>1</v>
      </c>
      <c r="F344" s="8" t="n">
        <f aca="false">D344+E344</f>
        <v>1</v>
      </c>
    </row>
    <row r="345" customFormat="false" ht="15" hidden="false" customHeight="false" outlineLevel="0" collapsed="false">
      <c r="A345" s="8" t="s">
        <v>8612</v>
      </c>
      <c r="B345" s="8" t="s">
        <v>6850</v>
      </c>
      <c r="C345" s="8" t="s">
        <v>8259</v>
      </c>
      <c r="D345" s="8" t="n">
        <f aca="false">COUNTIF(Dishes!$M:$R,B345)</f>
        <v>0</v>
      </c>
      <c r="E345" s="8" t="n">
        <f aca="false">COUNTIF(Drinks!$N:$S,B345)</f>
        <v>1</v>
      </c>
      <c r="F345" s="8" t="n">
        <f aca="false">D345+E345</f>
        <v>1</v>
      </c>
    </row>
    <row r="346" customFormat="false" ht="15" hidden="false" customHeight="false" outlineLevel="0" collapsed="false">
      <c r="A346" s="8" t="s">
        <v>8613</v>
      </c>
      <c r="B346" s="8" t="s">
        <v>1511</v>
      </c>
      <c r="C346" s="8" t="s">
        <v>8272</v>
      </c>
      <c r="D346" s="8" t="n">
        <f aca="false">COUNTIF(Dishes!$M:$R,B346)</f>
        <v>1</v>
      </c>
      <c r="E346" s="8" t="n">
        <f aca="false">COUNTIF(Drinks!$N:$S,B346)</f>
        <v>0</v>
      </c>
      <c r="F346" s="8" t="n">
        <f aca="false">D346+E346</f>
        <v>1</v>
      </c>
    </row>
    <row r="347" customFormat="false" ht="15" hidden="false" customHeight="false" outlineLevel="0" collapsed="false">
      <c r="A347" s="8" t="s">
        <v>8614</v>
      </c>
      <c r="B347" s="8" t="s">
        <v>2822</v>
      </c>
      <c r="C347" s="8" t="s">
        <v>8276</v>
      </c>
      <c r="D347" s="8" t="n">
        <f aca="false">COUNTIF(Dishes!$M:$R,B347)</f>
        <v>3</v>
      </c>
      <c r="E347" s="8" t="n">
        <f aca="false">COUNTIF(Drinks!$N:$S,B347)</f>
        <v>0</v>
      </c>
      <c r="F347" s="8" t="n">
        <f aca="false">D347+E347</f>
        <v>3</v>
      </c>
    </row>
    <row r="348" customFormat="false" ht="15" hidden="false" customHeight="false" outlineLevel="0" collapsed="false">
      <c r="A348" s="8" t="s">
        <v>8615</v>
      </c>
      <c r="B348" s="8" t="s">
        <v>4366</v>
      </c>
      <c r="C348" s="8" t="s">
        <v>8272</v>
      </c>
      <c r="D348" s="8" t="n">
        <f aca="false">COUNTIF(Dishes!$M:$R,B348)</f>
        <v>1</v>
      </c>
      <c r="E348" s="8" t="n">
        <f aca="false">COUNTIF(Drinks!$N:$S,B348)</f>
        <v>0</v>
      </c>
      <c r="F348" s="8" t="n">
        <f aca="false">D348+E348</f>
        <v>1</v>
      </c>
    </row>
    <row r="349" customFormat="false" ht="15" hidden="false" customHeight="false" outlineLevel="0" collapsed="false">
      <c r="A349" s="8" t="s">
        <v>8616</v>
      </c>
      <c r="B349" s="8" t="s">
        <v>3138</v>
      </c>
      <c r="C349" s="8" t="s">
        <v>8265</v>
      </c>
      <c r="D349" s="8" t="n">
        <f aca="false">COUNTIF(Dishes!$M:$R,B349)</f>
        <v>9</v>
      </c>
      <c r="E349" s="8" t="n">
        <f aca="false">COUNTIF(Drinks!$N:$S,B349)</f>
        <v>0</v>
      </c>
      <c r="F349" s="8" t="n">
        <f aca="false">D349+E349</f>
        <v>9</v>
      </c>
    </row>
    <row r="350" customFormat="false" ht="15" hidden="false" customHeight="false" outlineLevel="0" collapsed="false">
      <c r="A350" s="8" t="s">
        <v>8617</v>
      </c>
      <c r="B350" s="8" t="s">
        <v>710</v>
      </c>
      <c r="C350" s="8" t="s">
        <v>8259</v>
      </c>
      <c r="D350" s="8" t="n">
        <f aca="false">COUNTIF(Dishes!$M:$R,B350)</f>
        <v>1</v>
      </c>
      <c r="E350" s="8" t="n">
        <f aca="false">COUNTIF(Drinks!$N:$S,B350)</f>
        <v>0</v>
      </c>
      <c r="F350" s="8" t="n">
        <f aca="false">D350+E350</f>
        <v>1</v>
      </c>
    </row>
    <row r="351" customFormat="false" ht="15" hidden="false" customHeight="false" outlineLevel="0" collapsed="false">
      <c r="A351" s="8" t="s">
        <v>8618</v>
      </c>
      <c r="B351" s="8" t="s">
        <v>3574</v>
      </c>
      <c r="C351" s="8" t="s">
        <v>8272</v>
      </c>
      <c r="D351" s="8" t="n">
        <f aca="false">COUNTIF(Dishes!$M:$R,B351)</f>
        <v>1</v>
      </c>
      <c r="E351" s="8" t="n">
        <f aca="false">COUNTIF(Drinks!$N:$S,B351)</f>
        <v>0</v>
      </c>
      <c r="F351" s="8" t="n">
        <f aca="false">D351+E351</f>
        <v>1</v>
      </c>
    </row>
    <row r="352" customFormat="false" ht="15" hidden="false" customHeight="false" outlineLevel="0" collapsed="false">
      <c r="A352" s="8" t="s">
        <v>8619</v>
      </c>
      <c r="B352" s="8" t="s">
        <v>1330</v>
      </c>
      <c r="C352" s="8" t="s">
        <v>8287</v>
      </c>
      <c r="D352" s="8" t="n">
        <f aca="false">COUNTIF(Dishes!$M:$R,B352)</f>
        <v>8</v>
      </c>
      <c r="E352" s="8" t="n">
        <f aca="false">COUNTIF(Drinks!$N:$S,B352)</f>
        <v>0</v>
      </c>
      <c r="F352" s="8" t="n">
        <f aca="false">D352+E352</f>
        <v>8</v>
      </c>
    </row>
    <row r="353" customFormat="false" ht="15" hidden="false" customHeight="false" outlineLevel="0" collapsed="false">
      <c r="A353" s="8" t="s">
        <v>8620</v>
      </c>
      <c r="B353" s="8" t="s">
        <v>520</v>
      </c>
      <c r="C353" s="8" t="s">
        <v>8257</v>
      </c>
      <c r="D353" s="8" t="n">
        <f aca="false">COUNTIF(Dishes!$M:$R,B353)</f>
        <v>1</v>
      </c>
      <c r="E353" s="8" t="n">
        <f aca="false">COUNTIF(Drinks!$N:$S,B353)</f>
        <v>0</v>
      </c>
      <c r="F353" s="8" t="n">
        <f aca="false">D353+E353</f>
        <v>1</v>
      </c>
    </row>
    <row r="354" customFormat="false" ht="15" hidden="false" customHeight="false" outlineLevel="0" collapsed="false">
      <c r="A354" s="8" t="s">
        <v>8621</v>
      </c>
      <c r="B354" s="8" t="s">
        <v>3960</v>
      </c>
      <c r="C354" s="8" t="s">
        <v>8272</v>
      </c>
      <c r="D354" s="8" t="n">
        <f aca="false">COUNTIF(Dishes!$M:$R,B354)</f>
        <v>1</v>
      </c>
      <c r="E354" s="8" t="n">
        <f aca="false">COUNTIF(Drinks!$N:$S,B354)</f>
        <v>0</v>
      </c>
      <c r="F354" s="8" t="n">
        <f aca="false">D354+E354</f>
        <v>1</v>
      </c>
    </row>
    <row r="355" customFormat="false" ht="15" hidden="false" customHeight="false" outlineLevel="0" collapsed="false">
      <c r="A355" s="8" t="s">
        <v>8622</v>
      </c>
      <c r="B355" s="8" t="s">
        <v>5656</v>
      </c>
      <c r="C355" s="8" t="s">
        <v>8272</v>
      </c>
      <c r="D355" s="8" t="n">
        <f aca="false">COUNTIF(Dishes!$M:$R,B355)</f>
        <v>1</v>
      </c>
      <c r="E355" s="8" t="n">
        <f aca="false">COUNTIF(Drinks!$N:$S,B355)</f>
        <v>0</v>
      </c>
      <c r="F355" s="8" t="n">
        <f aca="false">D355+E355</f>
        <v>1</v>
      </c>
    </row>
    <row r="356" customFormat="false" ht="15" hidden="false" customHeight="false" outlineLevel="0" collapsed="false">
      <c r="A356" s="8" t="s">
        <v>8623</v>
      </c>
      <c r="B356" s="8" t="s">
        <v>2415</v>
      </c>
      <c r="C356" s="8" t="s">
        <v>8287</v>
      </c>
      <c r="D356" s="8" t="n">
        <f aca="false">COUNTIF(Dishes!$M:$R,B356)</f>
        <v>1</v>
      </c>
      <c r="E356" s="8" t="n">
        <f aca="false">COUNTIF(Drinks!$N:$S,B356)</f>
        <v>0</v>
      </c>
      <c r="F356" s="8" t="n">
        <f aca="false">D356+E356</f>
        <v>1</v>
      </c>
    </row>
    <row r="357" customFormat="false" ht="15" hidden="false" customHeight="false" outlineLevel="0" collapsed="false">
      <c r="A357" s="8" t="s">
        <v>8624</v>
      </c>
      <c r="B357" s="8" t="s">
        <v>4358</v>
      </c>
      <c r="C357" s="8" t="s">
        <v>8287</v>
      </c>
      <c r="D357" s="8" t="n">
        <f aca="false">COUNTIF(Dishes!$M:$R,B357)</f>
        <v>1</v>
      </c>
      <c r="E357" s="8" t="n">
        <f aca="false">COUNTIF(Drinks!$N:$S,B357)</f>
        <v>0</v>
      </c>
      <c r="F357" s="8" t="n">
        <f aca="false">D357+E357</f>
        <v>1</v>
      </c>
    </row>
    <row r="358" customFormat="false" ht="15" hidden="false" customHeight="false" outlineLevel="0" collapsed="false">
      <c r="A358" s="8" t="s">
        <v>8625</v>
      </c>
      <c r="B358" s="8" t="s">
        <v>4000</v>
      </c>
      <c r="C358" s="8" t="s">
        <v>8272</v>
      </c>
      <c r="D358" s="8" t="n">
        <f aca="false">COUNTIF(Dishes!$M:$R,B358)</f>
        <v>1</v>
      </c>
      <c r="E358" s="8" t="n">
        <f aca="false">COUNTIF(Drinks!$N:$S,B358)</f>
        <v>0</v>
      </c>
      <c r="F358" s="8" t="n">
        <f aca="false">D358+E358</f>
        <v>1</v>
      </c>
    </row>
    <row r="359" customFormat="false" ht="15" hidden="false" customHeight="false" outlineLevel="0" collapsed="false">
      <c r="A359" s="8" t="s">
        <v>8626</v>
      </c>
      <c r="B359" s="8" t="s">
        <v>5335</v>
      </c>
      <c r="C359" s="8" t="s">
        <v>8272</v>
      </c>
      <c r="D359" s="8" t="n">
        <f aca="false">COUNTIF(Dishes!$M:$R,B359)</f>
        <v>1</v>
      </c>
      <c r="E359" s="8" t="n">
        <f aca="false">COUNTIF(Drinks!$N:$S,B359)</f>
        <v>0</v>
      </c>
      <c r="F359" s="8" t="n">
        <f aca="false">D359+E359</f>
        <v>1</v>
      </c>
    </row>
    <row r="360" customFormat="false" ht="15" hidden="false" customHeight="false" outlineLevel="0" collapsed="false">
      <c r="A360" s="8" t="s">
        <v>8627</v>
      </c>
      <c r="B360" s="8" t="s">
        <v>4214</v>
      </c>
      <c r="C360" s="8" t="s">
        <v>8287</v>
      </c>
      <c r="D360" s="8" t="n">
        <f aca="false">COUNTIF(Dishes!$M:$R,B360)</f>
        <v>6</v>
      </c>
      <c r="E360" s="8" t="n">
        <f aca="false">COUNTIF(Drinks!$N:$S,B360)</f>
        <v>0</v>
      </c>
      <c r="F360" s="8" t="n">
        <f aca="false">D360+E360</f>
        <v>6</v>
      </c>
    </row>
    <row r="361" customFormat="false" ht="15" hidden="false" customHeight="false" outlineLevel="0" collapsed="false">
      <c r="A361" s="8" t="s">
        <v>8628</v>
      </c>
      <c r="B361" s="8" t="s">
        <v>326</v>
      </c>
      <c r="C361" s="8" t="s">
        <v>8272</v>
      </c>
      <c r="D361" s="8" t="n">
        <f aca="false">COUNTIF(Dishes!$M:$R,B361)</f>
        <v>1</v>
      </c>
      <c r="E361" s="8" t="n">
        <f aca="false">COUNTIF(Drinks!$N:$S,B361)</f>
        <v>0</v>
      </c>
      <c r="F361" s="8" t="n">
        <f aca="false">D361+E361</f>
        <v>1</v>
      </c>
    </row>
    <row r="362" customFormat="false" ht="15" hidden="false" customHeight="false" outlineLevel="0" collapsed="false">
      <c r="A362" s="8" t="s">
        <v>8629</v>
      </c>
      <c r="B362" s="8" t="s">
        <v>7092</v>
      </c>
      <c r="C362" s="8" t="s">
        <v>8265</v>
      </c>
      <c r="D362" s="8" t="n">
        <f aca="false">COUNTIF(Dishes!$M:$R,B362)</f>
        <v>0</v>
      </c>
      <c r="E362" s="8" t="n">
        <f aca="false">COUNTIF(Drinks!$N:$S,B362)</f>
        <v>1</v>
      </c>
      <c r="F362" s="8" t="n">
        <f aca="false">D362+E362</f>
        <v>1</v>
      </c>
    </row>
    <row r="363" customFormat="false" ht="15" hidden="false" customHeight="false" outlineLevel="0" collapsed="false">
      <c r="A363" s="8" t="s">
        <v>8630</v>
      </c>
      <c r="B363" s="8" t="s">
        <v>3294</v>
      </c>
      <c r="C363" s="8" t="s">
        <v>8261</v>
      </c>
      <c r="D363" s="8" t="n">
        <f aca="false">COUNTIF(Dishes!$M:$R,B363)</f>
        <v>3</v>
      </c>
      <c r="E363" s="8" t="n">
        <f aca="false">COUNTIF(Drinks!$N:$S,B363)</f>
        <v>0</v>
      </c>
      <c r="F363" s="8" t="n">
        <f aca="false">D363+E363</f>
        <v>3</v>
      </c>
    </row>
    <row r="364" customFormat="false" ht="15" hidden="false" customHeight="false" outlineLevel="0" collapsed="false">
      <c r="A364" s="8" t="s">
        <v>8631</v>
      </c>
      <c r="B364" s="8" t="s">
        <v>7013</v>
      </c>
      <c r="C364" s="8" t="s">
        <v>8263</v>
      </c>
      <c r="D364" s="8" t="n">
        <f aca="false">COUNTIF(Dishes!$M:$R,B364)</f>
        <v>0</v>
      </c>
      <c r="E364" s="8" t="n">
        <f aca="false">COUNTIF(Drinks!$N:$S,B364)</f>
        <v>1</v>
      </c>
      <c r="F364" s="8" t="n">
        <f aca="false">D364+E364</f>
        <v>1</v>
      </c>
    </row>
    <row r="365" customFormat="false" ht="15" hidden="false" customHeight="false" outlineLevel="0" collapsed="false">
      <c r="A365" s="8" t="s">
        <v>8632</v>
      </c>
      <c r="B365" s="8" t="s">
        <v>3319</v>
      </c>
      <c r="C365" s="8" t="s">
        <v>8259</v>
      </c>
      <c r="D365" s="8" t="n">
        <f aca="false">COUNTIF(Dishes!$M:$R,B365)</f>
        <v>2</v>
      </c>
      <c r="E365" s="8" t="n">
        <f aca="false">COUNTIF(Drinks!$N:$S,B365)</f>
        <v>0</v>
      </c>
      <c r="F365" s="8" t="n">
        <f aca="false">D365+E365</f>
        <v>2</v>
      </c>
    </row>
    <row r="366" customFormat="false" ht="15" hidden="false" customHeight="false" outlineLevel="0" collapsed="false">
      <c r="A366" s="8" t="s">
        <v>8633</v>
      </c>
      <c r="B366" s="8" t="s">
        <v>4233</v>
      </c>
      <c r="C366" s="8" t="s">
        <v>8282</v>
      </c>
      <c r="D366" s="8" t="n">
        <f aca="false">COUNTIF(Dishes!$M:$R,B366)</f>
        <v>1</v>
      </c>
      <c r="E366" s="8" t="n">
        <f aca="false">COUNTIF(Drinks!$N:$S,B366)</f>
        <v>0</v>
      </c>
      <c r="F366" s="8" t="n">
        <f aca="false">D366+E366</f>
        <v>1</v>
      </c>
    </row>
    <row r="367" customFormat="false" ht="15" hidden="false" customHeight="false" outlineLevel="0" collapsed="false">
      <c r="A367" s="8" t="s">
        <v>8634</v>
      </c>
      <c r="B367" s="8" t="s">
        <v>4072</v>
      </c>
      <c r="C367" s="8" t="s">
        <v>8259</v>
      </c>
      <c r="D367" s="8" t="n">
        <f aca="false">COUNTIF(Dishes!$M:$R,B367)</f>
        <v>2</v>
      </c>
      <c r="E367" s="8" t="n">
        <f aca="false">COUNTIF(Drinks!$N:$S,B367)</f>
        <v>1</v>
      </c>
      <c r="F367" s="8" t="n">
        <f aca="false">D367+E367</f>
        <v>3</v>
      </c>
    </row>
    <row r="368" customFormat="false" ht="15" hidden="false" customHeight="false" outlineLevel="0" collapsed="false">
      <c r="A368" s="8" t="s">
        <v>8635</v>
      </c>
      <c r="B368" s="8" t="s">
        <v>4824</v>
      </c>
      <c r="C368" s="8" t="s">
        <v>8265</v>
      </c>
      <c r="D368" s="8" t="n">
        <f aca="false">COUNTIF(Dishes!$M:$R,B368)</f>
        <v>1</v>
      </c>
      <c r="E368" s="8" t="n">
        <f aca="false">COUNTIF(Drinks!$N:$S,B368)</f>
        <v>0</v>
      </c>
      <c r="F368" s="8" t="n">
        <f aca="false">D368+E368</f>
        <v>1</v>
      </c>
    </row>
    <row r="369" customFormat="false" ht="15" hidden="false" customHeight="false" outlineLevel="0" collapsed="false">
      <c r="A369" s="8" t="s">
        <v>8636</v>
      </c>
      <c r="B369" s="8" t="s">
        <v>801</v>
      </c>
      <c r="C369" s="8" t="s">
        <v>8257</v>
      </c>
      <c r="D369" s="8" t="n">
        <f aca="false">COUNTIF(Dishes!$M:$R,B369)</f>
        <v>1</v>
      </c>
      <c r="E369" s="8" t="n">
        <f aca="false">COUNTIF(Drinks!$N:$S,B369)</f>
        <v>0</v>
      </c>
      <c r="F369" s="8" t="n">
        <f aca="false">D369+E369</f>
        <v>1</v>
      </c>
    </row>
    <row r="370" customFormat="false" ht="15" hidden="false" customHeight="false" outlineLevel="0" collapsed="false">
      <c r="A370" s="8" t="s">
        <v>8637</v>
      </c>
      <c r="B370" s="8" t="s">
        <v>5633</v>
      </c>
      <c r="C370" s="8" t="s">
        <v>8257</v>
      </c>
      <c r="D370" s="8" t="n">
        <f aca="false">COUNTIF(Dishes!$M:$R,B370)</f>
        <v>1</v>
      </c>
      <c r="E370" s="8" t="n">
        <f aca="false">COUNTIF(Drinks!$N:$S,B370)</f>
        <v>0</v>
      </c>
      <c r="F370" s="8" t="n">
        <f aca="false">D370+E370</f>
        <v>1</v>
      </c>
    </row>
    <row r="371" customFormat="false" ht="15" hidden="false" customHeight="false" outlineLevel="0" collapsed="false">
      <c r="A371" s="8" t="s">
        <v>8638</v>
      </c>
      <c r="B371" s="8" t="s">
        <v>3950</v>
      </c>
      <c r="C371" s="8" t="s">
        <v>8257</v>
      </c>
      <c r="D371" s="8" t="n">
        <f aca="false">COUNTIF(Dishes!$M:$R,B371)</f>
        <v>1</v>
      </c>
      <c r="E371" s="8" t="n">
        <f aca="false">COUNTIF(Drinks!$N:$S,B371)</f>
        <v>0</v>
      </c>
      <c r="F371" s="8" t="n">
        <f aca="false">D371+E371</f>
        <v>1</v>
      </c>
    </row>
    <row r="372" customFormat="false" ht="15" hidden="false" customHeight="false" outlineLevel="0" collapsed="false">
      <c r="A372" s="8" t="s">
        <v>8639</v>
      </c>
      <c r="B372" s="8" t="s">
        <v>4047</v>
      </c>
      <c r="C372" s="8" t="s">
        <v>8265</v>
      </c>
      <c r="D372" s="8" t="n">
        <f aca="false">COUNTIF(Dishes!$M:$R,B372)</f>
        <v>1</v>
      </c>
      <c r="E372" s="8" t="n">
        <f aca="false">COUNTIF(Drinks!$N:$S,B372)</f>
        <v>0</v>
      </c>
      <c r="F372" s="8" t="n">
        <f aca="false">D372+E372</f>
        <v>1</v>
      </c>
    </row>
    <row r="373" customFormat="false" ht="15" hidden="false" customHeight="false" outlineLevel="0" collapsed="false">
      <c r="A373" s="8" t="s">
        <v>8640</v>
      </c>
      <c r="B373" s="8" t="s">
        <v>1999</v>
      </c>
      <c r="C373" s="8" t="s">
        <v>8265</v>
      </c>
      <c r="D373" s="8" t="n">
        <f aca="false">COUNTIF(Dishes!$M:$R,B373)</f>
        <v>1</v>
      </c>
      <c r="E373" s="8" t="n">
        <f aca="false">COUNTIF(Drinks!$N:$S,B373)</f>
        <v>0</v>
      </c>
      <c r="F373" s="8" t="n">
        <f aca="false">D373+E373</f>
        <v>1</v>
      </c>
    </row>
    <row r="374" customFormat="false" ht="15" hidden="false" customHeight="false" outlineLevel="0" collapsed="false">
      <c r="A374" s="8" t="s">
        <v>8641</v>
      </c>
      <c r="B374" s="8" t="s">
        <v>4307</v>
      </c>
      <c r="C374" s="8" t="s">
        <v>8257</v>
      </c>
      <c r="D374" s="8" t="n">
        <f aca="false">COUNTIF(Dishes!$M:$R,B374)</f>
        <v>1</v>
      </c>
      <c r="E374" s="8" t="n">
        <f aca="false">COUNTIF(Drinks!$N:$S,B374)</f>
        <v>0</v>
      </c>
      <c r="F374" s="8" t="n">
        <f aca="false">D374+E374</f>
        <v>1</v>
      </c>
    </row>
    <row r="375" customFormat="false" ht="15" hidden="false" customHeight="false" outlineLevel="0" collapsed="false">
      <c r="A375" s="8" t="s">
        <v>8642</v>
      </c>
      <c r="B375" s="8" t="s">
        <v>6009</v>
      </c>
      <c r="C375" s="8" t="s">
        <v>8268</v>
      </c>
      <c r="D375" s="8" t="n">
        <f aca="false">COUNTIF(Dishes!$M:$R,B375)</f>
        <v>0</v>
      </c>
      <c r="E375" s="8" t="n">
        <f aca="false">COUNTIF(Drinks!$N:$S,B375)</f>
        <v>9</v>
      </c>
      <c r="F375" s="8" t="n">
        <f aca="false">D375+E375</f>
        <v>9</v>
      </c>
    </row>
    <row r="376" customFormat="false" ht="15" hidden="false" customHeight="false" outlineLevel="0" collapsed="false">
      <c r="A376" s="8" t="s">
        <v>8643</v>
      </c>
      <c r="B376" s="8" t="s">
        <v>2834</v>
      </c>
      <c r="C376" s="8" t="s">
        <v>8259</v>
      </c>
      <c r="D376" s="8" t="n">
        <f aca="false">COUNTIF(Dishes!$M:$R,B376)</f>
        <v>1</v>
      </c>
      <c r="E376" s="8" t="n">
        <f aca="false">COUNTIF(Drinks!$N:$S,B376)</f>
        <v>6</v>
      </c>
      <c r="F376" s="8" t="n">
        <f aca="false">D376+E376</f>
        <v>7</v>
      </c>
    </row>
    <row r="377" customFormat="false" ht="15" hidden="false" customHeight="false" outlineLevel="0" collapsed="false">
      <c r="A377" s="8" t="s">
        <v>8644</v>
      </c>
      <c r="B377" s="8" t="s">
        <v>7048</v>
      </c>
      <c r="C377" s="8" t="s">
        <v>8344</v>
      </c>
      <c r="D377" s="8" t="n">
        <f aca="false">COUNTIF(Dishes!$M:$R,B377)</f>
        <v>0</v>
      </c>
      <c r="E377" s="8" t="n">
        <f aca="false">COUNTIF(Drinks!$N:$S,B377)</f>
        <v>1</v>
      </c>
      <c r="F377" s="8" t="n">
        <f aca="false">D377+E377</f>
        <v>1</v>
      </c>
    </row>
    <row r="378" customFormat="false" ht="15" hidden="false" customHeight="false" outlineLevel="0" collapsed="false">
      <c r="A378" s="8" t="s">
        <v>8645</v>
      </c>
      <c r="B378" s="8" t="s">
        <v>6069</v>
      </c>
      <c r="C378" s="8" t="s">
        <v>8344</v>
      </c>
      <c r="D378" s="8" t="n">
        <f aca="false">COUNTIF(Dishes!$M:$R,B378)</f>
        <v>0</v>
      </c>
      <c r="E378" s="8" t="n">
        <f aca="false">COUNTIF(Drinks!$N:$S,B378)</f>
        <v>2</v>
      </c>
      <c r="F378" s="8" t="n">
        <f aca="false">D378+E378</f>
        <v>2</v>
      </c>
    </row>
    <row r="379" customFormat="false" ht="15" hidden="false" customHeight="false" outlineLevel="0" collapsed="false">
      <c r="A379" s="8" t="s">
        <v>8646</v>
      </c>
      <c r="B379" s="8" t="s">
        <v>2767</v>
      </c>
      <c r="C379" s="8" t="s">
        <v>8282</v>
      </c>
      <c r="D379" s="8" t="n">
        <f aca="false">COUNTIF(Dishes!$M:$R,B379)</f>
        <v>1</v>
      </c>
      <c r="E379" s="8" t="n">
        <f aca="false">COUNTIF(Drinks!$N:$S,B379)</f>
        <v>0</v>
      </c>
      <c r="F379" s="8" t="n">
        <f aca="false">D379+E379</f>
        <v>1</v>
      </c>
    </row>
    <row r="380" customFormat="false" ht="15" hidden="false" customHeight="false" outlineLevel="0" collapsed="false">
      <c r="A380" s="8" t="s">
        <v>8647</v>
      </c>
      <c r="B380" s="8" t="s">
        <v>4635</v>
      </c>
      <c r="C380" s="8" t="s">
        <v>8272</v>
      </c>
      <c r="D380" s="8" t="n">
        <f aca="false">COUNTIF(Dishes!$M:$R,B380)</f>
        <v>1</v>
      </c>
      <c r="E380" s="8" t="n">
        <f aca="false">COUNTIF(Drinks!$N:$S,B380)</f>
        <v>0</v>
      </c>
      <c r="F380" s="8" t="n">
        <f aca="false">D380+E380</f>
        <v>1</v>
      </c>
    </row>
    <row r="381" customFormat="false" ht="15" hidden="false" customHeight="false" outlineLevel="0" collapsed="false">
      <c r="A381" s="8" t="s">
        <v>8648</v>
      </c>
      <c r="B381" s="8" t="s">
        <v>3228</v>
      </c>
      <c r="C381" s="8" t="s">
        <v>8287</v>
      </c>
      <c r="D381" s="8" t="n">
        <f aca="false">COUNTIF(Dishes!$M:$R,B381)</f>
        <v>1</v>
      </c>
      <c r="E381" s="8" t="n">
        <f aca="false">COUNTIF(Drinks!$N:$S,B381)</f>
        <v>0</v>
      </c>
      <c r="F381" s="8" t="n">
        <f aca="false">D381+E381</f>
        <v>1</v>
      </c>
    </row>
    <row r="382" customFormat="false" ht="15" hidden="false" customHeight="false" outlineLevel="0" collapsed="false">
      <c r="A382" s="8" t="s">
        <v>8649</v>
      </c>
      <c r="B382" s="8" t="s">
        <v>3185</v>
      </c>
      <c r="C382" s="8" t="s">
        <v>8272</v>
      </c>
      <c r="D382" s="8" t="n">
        <f aca="false">COUNTIF(Dishes!$M:$R,B382)</f>
        <v>2</v>
      </c>
      <c r="E382" s="8" t="n">
        <f aca="false">COUNTIF(Drinks!$N:$S,B382)</f>
        <v>0</v>
      </c>
      <c r="F382" s="8" t="n">
        <f aca="false">D382+E382</f>
        <v>2</v>
      </c>
    </row>
    <row r="383" customFormat="false" ht="15" hidden="false" customHeight="false" outlineLevel="0" collapsed="false">
      <c r="A383" s="8" t="s">
        <v>8650</v>
      </c>
      <c r="B383" s="8" t="s">
        <v>2971</v>
      </c>
      <c r="C383" s="8" t="s">
        <v>8257</v>
      </c>
      <c r="D383" s="8" t="n">
        <f aca="false">COUNTIF(Dishes!$M:$R,B383)</f>
        <v>1</v>
      </c>
      <c r="E383" s="8" t="n">
        <f aca="false">COUNTIF(Drinks!$N:$S,B383)</f>
        <v>0</v>
      </c>
      <c r="F383" s="8" t="n">
        <f aca="false">D383+E383</f>
        <v>1</v>
      </c>
    </row>
    <row r="384" customFormat="false" ht="15" hidden="false" customHeight="false" outlineLevel="0" collapsed="false">
      <c r="A384" s="8" t="s">
        <v>8651</v>
      </c>
      <c r="B384" s="8" t="s">
        <v>6517</v>
      </c>
      <c r="C384" s="8" t="s">
        <v>8261</v>
      </c>
      <c r="D384" s="8" t="n">
        <f aca="false">COUNTIF(Dishes!$M:$R,B384)</f>
        <v>0</v>
      </c>
      <c r="E384" s="8" t="n">
        <f aca="false">COUNTIF(Drinks!$N:$S,B384)</f>
        <v>1</v>
      </c>
      <c r="F384" s="8" t="n">
        <f aca="false">D384+E384</f>
        <v>1</v>
      </c>
    </row>
    <row r="385" customFormat="false" ht="15" hidden="false" customHeight="false" outlineLevel="0" collapsed="false">
      <c r="A385" s="8" t="s">
        <v>8652</v>
      </c>
      <c r="B385" s="8" t="s">
        <v>2780</v>
      </c>
      <c r="C385" s="8" t="s">
        <v>8272</v>
      </c>
      <c r="D385" s="8" t="n">
        <f aca="false">COUNTIF(Dishes!$M:$R,B385)</f>
        <v>4</v>
      </c>
      <c r="E385" s="8" t="n">
        <f aca="false">COUNTIF(Drinks!$N:$S,B385)</f>
        <v>0</v>
      </c>
      <c r="F385" s="8" t="n">
        <f aca="false">D385+E385</f>
        <v>4</v>
      </c>
    </row>
    <row r="386" customFormat="false" ht="15" hidden="false" customHeight="false" outlineLevel="0" collapsed="false">
      <c r="A386" s="8" t="s">
        <v>8653</v>
      </c>
      <c r="B386" s="8" t="s">
        <v>2769</v>
      </c>
      <c r="C386" s="8" t="s">
        <v>8272</v>
      </c>
      <c r="D386" s="8" t="n">
        <f aca="false">COUNTIF(Dishes!$M:$R,B386)</f>
        <v>1</v>
      </c>
      <c r="E386" s="8" t="n">
        <f aca="false">COUNTIF(Drinks!$N:$S,B386)</f>
        <v>0</v>
      </c>
      <c r="F386" s="8" t="n">
        <f aca="false">D386+E386</f>
        <v>1</v>
      </c>
    </row>
    <row r="387" customFormat="false" ht="15" hidden="false" customHeight="false" outlineLevel="0" collapsed="false">
      <c r="A387" s="8" t="s">
        <v>8654</v>
      </c>
      <c r="B387" s="8" t="s">
        <v>5365</v>
      </c>
      <c r="C387" s="8" t="s">
        <v>8276</v>
      </c>
      <c r="D387" s="8" t="n">
        <f aca="false">COUNTIF(Dishes!$M:$R,B387)</f>
        <v>1</v>
      </c>
      <c r="E387" s="8" t="n">
        <f aca="false">COUNTIF(Drinks!$N:$S,B387)</f>
        <v>0</v>
      </c>
      <c r="F387" s="8" t="n">
        <f aca="false">D387+E387</f>
        <v>1</v>
      </c>
    </row>
    <row r="388" customFormat="false" ht="15" hidden="false" customHeight="false" outlineLevel="0" collapsed="false">
      <c r="A388" s="8" t="s">
        <v>8655</v>
      </c>
      <c r="B388" s="8" t="s">
        <v>5907</v>
      </c>
      <c r="C388" s="8" t="s">
        <v>8276</v>
      </c>
      <c r="D388" s="8" t="n">
        <f aca="false">COUNTIF(Dishes!$M:$R,B388)</f>
        <v>1</v>
      </c>
      <c r="E388" s="8" t="n">
        <f aca="false">COUNTIF(Drinks!$N:$S,B388)</f>
        <v>0</v>
      </c>
      <c r="F388" s="8" t="n">
        <f aca="false">D388+E388</f>
        <v>1</v>
      </c>
    </row>
    <row r="389" customFormat="false" ht="15" hidden="false" customHeight="false" outlineLevel="0" collapsed="false">
      <c r="A389" s="8" t="s">
        <v>8656</v>
      </c>
      <c r="B389" s="8" t="s">
        <v>3150</v>
      </c>
      <c r="C389" s="8" t="s">
        <v>8259</v>
      </c>
      <c r="D389" s="8" t="n">
        <f aca="false">COUNTIF(Dishes!$M:$R,B389)</f>
        <v>3</v>
      </c>
      <c r="E389" s="8" t="n">
        <f aca="false">COUNTIF(Drinks!$N:$S,B389)</f>
        <v>0</v>
      </c>
      <c r="F389" s="8" t="n">
        <f aca="false">D389+E389</f>
        <v>3</v>
      </c>
    </row>
    <row r="390" customFormat="false" ht="15" hidden="false" customHeight="false" outlineLevel="0" collapsed="false">
      <c r="A390" s="8" t="s">
        <v>8657</v>
      </c>
      <c r="B390" s="8" t="s">
        <v>3139</v>
      </c>
      <c r="C390" s="8" t="s">
        <v>8257</v>
      </c>
      <c r="D390" s="8" t="n">
        <f aca="false">COUNTIF(Dishes!$M:$R,B390)</f>
        <v>2</v>
      </c>
      <c r="E390" s="8" t="n">
        <f aca="false">COUNTIF(Drinks!$N:$S,B390)</f>
        <v>0</v>
      </c>
      <c r="F390" s="8" t="n">
        <f aca="false">D390+E390</f>
        <v>2</v>
      </c>
    </row>
    <row r="391" customFormat="false" ht="15" hidden="false" customHeight="false" outlineLevel="0" collapsed="false">
      <c r="A391" s="8" t="s">
        <v>8658</v>
      </c>
      <c r="B391" s="8" t="s">
        <v>3168</v>
      </c>
      <c r="C391" s="8" t="s">
        <v>8257</v>
      </c>
      <c r="D391" s="8" t="n">
        <f aca="false">COUNTIF(Dishes!$M:$R,B391)</f>
        <v>1</v>
      </c>
      <c r="E391" s="8" t="n">
        <f aca="false">COUNTIF(Drinks!$N:$S,B391)</f>
        <v>0</v>
      </c>
      <c r="F391" s="8" t="n">
        <f aca="false">D391+E391</f>
        <v>1</v>
      </c>
    </row>
    <row r="392" customFormat="false" ht="15" hidden="false" customHeight="false" outlineLevel="0" collapsed="false">
      <c r="A392" s="8" t="s">
        <v>8659</v>
      </c>
      <c r="B392" s="8" t="s">
        <v>910</v>
      </c>
      <c r="C392" s="8" t="s">
        <v>8259</v>
      </c>
      <c r="D392" s="8" t="n">
        <f aca="false">COUNTIF(Dishes!$M:$R,B392)</f>
        <v>1</v>
      </c>
      <c r="E392" s="8" t="n">
        <f aca="false">COUNTIF(Drinks!$N:$S,B392)</f>
        <v>0</v>
      </c>
      <c r="F392" s="8" t="n">
        <f aca="false">D392+E392</f>
        <v>1</v>
      </c>
    </row>
    <row r="393" customFormat="false" ht="15" hidden="false" customHeight="false" outlineLevel="0" collapsed="false">
      <c r="A393" s="8" t="s">
        <v>8660</v>
      </c>
      <c r="B393" s="8" t="s">
        <v>2755</v>
      </c>
      <c r="C393" s="8" t="s">
        <v>8282</v>
      </c>
      <c r="D393" s="8" t="n">
        <f aca="false">COUNTIF(Dishes!$M:$R,B393)</f>
        <v>1</v>
      </c>
      <c r="E393" s="8" t="n">
        <f aca="false">COUNTIF(Drinks!$N:$S,B393)</f>
        <v>0</v>
      </c>
      <c r="F393" s="8" t="n">
        <f aca="false">D393+E393</f>
        <v>1</v>
      </c>
    </row>
    <row r="394" customFormat="false" ht="15" hidden="false" customHeight="false" outlineLevel="0" collapsed="false">
      <c r="A394" s="8" t="s">
        <v>8661</v>
      </c>
      <c r="B394" s="8" t="s">
        <v>5160</v>
      </c>
      <c r="C394" s="8" t="s">
        <v>8272</v>
      </c>
      <c r="D394" s="8" t="n">
        <f aca="false">COUNTIF(Dishes!$M:$R,B394)</f>
        <v>2</v>
      </c>
      <c r="E394" s="8" t="n">
        <f aca="false">COUNTIF(Drinks!$N:$S,B394)</f>
        <v>0</v>
      </c>
      <c r="F394" s="8" t="n">
        <f aca="false">D394+E394</f>
        <v>2</v>
      </c>
    </row>
    <row r="395" customFormat="false" ht="15" hidden="false" customHeight="false" outlineLevel="0" collapsed="false">
      <c r="A395" s="8" t="s">
        <v>8662</v>
      </c>
      <c r="B395" s="8" t="s">
        <v>6600</v>
      </c>
      <c r="C395" s="8" t="s">
        <v>8272</v>
      </c>
      <c r="D395" s="8" t="n">
        <f aca="false">COUNTIF(Dishes!$M:$R,B395)</f>
        <v>0</v>
      </c>
      <c r="E395" s="8" t="n">
        <f aca="false">COUNTIF(Drinks!$N:$S,B395)</f>
        <v>1</v>
      </c>
      <c r="F395" s="8" t="n">
        <f aca="false">D395+E395</f>
        <v>1</v>
      </c>
    </row>
    <row r="396" customFormat="false" ht="15" hidden="false" customHeight="false" outlineLevel="0" collapsed="false">
      <c r="A396" s="8" t="s">
        <v>8663</v>
      </c>
      <c r="B396" s="8" t="s">
        <v>307</v>
      </c>
      <c r="C396" s="8" t="s">
        <v>8272</v>
      </c>
      <c r="D396" s="8" t="n">
        <f aca="false">COUNTIF(Dishes!$M:$R,B396)</f>
        <v>11</v>
      </c>
      <c r="E396" s="8" t="n">
        <f aca="false">COUNTIF(Drinks!$N:$S,B396)</f>
        <v>0</v>
      </c>
      <c r="F396" s="8" t="n">
        <f aca="false">D396+E396</f>
        <v>11</v>
      </c>
    </row>
    <row r="397" customFormat="false" ht="15" hidden="false" customHeight="false" outlineLevel="0" collapsed="false">
      <c r="A397" s="8" t="s">
        <v>8664</v>
      </c>
      <c r="B397" s="8" t="s">
        <v>2514</v>
      </c>
      <c r="C397" s="8" t="s">
        <v>8272</v>
      </c>
      <c r="D397" s="8" t="n">
        <f aca="false">COUNTIF(Dishes!$M:$R,B397)</f>
        <v>1</v>
      </c>
      <c r="E397" s="8" t="n">
        <f aca="false">COUNTIF(Drinks!$N:$S,B397)</f>
        <v>0</v>
      </c>
      <c r="F397" s="8" t="n">
        <f aca="false">D397+E397</f>
        <v>1</v>
      </c>
    </row>
    <row r="398" customFormat="false" ht="15" hidden="false" customHeight="false" outlineLevel="0" collapsed="false">
      <c r="A398" s="8" t="s">
        <v>8665</v>
      </c>
      <c r="B398" s="8" t="s">
        <v>619</v>
      </c>
      <c r="C398" s="8" t="s">
        <v>8272</v>
      </c>
      <c r="D398" s="8" t="n">
        <f aca="false">COUNTIF(Dishes!$M:$R,B398)</f>
        <v>1</v>
      </c>
      <c r="E398" s="8" t="n">
        <f aca="false">COUNTIF(Drinks!$N:$S,B398)</f>
        <v>0</v>
      </c>
      <c r="F398" s="8" t="n">
        <f aca="false">D398+E398</f>
        <v>1</v>
      </c>
    </row>
    <row r="399" customFormat="false" ht="15" hidden="false" customHeight="false" outlineLevel="0" collapsed="false">
      <c r="A399" s="8" t="s">
        <v>8666</v>
      </c>
      <c r="B399" s="8" t="s">
        <v>711</v>
      </c>
      <c r="C399" s="8" t="s">
        <v>8272</v>
      </c>
      <c r="D399" s="8" t="n">
        <f aca="false">COUNTIF(Dishes!$M:$R,B399)</f>
        <v>1</v>
      </c>
      <c r="E399" s="8" t="n">
        <f aca="false">COUNTIF(Drinks!$N:$S,B399)</f>
        <v>0</v>
      </c>
      <c r="F399" s="8" t="n">
        <f aca="false">D399+E399</f>
        <v>1</v>
      </c>
    </row>
    <row r="400" customFormat="false" ht="15" hidden="false" customHeight="false" outlineLevel="0" collapsed="false">
      <c r="A400" s="8" t="s">
        <v>8667</v>
      </c>
      <c r="B400" s="8" t="s">
        <v>6364</v>
      </c>
      <c r="C400" s="8" t="s">
        <v>8268</v>
      </c>
      <c r="D400" s="8" t="n">
        <f aca="false">COUNTIF(Dishes!$M:$R,B400)</f>
        <v>0</v>
      </c>
      <c r="E400" s="8" t="n">
        <f aca="false">COUNTIF(Drinks!$N:$S,B400)</f>
        <v>1</v>
      </c>
      <c r="F400" s="8" t="n">
        <f aca="false">D400+E400</f>
        <v>1</v>
      </c>
    </row>
    <row r="401" customFormat="false" ht="15" hidden="false" customHeight="false" outlineLevel="0" collapsed="false">
      <c r="A401" s="8" t="s">
        <v>8668</v>
      </c>
      <c r="B401" s="8" t="s">
        <v>5534</v>
      </c>
      <c r="C401" s="8" t="s">
        <v>8272</v>
      </c>
      <c r="D401" s="8" t="n">
        <f aca="false">COUNTIF(Dishes!$M:$R,B401)</f>
        <v>1</v>
      </c>
      <c r="E401" s="8" t="n">
        <f aca="false">COUNTIF(Drinks!$N:$S,B401)</f>
        <v>0</v>
      </c>
      <c r="F401" s="8" t="n">
        <f aca="false">D401+E401</f>
        <v>1</v>
      </c>
    </row>
    <row r="402" customFormat="false" ht="15" hidden="false" customHeight="false" outlineLevel="0" collapsed="false">
      <c r="A402" s="8" t="s">
        <v>8669</v>
      </c>
      <c r="B402" s="8" t="s">
        <v>6461</v>
      </c>
      <c r="C402" s="8" t="s">
        <v>8261</v>
      </c>
      <c r="D402" s="8" t="n">
        <f aca="false">COUNTIF(Dishes!$M:$R,B402)</f>
        <v>0</v>
      </c>
      <c r="E402" s="8" t="n">
        <f aca="false">COUNTIF(Drinks!$N:$S,B402)</f>
        <v>1</v>
      </c>
      <c r="F402" s="8" t="n">
        <f aca="false">D402+E402</f>
        <v>1</v>
      </c>
    </row>
    <row r="403" customFormat="false" ht="15" hidden="false" customHeight="false" outlineLevel="0" collapsed="false">
      <c r="A403" s="8" t="s">
        <v>8670</v>
      </c>
      <c r="B403" s="8" t="s">
        <v>6444</v>
      </c>
      <c r="C403" s="8" t="s">
        <v>8268</v>
      </c>
      <c r="D403" s="8" t="n">
        <f aca="false">COUNTIF(Dishes!$M:$R,B403)</f>
        <v>0</v>
      </c>
      <c r="E403" s="8" t="n">
        <f aca="false">COUNTIF(Drinks!$N:$S,B403)</f>
        <v>3</v>
      </c>
      <c r="F403" s="8" t="n">
        <f aca="false">D403+E403</f>
        <v>3</v>
      </c>
    </row>
    <row r="404" customFormat="false" ht="15" hidden="false" customHeight="false" outlineLevel="0" collapsed="false">
      <c r="A404" s="8" t="s">
        <v>8671</v>
      </c>
      <c r="B404" s="8" t="s">
        <v>6470</v>
      </c>
      <c r="C404" s="8" t="s">
        <v>8268</v>
      </c>
      <c r="D404" s="8" t="n">
        <f aca="false">COUNTIF(Dishes!$M:$R,B404)</f>
        <v>0</v>
      </c>
      <c r="E404" s="8" t="n">
        <f aca="false">COUNTIF(Drinks!$N:$S,B404)</f>
        <v>1</v>
      </c>
      <c r="F404" s="8" t="n">
        <f aca="false">D404+E404</f>
        <v>1</v>
      </c>
    </row>
    <row r="405" customFormat="false" ht="15" hidden="false" customHeight="false" outlineLevel="0" collapsed="false">
      <c r="A405" s="8" t="s">
        <v>8672</v>
      </c>
      <c r="B405" s="8" t="s">
        <v>6240</v>
      </c>
      <c r="C405" s="8" t="s">
        <v>8344</v>
      </c>
      <c r="D405" s="8" t="n">
        <f aca="false">COUNTIF(Dishes!$M:$R,B405)</f>
        <v>0</v>
      </c>
      <c r="E405" s="8" t="n">
        <f aca="false">COUNTIF(Drinks!$N:$S,B405)</f>
        <v>1</v>
      </c>
      <c r="F405" s="8" t="n">
        <f aca="false">D405+E405</f>
        <v>1</v>
      </c>
    </row>
    <row r="406" customFormat="false" ht="15" hidden="false" customHeight="false" outlineLevel="0" collapsed="false">
      <c r="A406" s="8" t="s">
        <v>8673</v>
      </c>
      <c r="B406" s="8" t="s">
        <v>6510</v>
      </c>
      <c r="C406" s="8" t="s">
        <v>8261</v>
      </c>
      <c r="D406" s="8" t="n">
        <f aca="false">COUNTIF(Dishes!$M:$R,B406)</f>
        <v>0</v>
      </c>
      <c r="E406" s="8" t="n">
        <f aca="false">COUNTIF(Drinks!$N:$S,B406)</f>
        <v>1</v>
      </c>
      <c r="F406" s="8" t="n">
        <f aca="false">D406+E406</f>
        <v>1</v>
      </c>
    </row>
    <row r="407" customFormat="false" ht="15" hidden="false" customHeight="false" outlineLevel="0" collapsed="false">
      <c r="A407" s="8" t="s">
        <v>8674</v>
      </c>
      <c r="B407" s="8" t="s">
        <v>2155</v>
      </c>
      <c r="C407" s="8" t="s">
        <v>8287</v>
      </c>
      <c r="D407" s="8" t="n">
        <f aca="false">COUNTIF(Dishes!$M:$R,B407)</f>
        <v>1</v>
      </c>
      <c r="E407" s="8" t="n">
        <f aca="false">COUNTIF(Drinks!$N:$S,B407)</f>
        <v>0</v>
      </c>
      <c r="F407" s="8" t="n">
        <f aca="false">D407+E407</f>
        <v>1</v>
      </c>
    </row>
    <row r="408" customFormat="false" ht="15" hidden="false" customHeight="false" outlineLevel="0" collapsed="false">
      <c r="A408" s="8" t="s">
        <v>8675</v>
      </c>
      <c r="B408" s="8" t="s">
        <v>4785</v>
      </c>
      <c r="C408" s="8" t="s">
        <v>8265</v>
      </c>
      <c r="D408" s="8" t="n">
        <f aca="false">COUNTIF(Dishes!$M:$R,B408)</f>
        <v>1</v>
      </c>
      <c r="E408" s="8" t="n">
        <f aca="false">COUNTIF(Drinks!$N:$S,B408)</f>
        <v>0</v>
      </c>
      <c r="F408" s="8" t="n">
        <f aca="false">D408+E408</f>
        <v>1</v>
      </c>
    </row>
    <row r="409" customFormat="false" ht="15" hidden="false" customHeight="false" outlineLevel="0" collapsed="false">
      <c r="A409" s="8" t="s">
        <v>8676</v>
      </c>
      <c r="B409" s="8" t="s">
        <v>1256</v>
      </c>
      <c r="C409" s="8" t="s">
        <v>8261</v>
      </c>
      <c r="D409" s="8" t="n">
        <f aca="false">COUNTIF(Dishes!$M:$R,B409)</f>
        <v>2</v>
      </c>
      <c r="E409" s="8" t="n">
        <f aca="false">COUNTIF(Drinks!$N:$S,B409)</f>
        <v>0</v>
      </c>
      <c r="F409" s="8" t="n">
        <f aca="false">D409+E409</f>
        <v>2</v>
      </c>
    </row>
    <row r="410" customFormat="false" ht="15" hidden="false" customHeight="false" outlineLevel="0" collapsed="false">
      <c r="A410" s="8" t="s">
        <v>8677</v>
      </c>
      <c r="B410" s="8" t="s">
        <v>4318</v>
      </c>
      <c r="C410" s="8" t="s">
        <v>8287</v>
      </c>
      <c r="D410" s="8" t="n">
        <f aca="false">COUNTIF(Dishes!$M:$R,B410)</f>
        <v>1</v>
      </c>
      <c r="E410" s="8" t="n">
        <f aca="false">COUNTIF(Drinks!$N:$S,B410)</f>
        <v>0</v>
      </c>
      <c r="F410" s="8" t="n">
        <f aca="false">D410+E410</f>
        <v>1</v>
      </c>
    </row>
    <row r="411" customFormat="false" ht="15" hidden="false" customHeight="false" outlineLevel="0" collapsed="false">
      <c r="A411" s="8" t="s">
        <v>8678</v>
      </c>
      <c r="B411" s="8" t="s">
        <v>4471</v>
      </c>
      <c r="C411" s="8" t="s">
        <v>8257</v>
      </c>
      <c r="D411" s="8" t="n">
        <f aca="false">COUNTIF(Dishes!$M:$R,B411)</f>
        <v>3</v>
      </c>
      <c r="E411" s="8" t="n">
        <f aca="false">COUNTIF(Drinks!$N:$S,B411)</f>
        <v>0</v>
      </c>
      <c r="F411" s="8" t="n">
        <f aca="false">D411+E411</f>
        <v>3</v>
      </c>
    </row>
    <row r="412" customFormat="false" ht="15" hidden="false" customHeight="false" outlineLevel="0" collapsed="false">
      <c r="A412" s="8" t="s">
        <v>8679</v>
      </c>
      <c r="B412" s="8" t="s">
        <v>4969</v>
      </c>
      <c r="C412" s="8" t="s">
        <v>8265</v>
      </c>
      <c r="D412" s="8" t="n">
        <f aca="false">COUNTIF(Dishes!$M:$R,B412)</f>
        <v>1</v>
      </c>
      <c r="E412" s="8" t="n">
        <f aca="false">COUNTIF(Drinks!$N:$S,B412)</f>
        <v>0</v>
      </c>
      <c r="F412" s="8" t="n">
        <f aca="false">D412+E412</f>
        <v>1</v>
      </c>
    </row>
    <row r="413" customFormat="false" ht="15" hidden="false" customHeight="false" outlineLevel="0" collapsed="false">
      <c r="A413" s="8" t="s">
        <v>8680</v>
      </c>
      <c r="B413" s="8" t="s">
        <v>4204</v>
      </c>
      <c r="C413" s="8" t="s">
        <v>8287</v>
      </c>
      <c r="D413" s="8" t="n">
        <f aca="false">COUNTIF(Dishes!$M:$R,B413)</f>
        <v>1</v>
      </c>
      <c r="E413" s="8" t="n">
        <f aca="false">COUNTIF(Drinks!$N:$S,B413)</f>
        <v>0</v>
      </c>
      <c r="F413" s="8" t="n">
        <f aca="false">D413+E413</f>
        <v>1</v>
      </c>
    </row>
    <row r="414" customFormat="false" ht="15" hidden="false" customHeight="false" outlineLevel="0" collapsed="false">
      <c r="A414" s="8" t="s">
        <v>8681</v>
      </c>
      <c r="B414" s="8" t="s">
        <v>1559</v>
      </c>
      <c r="C414" s="8" t="s">
        <v>8259</v>
      </c>
      <c r="D414" s="8" t="n">
        <f aca="false">COUNTIF(Dishes!$M:$R,B414)</f>
        <v>2</v>
      </c>
      <c r="E414" s="8" t="n">
        <f aca="false">COUNTIF(Drinks!$N:$S,B414)</f>
        <v>0</v>
      </c>
      <c r="F414" s="8" t="n">
        <f aca="false">D414+E414</f>
        <v>2</v>
      </c>
    </row>
    <row r="415" customFormat="false" ht="15" hidden="false" customHeight="false" outlineLevel="0" collapsed="false">
      <c r="A415" s="8" t="s">
        <v>8682</v>
      </c>
      <c r="B415" s="8" t="s">
        <v>920</v>
      </c>
      <c r="C415" s="8" t="s">
        <v>8257</v>
      </c>
      <c r="D415" s="8" t="n">
        <f aca="false">COUNTIF(Dishes!$M:$R,B415)</f>
        <v>2</v>
      </c>
      <c r="E415" s="8" t="n">
        <f aca="false">COUNTIF(Drinks!$N:$S,B415)</f>
        <v>0</v>
      </c>
      <c r="F415" s="8" t="n">
        <f aca="false">D415+E415</f>
        <v>2</v>
      </c>
    </row>
    <row r="416" customFormat="false" ht="15" hidden="false" customHeight="false" outlineLevel="0" collapsed="false">
      <c r="A416" s="8" t="s">
        <v>8683</v>
      </c>
      <c r="B416" s="8" t="s">
        <v>3331</v>
      </c>
      <c r="C416" s="8" t="s">
        <v>8259</v>
      </c>
      <c r="D416" s="8" t="n">
        <f aca="false">COUNTIF(Dishes!$M:$R,B416)</f>
        <v>1</v>
      </c>
      <c r="E416" s="8" t="n">
        <f aca="false">COUNTIF(Drinks!$N:$S,B416)</f>
        <v>0</v>
      </c>
      <c r="F416" s="8" t="n">
        <f aca="false">D416+E416</f>
        <v>1</v>
      </c>
    </row>
    <row r="417" customFormat="false" ht="15" hidden="false" customHeight="false" outlineLevel="0" collapsed="false">
      <c r="A417" s="8" t="s">
        <v>8684</v>
      </c>
      <c r="B417" s="8" t="s">
        <v>1532</v>
      </c>
      <c r="C417" s="8" t="s">
        <v>8298</v>
      </c>
      <c r="D417" s="8" t="n">
        <f aca="false">COUNTIF(Dishes!$M:$R,B417)</f>
        <v>1</v>
      </c>
      <c r="E417" s="8" t="n">
        <f aca="false">COUNTIF(Drinks!$N:$S,B417)</f>
        <v>0</v>
      </c>
      <c r="F417" s="8" t="n">
        <f aca="false">D417+E417</f>
        <v>1</v>
      </c>
    </row>
    <row r="418" customFormat="false" ht="15" hidden="false" customHeight="false" outlineLevel="0" collapsed="false">
      <c r="A418" s="8" t="s">
        <v>8685</v>
      </c>
      <c r="B418" s="8" t="s">
        <v>7003</v>
      </c>
      <c r="C418" s="8" t="s">
        <v>8257</v>
      </c>
      <c r="D418" s="8" t="n">
        <f aca="false">COUNTIF(Dishes!$M:$R,B418)</f>
        <v>0</v>
      </c>
      <c r="E418" s="8" t="n">
        <f aca="false">COUNTIF(Drinks!$N:$S,B418)</f>
        <v>1</v>
      </c>
      <c r="F418" s="8" t="n">
        <f aca="false">D418+E418</f>
        <v>1</v>
      </c>
    </row>
    <row r="419" customFormat="false" ht="15" hidden="false" customHeight="false" outlineLevel="0" collapsed="false">
      <c r="A419" s="8" t="s">
        <v>8686</v>
      </c>
      <c r="B419" s="8" t="s">
        <v>3363</v>
      </c>
      <c r="C419" s="8" t="s">
        <v>8287</v>
      </c>
      <c r="D419" s="8" t="n">
        <f aca="false">COUNTIF(Dishes!$M:$R,B419)</f>
        <v>1</v>
      </c>
      <c r="E419" s="8" t="n">
        <f aca="false">COUNTIF(Drinks!$N:$S,B419)</f>
        <v>0</v>
      </c>
      <c r="F419" s="8" t="n">
        <f aca="false">D419+E419</f>
        <v>1</v>
      </c>
    </row>
    <row r="420" customFormat="false" ht="15" hidden="false" customHeight="false" outlineLevel="0" collapsed="false">
      <c r="A420" s="8" t="s">
        <v>8687</v>
      </c>
      <c r="B420" s="8" t="s">
        <v>930</v>
      </c>
      <c r="C420" s="8" t="s">
        <v>8287</v>
      </c>
      <c r="D420" s="8" t="n">
        <f aca="false">COUNTIF(Dishes!$M:$R,B420)</f>
        <v>5</v>
      </c>
      <c r="E420" s="8" t="n">
        <f aca="false">COUNTIF(Drinks!$N:$S,B420)</f>
        <v>0</v>
      </c>
      <c r="F420" s="8" t="n">
        <f aca="false">D420+E420</f>
        <v>5</v>
      </c>
    </row>
    <row r="421" customFormat="false" ht="15" hidden="false" customHeight="false" outlineLevel="0" collapsed="false">
      <c r="A421" s="8" t="s">
        <v>8688</v>
      </c>
      <c r="B421" s="8" t="s">
        <v>7109</v>
      </c>
      <c r="C421" s="8" t="s">
        <v>8344</v>
      </c>
      <c r="D421" s="8" t="n">
        <f aca="false">COUNTIF(Dishes!$M:$R,B421)</f>
        <v>0</v>
      </c>
      <c r="E421" s="8" t="n">
        <f aca="false">COUNTIF(Drinks!$N:$S,B421)</f>
        <v>1</v>
      </c>
      <c r="F421" s="8" t="n">
        <f aca="false">D421+E421</f>
        <v>1</v>
      </c>
    </row>
    <row r="422" customFormat="false" ht="15" hidden="false" customHeight="false" outlineLevel="0" collapsed="false">
      <c r="A422" s="8" t="s">
        <v>8689</v>
      </c>
      <c r="B422" s="8" t="s">
        <v>3108</v>
      </c>
      <c r="C422" s="8" t="s">
        <v>8344</v>
      </c>
      <c r="D422" s="8" t="n">
        <f aca="false">COUNTIF(Dishes!$M:$R,B422)</f>
        <v>1</v>
      </c>
      <c r="E422" s="8" t="n">
        <f aca="false">COUNTIF(Drinks!$N:$S,B422)</f>
        <v>2</v>
      </c>
      <c r="F422" s="8" t="n">
        <f aca="false">D422+E422</f>
        <v>3</v>
      </c>
    </row>
    <row r="423" customFormat="false" ht="15" hidden="false" customHeight="false" outlineLevel="0" collapsed="false">
      <c r="A423" s="8" t="s">
        <v>8690</v>
      </c>
      <c r="B423" s="8" t="s">
        <v>3923</v>
      </c>
      <c r="C423" s="8" t="s">
        <v>8259</v>
      </c>
      <c r="D423" s="8" t="n">
        <f aca="false">COUNTIF(Dishes!$M:$R,B423)</f>
        <v>1</v>
      </c>
      <c r="E423" s="8" t="n">
        <f aca="false">COUNTIF(Drinks!$N:$S,B423)</f>
        <v>0</v>
      </c>
      <c r="F423" s="8" t="n">
        <f aca="false">D423+E423</f>
        <v>1</v>
      </c>
    </row>
    <row r="424" customFormat="false" ht="15" hidden="false" customHeight="false" outlineLevel="0" collapsed="false">
      <c r="A424" s="8" t="s">
        <v>8691</v>
      </c>
      <c r="B424" s="8" t="s">
        <v>6180</v>
      </c>
      <c r="C424" s="8" t="s">
        <v>8282</v>
      </c>
      <c r="D424" s="8" t="n">
        <f aca="false">COUNTIF(Dishes!$M:$R,B424)</f>
        <v>0</v>
      </c>
      <c r="E424" s="8" t="n">
        <f aca="false">COUNTIF(Drinks!$N:$S,B424)</f>
        <v>3</v>
      </c>
      <c r="F424" s="8" t="n">
        <f aca="false">D424+E424</f>
        <v>3</v>
      </c>
    </row>
    <row r="425" customFormat="false" ht="15" hidden="false" customHeight="false" outlineLevel="0" collapsed="false">
      <c r="A425" s="8" t="s">
        <v>8692</v>
      </c>
      <c r="B425" s="8" t="s">
        <v>378</v>
      </c>
      <c r="C425" s="8" t="s">
        <v>8276</v>
      </c>
      <c r="D425" s="8" t="n">
        <f aca="false">COUNTIF(Dishes!$M:$R,B425)</f>
        <v>2</v>
      </c>
      <c r="E425" s="8" t="n">
        <f aca="false">COUNTIF(Drinks!$N:$S,B425)</f>
        <v>0</v>
      </c>
      <c r="F425" s="8" t="n">
        <f aca="false">D425+E425</f>
        <v>2</v>
      </c>
    </row>
    <row r="426" customFormat="false" ht="15" hidden="false" customHeight="false" outlineLevel="0" collapsed="false">
      <c r="A426" s="8" t="s">
        <v>8693</v>
      </c>
      <c r="B426" s="8" t="s">
        <v>5355</v>
      </c>
      <c r="C426" s="8" t="s">
        <v>8287</v>
      </c>
      <c r="D426" s="8" t="n">
        <f aca="false">COUNTIF(Dishes!$M:$R,B426)</f>
        <v>1</v>
      </c>
      <c r="E426" s="8" t="n">
        <f aca="false">COUNTIF(Drinks!$N:$S,B426)</f>
        <v>0</v>
      </c>
      <c r="F426" s="8" t="n">
        <f aca="false">D426+E426</f>
        <v>1</v>
      </c>
    </row>
    <row r="427" customFormat="false" ht="15" hidden="false" customHeight="false" outlineLevel="0" collapsed="false">
      <c r="A427" s="8" t="s">
        <v>8694</v>
      </c>
      <c r="B427" s="8" t="s">
        <v>3054</v>
      </c>
      <c r="C427" s="8" t="s">
        <v>8274</v>
      </c>
      <c r="D427" s="8" t="n">
        <f aca="false">COUNTIF(Dishes!$M:$R,B427)</f>
        <v>1</v>
      </c>
      <c r="E427" s="8" t="n">
        <f aca="false">COUNTIF(Drinks!$N:$S,B427)</f>
        <v>0</v>
      </c>
      <c r="F427" s="8" t="n">
        <f aca="false">D427+E427</f>
        <v>1</v>
      </c>
    </row>
    <row r="428" customFormat="false" ht="15" hidden="false" customHeight="false" outlineLevel="0" collapsed="false">
      <c r="A428" s="8" t="s">
        <v>8695</v>
      </c>
      <c r="B428" s="8" t="s">
        <v>4872</v>
      </c>
      <c r="C428" s="8" t="s">
        <v>8276</v>
      </c>
      <c r="D428" s="8" t="n">
        <f aca="false">COUNTIF(Dishes!$M:$R,B428)</f>
        <v>1</v>
      </c>
      <c r="E428" s="8" t="n">
        <f aca="false">COUNTIF(Drinks!$N:$S,B428)</f>
        <v>0</v>
      </c>
      <c r="F428" s="8" t="n">
        <f aca="false">D428+E428</f>
        <v>1</v>
      </c>
    </row>
    <row r="429" customFormat="false" ht="15" hidden="false" customHeight="false" outlineLevel="0" collapsed="false">
      <c r="A429" s="8" t="s">
        <v>8696</v>
      </c>
      <c r="B429" s="8" t="s">
        <v>3492</v>
      </c>
      <c r="C429" s="8" t="s">
        <v>8276</v>
      </c>
      <c r="D429" s="8" t="n">
        <f aca="false">COUNTIF(Dishes!$M:$R,B429)</f>
        <v>1</v>
      </c>
      <c r="E429" s="8" t="n">
        <f aca="false">COUNTIF(Drinks!$N:$S,B429)</f>
        <v>0</v>
      </c>
      <c r="F429" s="8" t="n">
        <f aca="false">D429+E429</f>
        <v>1</v>
      </c>
    </row>
    <row r="430" customFormat="false" ht="15" hidden="false" customHeight="false" outlineLevel="0" collapsed="false">
      <c r="A430" s="8" t="s">
        <v>8697</v>
      </c>
      <c r="B430" s="8" t="s">
        <v>3455</v>
      </c>
      <c r="C430" s="8" t="s">
        <v>8276</v>
      </c>
      <c r="D430" s="8" t="n">
        <f aca="false">COUNTIF(Dishes!$M:$R,B430)</f>
        <v>1</v>
      </c>
      <c r="E430" s="8" t="n">
        <f aca="false">COUNTIF(Drinks!$N:$S,B430)</f>
        <v>0</v>
      </c>
      <c r="F430" s="8" t="n">
        <f aca="false">D430+E430</f>
        <v>1</v>
      </c>
    </row>
    <row r="431" customFormat="false" ht="15" hidden="false" customHeight="false" outlineLevel="0" collapsed="false">
      <c r="A431" s="8" t="s">
        <v>8698</v>
      </c>
      <c r="B431" s="8" t="s">
        <v>3220</v>
      </c>
      <c r="C431" s="8" t="s">
        <v>8276</v>
      </c>
      <c r="D431" s="8" t="n">
        <f aca="false">COUNTIF(Dishes!$M:$R,B431)</f>
        <v>1</v>
      </c>
      <c r="E431" s="8" t="n">
        <f aca="false">COUNTIF(Drinks!$N:$S,B431)</f>
        <v>0</v>
      </c>
      <c r="F431" s="8" t="n">
        <f aca="false">D431+E431</f>
        <v>1</v>
      </c>
    </row>
    <row r="432" customFormat="false" ht="15" hidden="false" customHeight="false" outlineLevel="0" collapsed="false">
      <c r="A432" s="8" t="s">
        <v>8699</v>
      </c>
      <c r="B432" s="8" t="s">
        <v>5844</v>
      </c>
      <c r="C432" s="8" t="s">
        <v>8261</v>
      </c>
      <c r="D432" s="8" t="n">
        <f aca="false">COUNTIF(Dishes!$M:$R,B432)</f>
        <v>1</v>
      </c>
      <c r="E432" s="8" t="n">
        <f aca="false">COUNTIF(Drinks!$N:$S,B432)</f>
        <v>0</v>
      </c>
      <c r="F432" s="8" t="n">
        <f aca="false">D432+E432</f>
        <v>1</v>
      </c>
    </row>
    <row r="433" customFormat="false" ht="15" hidden="false" customHeight="false" outlineLevel="0" collapsed="false">
      <c r="A433" s="8" t="s">
        <v>8700</v>
      </c>
      <c r="B433" s="8" t="s">
        <v>2230</v>
      </c>
      <c r="C433" s="8" t="s">
        <v>8272</v>
      </c>
      <c r="D433" s="8" t="n">
        <f aca="false">COUNTIF(Dishes!$M:$R,B433)</f>
        <v>1</v>
      </c>
      <c r="E433" s="8" t="n">
        <f aca="false">COUNTIF(Drinks!$N:$S,B433)</f>
        <v>0</v>
      </c>
      <c r="F433" s="8" t="n">
        <f aca="false">D433+E433</f>
        <v>1</v>
      </c>
    </row>
    <row r="434" customFormat="false" ht="15" hidden="false" customHeight="false" outlineLevel="0" collapsed="false">
      <c r="A434" s="8" t="s">
        <v>8701</v>
      </c>
      <c r="B434" s="8" t="s">
        <v>5756</v>
      </c>
      <c r="C434" s="8" t="s">
        <v>8261</v>
      </c>
      <c r="D434" s="8" t="n">
        <f aca="false">COUNTIF(Dishes!$M:$R,B434)</f>
        <v>1</v>
      </c>
      <c r="E434" s="8" t="n">
        <f aca="false">COUNTIF(Drinks!$N:$S,B434)</f>
        <v>0</v>
      </c>
      <c r="F434" s="8" t="n">
        <f aca="false">D434+E434</f>
        <v>1</v>
      </c>
    </row>
    <row r="435" customFormat="false" ht="15" hidden="false" customHeight="false" outlineLevel="0" collapsed="false">
      <c r="A435" s="8" t="s">
        <v>8702</v>
      </c>
      <c r="B435" s="8" t="s">
        <v>4121</v>
      </c>
      <c r="C435" s="8" t="s">
        <v>8265</v>
      </c>
      <c r="D435" s="8" t="n">
        <f aca="false">COUNTIF(Dishes!$M:$R,B435)</f>
        <v>2</v>
      </c>
      <c r="E435" s="8" t="n">
        <f aca="false">COUNTIF(Drinks!$N:$S,B435)</f>
        <v>0</v>
      </c>
      <c r="F435" s="8" t="n">
        <f aca="false">D435+E435</f>
        <v>2</v>
      </c>
    </row>
    <row r="436" customFormat="false" ht="15" hidden="false" customHeight="false" outlineLevel="0" collapsed="false">
      <c r="A436" s="8" t="s">
        <v>8703</v>
      </c>
      <c r="B436" s="8" t="s">
        <v>5363</v>
      </c>
      <c r="C436" s="8" t="s">
        <v>8259</v>
      </c>
      <c r="D436" s="8" t="n">
        <f aca="false">COUNTIF(Dishes!$M:$R,B436)</f>
        <v>1</v>
      </c>
      <c r="E436" s="8" t="n">
        <f aca="false">COUNTIF(Drinks!$N:$S,B436)</f>
        <v>0</v>
      </c>
      <c r="F436" s="8" t="n">
        <f aca="false">D436+E436</f>
        <v>1</v>
      </c>
    </row>
    <row r="437" customFormat="false" ht="15" hidden="false" customHeight="false" outlineLevel="0" collapsed="false">
      <c r="A437" s="8" t="s">
        <v>8704</v>
      </c>
      <c r="B437" s="8" t="s">
        <v>3841</v>
      </c>
      <c r="C437" s="8" t="s">
        <v>8276</v>
      </c>
      <c r="D437" s="8" t="n">
        <f aca="false">COUNTIF(Dishes!$M:$R,B437)</f>
        <v>2</v>
      </c>
      <c r="E437" s="8" t="n">
        <f aca="false">COUNTIF(Drinks!$N:$S,B437)</f>
        <v>0</v>
      </c>
      <c r="F437" s="8" t="n">
        <f aca="false">D437+E437</f>
        <v>2</v>
      </c>
    </row>
    <row r="438" customFormat="false" ht="15" hidden="false" customHeight="false" outlineLevel="0" collapsed="false">
      <c r="A438" s="8" t="s">
        <v>8705</v>
      </c>
      <c r="B438" s="8" t="s">
        <v>6980</v>
      </c>
      <c r="C438" s="8" t="s">
        <v>8344</v>
      </c>
      <c r="D438" s="8" t="n">
        <f aca="false">COUNTIF(Dishes!$M:$R,B438)</f>
        <v>0</v>
      </c>
      <c r="E438" s="8" t="n">
        <f aca="false">COUNTIF(Drinks!$N:$S,B438)</f>
        <v>1</v>
      </c>
      <c r="F438" s="8" t="n">
        <f aca="false">D438+E438</f>
        <v>1</v>
      </c>
    </row>
    <row r="439" customFormat="false" ht="15" hidden="false" customHeight="false" outlineLevel="0" collapsed="false">
      <c r="A439" s="8" t="s">
        <v>8706</v>
      </c>
      <c r="B439" s="8" t="s">
        <v>6849</v>
      </c>
      <c r="C439" s="8" t="s">
        <v>8344</v>
      </c>
      <c r="D439" s="8" t="n">
        <f aca="false">COUNTIF(Dishes!$M:$R,B439)</f>
        <v>0</v>
      </c>
      <c r="E439" s="8" t="n">
        <f aca="false">COUNTIF(Drinks!$N:$S,B439)</f>
        <v>1</v>
      </c>
      <c r="F439" s="8" t="n">
        <f aca="false">D439+E439</f>
        <v>1</v>
      </c>
    </row>
    <row r="440" customFormat="false" ht="15" hidden="false" customHeight="false" outlineLevel="0" collapsed="false">
      <c r="A440" s="8" t="s">
        <v>8707</v>
      </c>
      <c r="B440" s="8" t="s">
        <v>1560</v>
      </c>
      <c r="C440" s="8" t="s">
        <v>8259</v>
      </c>
      <c r="D440" s="8" t="n">
        <f aca="false">COUNTIF(Dishes!$M:$R,B440)</f>
        <v>1</v>
      </c>
      <c r="E440" s="8" t="n">
        <f aca="false">COUNTIF(Drinks!$N:$S,B440)</f>
        <v>0</v>
      </c>
      <c r="F440" s="8" t="n">
        <f aca="false">D440+E440</f>
        <v>1</v>
      </c>
    </row>
    <row r="441" customFormat="false" ht="15" hidden="false" customHeight="false" outlineLevel="0" collapsed="false">
      <c r="A441" s="8" t="s">
        <v>8708</v>
      </c>
      <c r="B441" s="8" t="s">
        <v>4165</v>
      </c>
      <c r="C441" s="8" t="s">
        <v>8276</v>
      </c>
      <c r="D441" s="8" t="n">
        <f aca="false">COUNTIF(Dishes!$M:$R,B441)</f>
        <v>3</v>
      </c>
      <c r="E441" s="8" t="n">
        <f aca="false">COUNTIF(Drinks!$N:$S,B441)</f>
        <v>0</v>
      </c>
      <c r="F441" s="8" t="n">
        <f aca="false">D441+E441</f>
        <v>3</v>
      </c>
    </row>
    <row r="442" customFormat="false" ht="15" hidden="false" customHeight="false" outlineLevel="0" collapsed="false">
      <c r="A442" s="8" t="s">
        <v>8709</v>
      </c>
      <c r="B442" s="8" t="s">
        <v>2675</v>
      </c>
      <c r="C442" s="8" t="s">
        <v>8272</v>
      </c>
      <c r="D442" s="8" t="n">
        <f aca="false">COUNTIF(Dishes!$M:$R,B442)</f>
        <v>2</v>
      </c>
      <c r="E442" s="8" t="n">
        <f aca="false">COUNTIF(Drinks!$N:$S,B442)</f>
        <v>0</v>
      </c>
      <c r="F442" s="8" t="n">
        <f aca="false">D442+E442</f>
        <v>2</v>
      </c>
    </row>
    <row r="443" customFormat="false" ht="15" hidden="false" customHeight="false" outlineLevel="0" collapsed="false">
      <c r="A443" s="8" t="s">
        <v>8710</v>
      </c>
      <c r="B443" s="8" t="s">
        <v>5737</v>
      </c>
      <c r="C443" s="8" t="s">
        <v>8259</v>
      </c>
      <c r="D443" s="8" t="n">
        <f aca="false">COUNTIF(Dishes!$M:$R,B443)</f>
        <v>1</v>
      </c>
      <c r="E443" s="8" t="n">
        <f aca="false">COUNTIF(Drinks!$N:$S,B443)</f>
        <v>0</v>
      </c>
      <c r="F443" s="8" t="n">
        <f aca="false">D443+E443</f>
        <v>1</v>
      </c>
    </row>
    <row r="444" customFormat="false" ht="15" hidden="false" customHeight="false" outlineLevel="0" collapsed="false">
      <c r="A444" s="8" t="s">
        <v>8711</v>
      </c>
      <c r="B444" s="8" t="s">
        <v>3634</v>
      </c>
      <c r="C444" s="8" t="s">
        <v>8257</v>
      </c>
      <c r="D444" s="8" t="n">
        <f aca="false">COUNTIF(Dishes!$M:$R,B444)</f>
        <v>1</v>
      </c>
      <c r="E444" s="8" t="n">
        <f aca="false">COUNTIF(Drinks!$N:$S,B444)</f>
        <v>0</v>
      </c>
      <c r="F444" s="8" t="n">
        <f aca="false">D444+E444</f>
        <v>1</v>
      </c>
    </row>
    <row r="445" customFormat="false" ht="15" hidden="false" customHeight="false" outlineLevel="0" collapsed="false">
      <c r="A445" s="8" t="s">
        <v>8712</v>
      </c>
      <c r="B445" s="8" t="s">
        <v>8713</v>
      </c>
      <c r="C445" s="8" t="s">
        <v>8259</v>
      </c>
      <c r="D445" s="8" t="n">
        <f aca="false">COUNTIF(Dishes!$M:$R,B445)</f>
        <v>1</v>
      </c>
      <c r="E445" s="8" t="n">
        <f aca="false">COUNTIF(Drinks!$N:$S,B445)</f>
        <v>0</v>
      </c>
      <c r="F445" s="8" t="n">
        <f aca="false">D445+E445</f>
        <v>1</v>
      </c>
    </row>
    <row r="446" customFormat="false" ht="15" hidden="false" customHeight="false" outlineLevel="0" collapsed="false">
      <c r="A446" s="8" t="s">
        <v>8714</v>
      </c>
      <c r="B446" s="8" t="s">
        <v>3453</v>
      </c>
      <c r="C446" s="8" t="s">
        <v>8259</v>
      </c>
      <c r="D446" s="8" t="n">
        <f aca="false">COUNTIF(Dishes!$M:$R,B446)</f>
        <v>2</v>
      </c>
      <c r="E446" s="8" t="n">
        <f aca="false">COUNTIF(Drinks!$N:$S,B446)</f>
        <v>0</v>
      </c>
      <c r="F446" s="8" t="n">
        <f aca="false">D446+E446</f>
        <v>2</v>
      </c>
    </row>
    <row r="447" customFormat="false" ht="15" hidden="false" customHeight="false" outlineLevel="0" collapsed="false">
      <c r="A447" s="8" t="s">
        <v>8715</v>
      </c>
      <c r="B447" s="8" t="s">
        <v>6861</v>
      </c>
      <c r="C447" s="8" t="s">
        <v>8263</v>
      </c>
      <c r="D447" s="8" t="n">
        <f aca="false">COUNTIF(Dishes!$M:$R,B447)</f>
        <v>0</v>
      </c>
      <c r="E447" s="8" t="n">
        <f aca="false">COUNTIF(Drinks!$N:$S,B447)</f>
        <v>1</v>
      </c>
      <c r="F447" s="8" t="n">
        <f aca="false">D447+E447</f>
        <v>1</v>
      </c>
    </row>
    <row r="448" customFormat="false" ht="15" hidden="false" customHeight="false" outlineLevel="0" collapsed="false">
      <c r="A448" s="8" t="s">
        <v>8716</v>
      </c>
      <c r="B448" s="8" t="s">
        <v>1602</v>
      </c>
      <c r="C448" s="8" t="s">
        <v>8274</v>
      </c>
      <c r="D448" s="8" t="n">
        <f aca="false">COUNTIF(Dishes!$M:$R,B448)</f>
        <v>1</v>
      </c>
      <c r="E448" s="8" t="n">
        <f aca="false">COUNTIF(Drinks!$N:$S,B448)</f>
        <v>0</v>
      </c>
      <c r="F448" s="8" t="n">
        <f aca="false">D448+E448</f>
        <v>1</v>
      </c>
    </row>
    <row r="449" customFormat="false" ht="15" hidden="false" customHeight="false" outlineLevel="0" collapsed="false">
      <c r="A449" s="8" t="s">
        <v>8717</v>
      </c>
      <c r="B449" s="8" t="s">
        <v>5114</v>
      </c>
      <c r="C449" s="8" t="s">
        <v>8272</v>
      </c>
      <c r="D449" s="8" t="n">
        <f aca="false">COUNTIF(Dishes!$M:$R,B449)</f>
        <v>1</v>
      </c>
      <c r="E449" s="8" t="n">
        <f aca="false">COUNTIF(Drinks!$N:$S,B449)</f>
        <v>0</v>
      </c>
      <c r="F449" s="8" t="n">
        <f aca="false">D449+E449</f>
        <v>1</v>
      </c>
    </row>
    <row r="450" customFormat="false" ht="15" hidden="false" customHeight="false" outlineLevel="0" collapsed="false">
      <c r="A450" s="8" t="s">
        <v>8718</v>
      </c>
      <c r="B450" s="8" t="s">
        <v>2534</v>
      </c>
      <c r="C450" s="8" t="s">
        <v>8257</v>
      </c>
      <c r="D450" s="8" t="n">
        <f aca="false">COUNTIF(Dishes!$M:$R,B450)</f>
        <v>3</v>
      </c>
      <c r="E450" s="8" t="n">
        <f aca="false">COUNTIF(Drinks!$N:$S,B450)</f>
        <v>0</v>
      </c>
      <c r="F450" s="8" t="n">
        <f aca="false">D450+E450</f>
        <v>3</v>
      </c>
    </row>
    <row r="451" customFormat="false" ht="15" hidden="false" customHeight="false" outlineLevel="0" collapsed="false">
      <c r="A451" s="8" t="s">
        <v>8719</v>
      </c>
      <c r="B451" s="8" t="s">
        <v>987</v>
      </c>
      <c r="C451" s="8" t="s">
        <v>8272</v>
      </c>
      <c r="D451" s="8" t="n">
        <f aca="false">COUNTIF(Dishes!$M:$R,B451)</f>
        <v>1</v>
      </c>
      <c r="E451" s="8" t="n">
        <f aca="false">COUNTIF(Drinks!$N:$S,B451)</f>
        <v>0</v>
      </c>
      <c r="F451" s="8" t="n">
        <f aca="false">D451+E451</f>
        <v>1</v>
      </c>
    </row>
    <row r="452" customFormat="false" ht="15" hidden="false" customHeight="false" outlineLevel="0" collapsed="false">
      <c r="A452" s="8" t="s">
        <v>8720</v>
      </c>
      <c r="B452" s="8" t="s">
        <v>3380</v>
      </c>
      <c r="C452" s="8" t="s">
        <v>8259</v>
      </c>
      <c r="D452" s="8" t="n">
        <f aca="false">COUNTIF(Dishes!$M:$R,B452)</f>
        <v>1</v>
      </c>
      <c r="E452" s="8" t="n">
        <f aca="false">COUNTIF(Drinks!$N:$S,B452)</f>
        <v>0</v>
      </c>
      <c r="F452" s="8" t="n">
        <f aca="false">D452+E452</f>
        <v>1</v>
      </c>
    </row>
    <row r="453" customFormat="false" ht="15" hidden="false" customHeight="false" outlineLevel="0" collapsed="false">
      <c r="A453" s="8" t="s">
        <v>8721</v>
      </c>
      <c r="B453" s="8" t="s">
        <v>5326</v>
      </c>
      <c r="C453" s="8" t="s">
        <v>8272</v>
      </c>
      <c r="D453" s="8" t="n">
        <f aca="false">COUNTIF(Dishes!$M:$R,B453)</f>
        <v>1</v>
      </c>
      <c r="E453" s="8" t="n">
        <f aca="false">COUNTIF(Drinks!$N:$S,B453)</f>
        <v>0</v>
      </c>
      <c r="F453" s="8" t="n">
        <f aca="false">D453+E453</f>
        <v>1</v>
      </c>
    </row>
    <row r="454" customFormat="false" ht="15" hidden="false" customHeight="false" outlineLevel="0" collapsed="false">
      <c r="A454" s="8" t="s">
        <v>8722</v>
      </c>
      <c r="B454" s="8" t="s">
        <v>3090</v>
      </c>
      <c r="C454" s="8" t="s">
        <v>8282</v>
      </c>
      <c r="D454" s="8" t="n">
        <f aca="false">COUNTIF(Dishes!$M:$R,B454)</f>
        <v>2</v>
      </c>
      <c r="E454" s="8" t="n">
        <f aca="false">COUNTIF(Drinks!$N:$S,B454)</f>
        <v>4</v>
      </c>
      <c r="F454" s="8" t="n">
        <f aca="false">D454+E454</f>
        <v>6</v>
      </c>
    </row>
    <row r="455" customFormat="false" ht="15" hidden="false" customHeight="false" outlineLevel="0" collapsed="false">
      <c r="A455" s="8" t="s">
        <v>8723</v>
      </c>
      <c r="B455" s="8" t="s">
        <v>659</v>
      </c>
      <c r="C455" s="8" t="s">
        <v>8282</v>
      </c>
      <c r="D455" s="8" t="n">
        <f aca="false">COUNTIF(Dishes!$M:$R,B455)</f>
        <v>1</v>
      </c>
      <c r="E455" s="8" t="n">
        <f aca="false">COUNTIF(Drinks!$N:$S,B455)</f>
        <v>0</v>
      </c>
      <c r="F455" s="8" t="n">
        <f aca="false">D455+E455</f>
        <v>1</v>
      </c>
    </row>
    <row r="456" customFormat="false" ht="15" hidden="false" customHeight="false" outlineLevel="0" collapsed="false">
      <c r="A456" s="8" t="s">
        <v>8724</v>
      </c>
      <c r="B456" s="8" t="s">
        <v>6656</v>
      </c>
      <c r="C456" s="8" t="s">
        <v>8263</v>
      </c>
      <c r="D456" s="8" t="n">
        <f aca="false">COUNTIF(Dishes!$M:$R,B456)</f>
        <v>0</v>
      </c>
      <c r="E456" s="8" t="n">
        <f aca="false">COUNTIF(Drinks!$N:$S,B456)</f>
        <v>1</v>
      </c>
      <c r="F456" s="8" t="n">
        <f aca="false">D456+E456</f>
        <v>1</v>
      </c>
    </row>
    <row r="457" customFormat="false" ht="15" hidden="false" customHeight="false" outlineLevel="0" collapsed="false">
      <c r="A457" s="8" t="s">
        <v>8725</v>
      </c>
      <c r="B457" s="8" t="s">
        <v>4365</v>
      </c>
      <c r="C457" s="8" t="s">
        <v>8282</v>
      </c>
      <c r="D457" s="8" t="n">
        <f aca="false">COUNTIF(Dishes!$M:$R,B457)</f>
        <v>1</v>
      </c>
      <c r="E457" s="8" t="n">
        <f aca="false">COUNTIF(Drinks!$N:$S,B457)</f>
        <v>0</v>
      </c>
      <c r="F457" s="8" t="n">
        <f aca="false">D457+E457</f>
        <v>1</v>
      </c>
    </row>
    <row r="458" customFormat="false" ht="15" hidden="false" customHeight="false" outlineLevel="0" collapsed="false">
      <c r="A458" s="8" t="s">
        <v>8726</v>
      </c>
      <c r="B458" s="8" t="s">
        <v>6257</v>
      </c>
      <c r="C458" s="8" t="s">
        <v>8344</v>
      </c>
      <c r="D458" s="8" t="n">
        <f aca="false">COUNTIF(Dishes!$M:$R,B458)</f>
        <v>0</v>
      </c>
      <c r="E458" s="8" t="n">
        <f aca="false">COUNTIF(Drinks!$N:$S,B458)</f>
        <v>1</v>
      </c>
      <c r="F458" s="8" t="n">
        <f aca="false">D458+E458</f>
        <v>1</v>
      </c>
    </row>
    <row r="459" customFormat="false" ht="15" hidden="false" customHeight="false" outlineLevel="0" collapsed="false">
      <c r="A459" s="8" t="s">
        <v>8727</v>
      </c>
      <c r="B459" s="8" t="s">
        <v>4048</v>
      </c>
      <c r="C459" s="8" t="s">
        <v>8344</v>
      </c>
      <c r="D459" s="8" t="n">
        <f aca="false">COUNTIF(Dishes!$M:$R,B459)</f>
        <v>1</v>
      </c>
      <c r="E459" s="8" t="n">
        <f aca="false">COUNTIF(Drinks!$N:$S,B459)</f>
        <v>0</v>
      </c>
      <c r="F459" s="8" t="n">
        <f aca="false">D459+E459</f>
        <v>1</v>
      </c>
    </row>
    <row r="460" customFormat="false" ht="15" hidden="false" customHeight="false" outlineLevel="0" collapsed="false">
      <c r="A460" s="8" t="s">
        <v>8728</v>
      </c>
      <c r="B460" s="8" t="s">
        <v>2831</v>
      </c>
      <c r="C460" s="8" t="s">
        <v>8257</v>
      </c>
      <c r="D460" s="8" t="n">
        <f aca="false">COUNTIF(Dishes!$M:$R,B460)</f>
        <v>1</v>
      </c>
      <c r="E460" s="8" t="n">
        <f aca="false">COUNTIF(Drinks!$N:$S,B460)</f>
        <v>0</v>
      </c>
      <c r="F460" s="8" t="n">
        <f aca="false">D460+E460</f>
        <v>1</v>
      </c>
    </row>
    <row r="461" customFormat="false" ht="15" hidden="false" customHeight="false" outlineLevel="0" collapsed="false">
      <c r="A461" s="8" t="s">
        <v>8729</v>
      </c>
      <c r="B461" s="8" t="s">
        <v>6340</v>
      </c>
      <c r="C461" s="8" t="s">
        <v>8268</v>
      </c>
      <c r="D461" s="8" t="n">
        <f aca="false">COUNTIF(Dishes!$M:$R,B461)</f>
        <v>0</v>
      </c>
      <c r="E461" s="8" t="n">
        <f aca="false">COUNTIF(Drinks!$N:$S,B461)</f>
        <v>1</v>
      </c>
      <c r="F461" s="8" t="n">
        <f aca="false">D461+E461</f>
        <v>1</v>
      </c>
    </row>
    <row r="462" customFormat="false" ht="15" hidden="false" customHeight="false" outlineLevel="0" collapsed="false">
      <c r="A462" s="8" t="s">
        <v>8730</v>
      </c>
      <c r="B462" s="8" t="s">
        <v>5070</v>
      </c>
      <c r="C462" s="8" t="s">
        <v>8257</v>
      </c>
      <c r="D462" s="8" t="n">
        <f aca="false">COUNTIF(Dishes!$M:$R,B462)</f>
        <v>2</v>
      </c>
      <c r="E462" s="8" t="n">
        <f aca="false">COUNTIF(Drinks!$N:$S,B462)</f>
        <v>1</v>
      </c>
      <c r="F462" s="8" t="n">
        <f aca="false">D462+E462</f>
        <v>3</v>
      </c>
    </row>
    <row r="463" customFormat="false" ht="15" hidden="false" customHeight="false" outlineLevel="0" collapsed="false">
      <c r="A463" s="8" t="s">
        <v>8731</v>
      </c>
      <c r="B463" s="8" t="s">
        <v>6330</v>
      </c>
      <c r="C463" s="8" t="s">
        <v>8344</v>
      </c>
      <c r="D463" s="8" t="n">
        <f aca="false">COUNTIF(Dishes!$M:$R,B463)</f>
        <v>0</v>
      </c>
      <c r="E463" s="8" t="n">
        <f aca="false">COUNTIF(Drinks!$N:$S,B463)</f>
        <v>2</v>
      </c>
      <c r="F463" s="8" t="n">
        <f aca="false">D463+E463</f>
        <v>2</v>
      </c>
    </row>
    <row r="464" customFormat="false" ht="15" hidden="false" customHeight="false" outlineLevel="0" collapsed="false">
      <c r="A464" s="8" t="s">
        <v>8732</v>
      </c>
      <c r="B464" s="8" t="s">
        <v>6913</v>
      </c>
      <c r="C464" s="8" t="s">
        <v>8344</v>
      </c>
      <c r="D464" s="8" t="n">
        <f aca="false">COUNTIF(Dishes!$M:$R,B464)</f>
        <v>0</v>
      </c>
      <c r="E464" s="8" t="n">
        <f aca="false">COUNTIF(Drinks!$N:$S,B464)</f>
        <v>2</v>
      </c>
      <c r="F464" s="8" t="n">
        <f aca="false">D464+E464</f>
        <v>2</v>
      </c>
    </row>
    <row r="465" customFormat="false" ht="15" hidden="false" customHeight="false" outlineLevel="0" collapsed="false">
      <c r="A465" s="8" t="s">
        <v>8733</v>
      </c>
      <c r="B465" s="8" t="s">
        <v>2256</v>
      </c>
      <c r="C465" s="8" t="s">
        <v>8265</v>
      </c>
      <c r="D465" s="8" t="n">
        <f aca="false">COUNTIF(Dishes!$M:$R,B465)</f>
        <v>1</v>
      </c>
      <c r="E465" s="8" t="n">
        <f aca="false">COUNTIF(Drinks!$N:$S,B465)</f>
        <v>2</v>
      </c>
      <c r="F465" s="8" t="n">
        <f aca="false">D465+E465</f>
        <v>3</v>
      </c>
    </row>
    <row r="466" customFormat="false" ht="15" hidden="false" customHeight="false" outlineLevel="0" collapsed="false">
      <c r="A466" s="8" t="s">
        <v>8734</v>
      </c>
      <c r="B466" s="8" t="s">
        <v>6931</v>
      </c>
      <c r="C466" s="8" t="s">
        <v>8344</v>
      </c>
      <c r="D466" s="8" t="n">
        <f aca="false">COUNTIF(Dishes!$M:$R,B466)</f>
        <v>0</v>
      </c>
      <c r="E466" s="8" t="n">
        <f aca="false">COUNTIF(Drinks!$N:$S,B466)</f>
        <v>1</v>
      </c>
      <c r="F466" s="8" t="n">
        <f aca="false">D466+E466</f>
        <v>1</v>
      </c>
    </row>
    <row r="467" customFormat="false" ht="15" hidden="false" customHeight="false" outlineLevel="0" collapsed="false">
      <c r="A467" s="8" t="s">
        <v>8735</v>
      </c>
      <c r="B467" s="8" t="s">
        <v>3258</v>
      </c>
      <c r="C467" s="8" t="s">
        <v>8257</v>
      </c>
      <c r="D467" s="8" t="n">
        <f aca="false">COUNTIF(Dishes!$M:$R,B467)</f>
        <v>1</v>
      </c>
      <c r="E467" s="8" t="n">
        <f aca="false">COUNTIF(Drinks!$N:$S,B467)</f>
        <v>0</v>
      </c>
      <c r="F467" s="8" t="n">
        <f aca="false">D467+E467</f>
        <v>1</v>
      </c>
    </row>
    <row r="468" customFormat="false" ht="15" hidden="false" customHeight="false" outlineLevel="0" collapsed="false">
      <c r="A468" s="8" t="s">
        <v>8736</v>
      </c>
      <c r="B468" s="8" t="s">
        <v>6756</v>
      </c>
      <c r="C468" s="8" t="s">
        <v>8344</v>
      </c>
      <c r="D468" s="8" t="n">
        <f aca="false">COUNTIF(Dishes!$M:$R,B468)</f>
        <v>0</v>
      </c>
      <c r="E468" s="8" t="n">
        <f aca="false">COUNTIF(Drinks!$N:$S,B468)</f>
        <v>3</v>
      </c>
      <c r="F468" s="8" t="n">
        <f aca="false">D468+E468</f>
        <v>3</v>
      </c>
    </row>
    <row r="469" customFormat="false" ht="15" hidden="false" customHeight="false" outlineLevel="0" collapsed="false">
      <c r="A469" s="8" t="s">
        <v>8737</v>
      </c>
      <c r="B469" s="8" t="s">
        <v>3278</v>
      </c>
      <c r="C469" s="8" t="s">
        <v>8272</v>
      </c>
      <c r="D469" s="8" t="n">
        <f aca="false">COUNTIF(Dishes!$M:$R,B469)</f>
        <v>1</v>
      </c>
      <c r="E469" s="8" t="n">
        <f aca="false">COUNTIF(Drinks!$N:$S,B469)</f>
        <v>0</v>
      </c>
      <c r="F469" s="8" t="n">
        <f aca="false">D469+E469</f>
        <v>1</v>
      </c>
    </row>
    <row r="470" customFormat="false" ht="15" hidden="false" customHeight="false" outlineLevel="0" collapsed="false">
      <c r="A470" s="8" t="s">
        <v>8738</v>
      </c>
      <c r="B470" s="8" t="s">
        <v>8739</v>
      </c>
      <c r="C470" s="8" t="s">
        <v>8344</v>
      </c>
      <c r="D470" s="8" t="n">
        <f aca="false">COUNTIF(Dishes!$M:$R,B470)</f>
        <v>1</v>
      </c>
      <c r="E470" s="8" t="n">
        <f aca="false">COUNTIF(Drinks!$N:$S,B470)</f>
        <v>0</v>
      </c>
      <c r="F470" s="8" t="n">
        <f aca="false">D470+E470</f>
        <v>1</v>
      </c>
    </row>
    <row r="471" customFormat="false" ht="15" hidden="false" customHeight="false" outlineLevel="0" collapsed="false">
      <c r="A471" s="8" t="s">
        <v>8740</v>
      </c>
      <c r="B471" s="8" t="s">
        <v>6365</v>
      </c>
      <c r="C471" s="8" t="s">
        <v>8268</v>
      </c>
      <c r="D471" s="8" t="n">
        <f aca="false">COUNTIF(Dishes!$M:$R,B471)</f>
        <v>0</v>
      </c>
      <c r="E471" s="8" t="n">
        <f aca="false">COUNTIF(Drinks!$N:$S,B471)</f>
        <v>1</v>
      </c>
      <c r="F471" s="8" t="n">
        <f aca="false">D471+E471</f>
        <v>1</v>
      </c>
    </row>
    <row r="472" customFormat="false" ht="15" hidden="false" customHeight="false" outlineLevel="0" collapsed="false">
      <c r="A472" s="8" t="s">
        <v>8741</v>
      </c>
      <c r="B472" s="8" t="s">
        <v>6258</v>
      </c>
      <c r="C472" s="8" t="s">
        <v>8268</v>
      </c>
      <c r="D472" s="8" t="n">
        <f aca="false">COUNTIF(Dishes!$M:$R,B472)</f>
        <v>0</v>
      </c>
      <c r="E472" s="8" t="n">
        <f aca="false">COUNTIF(Drinks!$N:$S,B472)</f>
        <v>1</v>
      </c>
      <c r="F472" s="8" t="n">
        <f aca="false">D472+E472</f>
        <v>1</v>
      </c>
    </row>
    <row r="473" customFormat="false" ht="15" hidden="false" customHeight="false" outlineLevel="0" collapsed="false">
      <c r="A473" s="8" t="s">
        <v>8742</v>
      </c>
      <c r="B473" s="8" t="s">
        <v>586</v>
      </c>
      <c r="C473" s="8" t="s">
        <v>8282</v>
      </c>
      <c r="D473" s="8" t="n">
        <f aca="false">COUNTIF(Dishes!$M:$R,B473)</f>
        <v>13</v>
      </c>
      <c r="E473" s="8" t="n">
        <f aca="false">COUNTIF(Drinks!$N:$S,B473)</f>
        <v>0</v>
      </c>
      <c r="F473" s="8" t="n">
        <f aca="false">D473+E473</f>
        <v>13</v>
      </c>
    </row>
    <row r="474" customFormat="false" ht="15" hidden="false" customHeight="false" outlineLevel="0" collapsed="false">
      <c r="A474" s="8" t="s">
        <v>8743</v>
      </c>
      <c r="B474" s="8" t="s">
        <v>714</v>
      </c>
      <c r="C474" s="8" t="s">
        <v>8282</v>
      </c>
      <c r="D474" s="8" t="n">
        <f aca="false">COUNTIF(Dishes!$M:$R,B474)</f>
        <v>1</v>
      </c>
      <c r="E474" s="8" t="n">
        <f aca="false">COUNTIF(Drinks!$N:$S,B474)</f>
        <v>0</v>
      </c>
      <c r="F474" s="8" t="n">
        <f aca="false">D474+E474</f>
        <v>1</v>
      </c>
    </row>
    <row r="475" customFormat="false" ht="15" hidden="false" customHeight="false" outlineLevel="0" collapsed="false">
      <c r="A475" s="8" t="s">
        <v>8744</v>
      </c>
      <c r="B475" s="8" t="s">
        <v>4536</v>
      </c>
      <c r="C475" s="8" t="s">
        <v>8282</v>
      </c>
      <c r="D475" s="8" t="n">
        <f aca="false">COUNTIF(Dishes!$M:$R,B475)</f>
        <v>2</v>
      </c>
      <c r="E475" s="8" t="n">
        <f aca="false">COUNTIF(Drinks!$N:$S,B475)</f>
        <v>0</v>
      </c>
      <c r="F475" s="8" t="n">
        <f aca="false">D475+E475</f>
        <v>2</v>
      </c>
    </row>
    <row r="476" customFormat="false" ht="15" hidden="false" customHeight="false" outlineLevel="0" collapsed="false">
      <c r="A476" s="8" t="s">
        <v>8745</v>
      </c>
      <c r="B476" s="8" t="s">
        <v>5700</v>
      </c>
      <c r="C476" s="8" t="s">
        <v>8265</v>
      </c>
      <c r="D476" s="8" t="n">
        <f aca="false">COUNTIF(Dishes!$M:$R,B476)</f>
        <v>1</v>
      </c>
      <c r="E476" s="8" t="n">
        <f aca="false">COUNTIF(Drinks!$N:$S,B476)</f>
        <v>0</v>
      </c>
      <c r="F476" s="8" t="n">
        <f aca="false">D476+E476</f>
        <v>1</v>
      </c>
    </row>
    <row r="477" customFormat="false" ht="15" hidden="false" customHeight="false" outlineLevel="0" collapsed="false">
      <c r="A477" s="8" t="s">
        <v>8746</v>
      </c>
      <c r="B477" s="8" t="s">
        <v>7057</v>
      </c>
      <c r="C477" s="8" t="s">
        <v>8282</v>
      </c>
      <c r="D477" s="8" t="n">
        <f aca="false">COUNTIF(Dishes!$M:$R,B477)</f>
        <v>0</v>
      </c>
      <c r="E477" s="8" t="n">
        <f aca="false">COUNTIF(Drinks!$N:$S,B477)</f>
        <v>1</v>
      </c>
      <c r="F477" s="8" t="n">
        <f aca="false">D477+E477</f>
        <v>1</v>
      </c>
    </row>
    <row r="478" customFormat="false" ht="15" hidden="false" customHeight="false" outlineLevel="0" collapsed="false">
      <c r="A478" s="8" t="s">
        <v>8747</v>
      </c>
      <c r="B478" s="8" t="s">
        <v>3387</v>
      </c>
      <c r="C478" s="8" t="s">
        <v>8272</v>
      </c>
      <c r="D478" s="8" t="n">
        <f aca="false">COUNTIF(Dishes!$M:$R,B478)</f>
        <v>1</v>
      </c>
      <c r="E478" s="8" t="n">
        <f aca="false">COUNTIF(Drinks!$N:$S,B478)</f>
        <v>0</v>
      </c>
      <c r="F478" s="8" t="n">
        <f aca="false">D478+E478</f>
        <v>1</v>
      </c>
    </row>
    <row r="479" customFormat="false" ht="15" hidden="false" customHeight="false" outlineLevel="0" collapsed="false">
      <c r="A479" s="8" t="s">
        <v>8748</v>
      </c>
      <c r="B479" s="8" t="s">
        <v>1886</v>
      </c>
      <c r="C479" s="8" t="s">
        <v>8259</v>
      </c>
      <c r="D479" s="8" t="n">
        <f aca="false">COUNTIF(Dishes!$M:$R,B479)</f>
        <v>1</v>
      </c>
      <c r="E479" s="8" t="n">
        <f aca="false">COUNTIF(Drinks!$N:$S,B479)</f>
        <v>0</v>
      </c>
      <c r="F479" s="8" t="n">
        <f aca="false">D479+E479</f>
        <v>1</v>
      </c>
    </row>
    <row r="480" customFormat="false" ht="15" hidden="false" customHeight="false" outlineLevel="0" collapsed="false">
      <c r="A480" s="8" t="s">
        <v>8749</v>
      </c>
      <c r="B480" s="8" t="s">
        <v>4544</v>
      </c>
      <c r="C480" s="8" t="s">
        <v>8257</v>
      </c>
      <c r="D480" s="8" t="n">
        <f aca="false">COUNTIF(Dishes!$M:$R,B480)</f>
        <v>1</v>
      </c>
      <c r="E480" s="8" t="n">
        <f aca="false">COUNTIF(Drinks!$N:$S,B480)</f>
        <v>0</v>
      </c>
      <c r="F480" s="8" t="n">
        <f aca="false">D480+E480</f>
        <v>1</v>
      </c>
    </row>
    <row r="481" customFormat="false" ht="15" hidden="false" customHeight="false" outlineLevel="0" collapsed="false">
      <c r="A481" s="8" t="s">
        <v>8750</v>
      </c>
      <c r="B481" s="8" t="s">
        <v>3227</v>
      </c>
      <c r="C481" s="8" t="s">
        <v>8261</v>
      </c>
      <c r="D481" s="8" t="n">
        <f aca="false">COUNTIF(Dishes!$M:$R,B481)</f>
        <v>1</v>
      </c>
      <c r="E481" s="8" t="n">
        <f aca="false">COUNTIF(Drinks!$N:$S,B481)</f>
        <v>0</v>
      </c>
      <c r="F481" s="8" t="n">
        <f aca="false">D481+E481</f>
        <v>1</v>
      </c>
    </row>
    <row r="482" customFormat="false" ht="15" hidden="false" customHeight="false" outlineLevel="0" collapsed="false">
      <c r="A482" s="8" t="s">
        <v>8751</v>
      </c>
      <c r="B482" s="8" t="s">
        <v>3803</v>
      </c>
      <c r="C482" s="8" t="s">
        <v>8287</v>
      </c>
      <c r="D482" s="8" t="n">
        <f aca="false">COUNTIF(Dishes!$M:$R,B482)</f>
        <v>1</v>
      </c>
      <c r="E482" s="8" t="n">
        <f aca="false">COUNTIF(Drinks!$N:$S,B482)</f>
        <v>0</v>
      </c>
      <c r="F482" s="8" t="n">
        <f aca="false">D482+E482</f>
        <v>1</v>
      </c>
    </row>
    <row r="483" customFormat="false" ht="15" hidden="false" customHeight="false" outlineLevel="0" collapsed="false">
      <c r="A483" s="8" t="s">
        <v>8752</v>
      </c>
      <c r="B483" s="8" t="s">
        <v>4686</v>
      </c>
      <c r="C483" s="8" t="s">
        <v>8259</v>
      </c>
      <c r="D483" s="8" t="n">
        <f aca="false">COUNTIF(Dishes!$M:$R,B483)</f>
        <v>1</v>
      </c>
      <c r="E483" s="8" t="n">
        <f aca="false">COUNTIF(Drinks!$N:$S,B483)</f>
        <v>2</v>
      </c>
      <c r="F483" s="8" t="n">
        <f aca="false">D483+E483</f>
        <v>3</v>
      </c>
    </row>
    <row r="484" customFormat="false" ht="15" hidden="false" customHeight="false" outlineLevel="0" collapsed="false">
      <c r="A484" s="8" t="s">
        <v>8753</v>
      </c>
      <c r="B484" s="8" t="s">
        <v>6377</v>
      </c>
      <c r="C484" s="8" t="s">
        <v>8268</v>
      </c>
      <c r="D484" s="8" t="n">
        <f aca="false">COUNTIF(Dishes!$M:$R,B484)</f>
        <v>0</v>
      </c>
      <c r="E484" s="8" t="n">
        <f aca="false">COUNTIF(Drinks!$N:$S,B484)</f>
        <v>1</v>
      </c>
      <c r="F484" s="8" t="n">
        <f aca="false">D484+E484</f>
        <v>1</v>
      </c>
    </row>
    <row r="485" customFormat="false" ht="15" hidden="false" customHeight="false" outlineLevel="0" collapsed="false">
      <c r="A485" s="8" t="s">
        <v>8754</v>
      </c>
      <c r="B485" s="8" t="s">
        <v>1471</v>
      </c>
      <c r="C485" s="8" t="s">
        <v>8261</v>
      </c>
      <c r="D485" s="8" t="n">
        <f aca="false">COUNTIF(Dishes!$M:$R,B485)</f>
        <v>1</v>
      </c>
      <c r="E485" s="8" t="n">
        <f aca="false">COUNTIF(Drinks!$N:$S,B485)</f>
        <v>0</v>
      </c>
      <c r="F485" s="8" t="n">
        <f aca="false">D485+E485</f>
        <v>1</v>
      </c>
    </row>
    <row r="486" customFormat="false" ht="15" hidden="false" customHeight="false" outlineLevel="0" collapsed="false">
      <c r="A486" s="8" t="s">
        <v>8755</v>
      </c>
      <c r="B486" s="8" t="s">
        <v>5904</v>
      </c>
      <c r="C486" s="8" t="s">
        <v>8287</v>
      </c>
      <c r="D486" s="8" t="n">
        <f aca="false">COUNTIF(Dishes!$M:$R,B486)</f>
        <v>1</v>
      </c>
      <c r="E486" s="8" t="n">
        <f aca="false">COUNTIF(Drinks!$N:$S,B486)</f>
        <v>0</v>
      </c>
      <c r="F486" s="8" t="n">
        <f aca="false">D486+E486</f>
        <v>1</v>
      </c>
    </row>
    <row r="487" customFormat="false" ht="15" hidden="false" customHeight="false" outlineLevel="0" collapsed="false">
      <c r="A487" s="8" t="s">
        <v>8756</v>
      </c>
      <c r="B487" s="8" t="s">
        <v>359</v>
      </c>
      <c r="C487" s="8" t="s">
        <v>8259</v>
      </c>
      <c r="D487" s="8" t="n">
        <f aca="false">COUNTIF(Dishes!$M:$R,B487)</f>
        <v>1</v>
      </c>
      <c r="E487" s="8" t="n">
        <f aca="false">COUNTIF(Drinks!$N:$S,B487)</f>
        <v>0</v>
      </c>
      <c r="F487" s="8" t="n">
        <f aca="false">D487+E487</f>
        <v>1</v>
      </c>
    </row>
    <row r="488" customFormat="false" ht="15" hidden="false" customHeight="false" outlineLevel="0" collapsed="false">
      <c r="A488" s="8" t="s">
        <v>8757</v>
      </c>
      <c r="B488" s="8" t="s">
        <v>1255</v>
      </c>
      <c r="C488" s="8" t="s">
        <v>8257</v>
      </c>
      <c r="D488" s="8" t="n">
        <f aca="false">COUNTIF(Dishes!$M:$R,B488)</f>
        <v>1</v>
      </c>
      <c r="E488" s="8" t="n">
        <f aca="false">COUNTIF(Drinks!$N:$S,B488)</f>
        <v>0</v>
      </c>
      <c r="F488" s="8" t="n">
        <f aca="false">D488+E488</f>
        <v>1</v>
      </c>
    </row>
    <row r="489" customFormat="false" ht="15" hidden="false" customHeight="false" outlineLevel="0" collapsed="false">
      <c r="A489" s="8" t="s">
        <v>8758</v>
      </c>
      <c r="B489" s="8" t="s">
        <v>1331</v>
      </c>
      <c r="C489" s="8" t="s">
        <v>8272</v>
      </c>
      <c r="D489" s="8" t="n">
        <f aca="false">COUNTIF(Dishes!$M:$R,B489)</f>
        <v>1</v>
      </c>
      <c r="E489" s="8" t="n">
        <f aca="false">COUNTIF(Drinks!$N:$S,B489)</f>
        <v>0</v>
      </c>
      <c r="F489" s="8" t="n">
        <f aca="false">D489+E489</f>
        <v>1</v>
      </c>
    </row>
    <row r="490" customFormat="false" ht="15" hidden="false" customHeight="false" outlineLevel="0" collapsed="false">
      <c r="A490" s="8" t="s">
        <v>8759</v>
      </c>
      <c r="B490" s="8" t="s">
        <v>4870</v>
      </c>
      <c r="C490" s="8" t="s">
        <v>8265</v>
      </c>
      <c r="D490" s="8" t="n">
        <f aca="false">COUNTIF(Dishes!$M:$R,B490)</f>
        <v>1</v>
      </c>
      <c r="E490" s="8" t="n">
        <f aca="false">COUNTIF(Drinks!$N:$S,B490)</f>
        <v>0</v>
      </c>
      <c r="F490" s="8" t="n">
        <f aca="false">D490+E490</f>
        <v>1</v>
      </c>
    </row>
    <row r="491" customFormat="false" ht="15" hidden="false" customHeight="false" outlineLevel="0" collapsed="false">
      <c r="A491" s="8" t="s">
        <v>8760</v>
      </c>
      <c r="B491" s="8" t="s">
        <v>4434</v>
      </c>
      <c r="C491" s="8" t="s">
        <v>8287</v>
      </c>
      <c r="D491" s="8" t="n">
        <f aca="false">COUNTIF(Dishes!$M:$R,B491)</f>
        <v>1</v>
      </c>
      <c r="E491" s="8" t="n">
        <f aca="false">COUNTIF(Drinks!$N:$S,B491)</f>
        <v>0</v>
      </c>
      <c r="F491" s="8" t="n">
        <f aca="false">D491+E491</f>
        <v>1</v>
      </c>
    </row>
    <row r="492" customFormat="false" ht="15" hidden="false" customHeight="false" outlineLevel="0" collapsed="false">
      <c r="A492" s="8" t="s">
        <v>8761</v>
      </c>
      <c r="B492" s="8" t="s">
        <v>1120</v>
      </c>
      <c r="C492" s="8" t="s">
        <v>8259</v>
      </c>
      <c r="D492" s="8" t="n">
        <f aca="false">COUNTIF(Dishes!$M:$R,B492)</f>
        <v>1</v>
      </c>
      <c r="E492" s="8" t="n">
        <f aca="false">COUNTIF(Drinks!$N:$S,B492)</f>
        <v>0</v>
      </c>
      <c r="F492" s="8" t="n">
        <f aca="false">D492+E492</f>
        <v>1</v>
      </c>
    </row>
    <row r="493" customFormat="false" ht="15" hidden="false" customHeight="false" outlineLevel="0" collapsed="false">
      <c r="A493" s="8" t="s">
        <v>8762</v>
      </c>
      <c r="B493" s="8" t="s">
        <v>3663</v>
      </c>
      <c r="C493" s="8" t="s">
        <v>8287</v>
      </c>
      <c r="D493" s="8" t="n">
        <f aca="false">COUNTIF(Dishes!$M:$R,B493)</f>
        <v>1</v>
      </c>
      <c r="E493" s="8" t="n">
        <f aca="false">COUNTIF(Drinks!$N:$S,B493)</f>
        <v>0</v>
      </c>
      <c r="F493" s="8" t="n">
        <f aca="false">D493+E493</f>
        <v>1</v>
      </c>
    </row>
    <row r="494" customFormat="false" ht="15" hidden="false" customHeight="false" outlineLevel="0" collapsed="false">
      <c r="A494" s="8" t="s">
        <v>8763</v>
      </c>
      <c r="B494" s="8" t="s">
        <v>297</v>
      </c>
      <c r="C494" s="8" t="s">
        <v>8259</v>
      </c>
      <c r="D494" s="8" t="n">
        <f aca="false">COUNTIF(Dishes!$M:$R,B494)</f>
        <v>4</v>
      </c>
      <c r="E494" s="8" t="n">
        <f aca="false">COUNTIF(Drinks!$N:$S,B494)</f>
        <v>0</v>
      </c>
      <c r="F494" s="8" t="n">
        <f aca="false">D494+E494</f>
        <v>4</v>
      </c>
    </row>
    <row r="495" customFormat="false" ht="15" hidden="false" customHeight="false" outlineLevel="0" collapsed="false">
      <c r="A495" s="8" t="s">
        <v>8764</v>
      </c>
      <c r="B495" s="8" t="s">
        <v>1724</v>
      </c>
      <c r="C495" s="8" t="s">
        <v>8257</v>
      </c>
      <c r="D495" s="8" t="n">
        <f aca="false">COUNTIF(Dishes!$M:$R,B495)</f>
        <v>1</v>
      </c>
      <c r="E495" s="8" t="n">
        <f aca="false">COUNTIF(Drinks!$N:$S,B495)</f>
        <v>0</v>
      </c>
      <c r="F495" s="8" t="n">
        <f aca="false">D495+E495</f>
        <v>1</v>
      </c>
    </row>
    <row r="496" customFormat="false" ht="15" hidden="false" customHeight="false" outlineLevel="0" collapsed="false">
      <c r="A496" s="8" t="s">
        <v>8765</v>
      </c>
      <c r="B496" s="8" t="s">
        <v>209</v>
      </c>
      <c r="C496" s="8" t="s">
        <v>8259</v>
      </c>
      <c r="D496" s="8" t="n">
        <f aca="false">COUNTIF(Dishes!$M:$R,B496)</f>
        <v>2</v>
      </c>
      <c r="E496" s="8" t="n">
        <f aca="false">COUNTIF(Drinks!$N:$S,B496)</f>
        <v>0</v>
      </c>
      <c r="F496" s="8" t="n">
        <f aca="false">D496+E496</f>
        <v>2</v>
      </c>
    </row>
    <row r="497" customFormat="false" ht="15" hidden="false" customHeight="false" outlineLevel="0" collapsed="false">
      <c r="A497" s="8" t="s">
        <v>8766</v>
      </c>
      <c r="B497" s="8" t="s">
        <v>3548</v>
      </c>
      <c r="C497" s="8" t="s">
        <v>8257</v>
      </c>
      <c r="D497" s="8" t="n">
        <f aca="false">COUNTIF(Dishes!$M:$R,B497)</f>
        <v>3</v>
      </c>
      <c r="E497" s="8" t="n">
        <f aca="false">COUNTIF(Drinks!$N:$S,B497)</f>
        <v>0</v>
      </c>
      <c r="F497" s="8" t="n">
        <f aca="false">D497+E497</f>
        <v>3</v>
      </c>
    </row>
    <row r="498" customFormat="false" ht="15" hidden="false" customHeight="false" outlineLevel="0" collapsed="false">
      <c r="A498" s="8" t="s">
        <v>8767</v>
      </c>
      <c r="B498" s="8" t="s">
        <v>3555</v>
      </c>
      <c r="C498" s="8" t="s">
        <v>8261</v>
      </c>
      <c r="D498" s="8" t="n">
        <f aca="false">COUNTIF(Dishes!$M:$R,B498)</f>
        <v>1</v>
      </c>
      <c r="E498" s="8" t="n">
        <f aca="false">COUNTIF(Drinks!$N:$S,B498)</f>
        <v>0</v>
      </c>
      <c r="F498" s="8" t="n">
        <f aca="false">D498+E498</f>
        <v>1</v>
      </c>
    </row>
    <row r="499" customFormat="false" ht="15" hidden="false" customHeight="false" outlineLevel="0" collapsed="false">
      <c r="A499" s="8" t="s">
        <v>8768</v>
      </c>
      <c r="B499" s="8" t="s">
        <v>2612</v>
      </c>
      <c r="C499" s="8" t="s">
        <v>8257</v>
      </c>
      <c r="D499" s="8" t="n">
        <f aca="false">COUNTIF(Dishes!$M:$R,B499)</f>
        <v>4</v>
      </c>
      <c r="E499" s="8" t="n">
        <f aca="false">COUNTIF(Drinks!$N:$S,B499)</f>
        <v>0</v>
      </c>
      <c r="F499" s="8" t="n">
        <f aca="false">D499+E499</f>
        <v>4</v>
      </c>
    </row>
    <row r="500" customFormat="false" ht="15" hidden="false" customHeight="false" outlineLevel="0" collapsed="false">
      <c r="A500" s="8" t="s">
        <v>8769</v>
      </c>
      <c r="B500" s="8" t="s">
        <v>509</v>
      </c>
      <c r="C500" s="8" t="s">
        <v>8259</v>
      </c>
      <c r="D500" s="8" t="n">
        <f aca="false">COUNTIF(Dishes!$M:$R,B500)</f>
        <v>4</v>
      </c>
      <c r="E500" s="8" t="n">
        <f aca="false">COUNTIF(Drinks!$N:$S,B500)</f>
        <v>0</v>
      </c>
      <c r="F500" s="8" t="n">
        <f aca="false">D500+E500</f>
        <v>4</v>
      </c>
    </row>
    <row r="501" customFormat="false" ht="15" hidden="false" customHeight="false" outlineLevel="0" collapsed="false">
      <c r="A501" s="8" t="s">
        <v>8770</v>
      </c>
      <c r="B501" s="8" t="s">
        <v>5222</v>
      </c>
      <c r="C501" s="8" t="s">
        <v>8261</v>
      </c>
      <c r="D501" s="8" t="n">
        <f aca="false">COUNTIF(Dishes!$M:$R,B501)</f>
        <v>1</v>
      </c>
      <c r="E501" s="8" t="n">
        <f aca="false">COUNTIF(Drinks!$N:$S,B501)</f>
        <v>0</v>
      </c>
      <c r="F501" s="8" t="n">
        <f aca="false">D501+E501</f>
        <v>1</v>
      </c>
    </row>
    <row r="502" customFormat="false" ht="15" hidden="false" customHeight="false" outlineLevel="0" collapsed="false">
      <c r="A502" s="8" t="s">
        <v>8771</v>
      </c>
      <c r="B502" s="8" t="s">
        <v>2206</v>
      </c>
      <c r="C502" s="8" t="s">
        <v>8265</v>
      </c>
      <c r="D502" s="8" t="n">
        <f aca="false">COUNTIF(Dishes!$M:$R,B502)</f>
        <v>1</v>
      </c>
      <c r="E502" s="8" t="n">
        <f aca="false">COUNTIF(Drinks!$N:$S,B502)</f>
        <v>1</v>
      </c>
      <c r="F502" s="8" t="n">
        <f aca="false">D502+E502</f>
        <v>2</v>
      </c>
    </row>
    <row r="503" customFormat="false" ht="15" hidden="false" customHeight="false" outlineLevel="0" collapsed="false">
      <c r="A503" s="8" t="s">
        <v>8772</v>
      </c>
      <c r="B503" s="8" t="s">
        <v>2127</v>
      </c>
      <c r="C503" s="8" t="s">
        <v>8265</v>
      </c>
      <c r="D503" s="8" t="n">
        <f aca="false">COUNTIF(Dishes!$M:$R,B503)</f>
        <v>1</v>
      </c>
      <c r="E503" s="8" t="n">
        <f aca="false">COUNTIF(Drinks!$N:$S,B503)</f>
        <v>0</v>
      </c>
      <c r="F503" s="8" t="n">
        <f aca="false">D503+E503</f>
        <v>1</v>
      </c>
    </row>
    <row r="504" customFormat="false" ht="15" hidden="false" customHeight="false" outlineLevel="0" collapsed="false">
      <c r="A504" s="8" t="s">
        <v>8773</v>
      </c>
      <c r="B504" s="8" t="s">
        <v>263</v>
      </c>
      <c r="C504" s="8" t="s">
        <v>8298</v>
      </c>
      <c r="D504" s="8" t="n">
        <f aca="false">COUNTIF(Dishes!$M:$R,B504)</f>
        <v>2</v>
      </c>
      <c r="E504" s="8" t="n">
        <f aca="false">COUNTIF(Drinks!$N:$S,B504)</f>
        <v>0</v>
      </c>
      <c r="F504" s="8" t="n">
        <f aca="false">D504+E504</f>
        <v>2</v>
      </c>
    </row>
    <row r="505" customFormat="false" ht="15" hidden="false" customHeight="false" outlineLevel="0" collapsed="false">
      <c r="A505" s="8" t="s">
        <v>8774</v>
      </c>
      <c r="B505" s="8" t="s">
        <v>3194</v>
      </c>
      <c r="C505" s="8" t="s">
        <v>8257</v>
      </c>
      <c r="D505" s="8" t="n">
        <f aca="false">COUNTIF(Dishes!$M:$R,B505)</f>
        <v>2</v>
      </c>
      <c r="E505" s="8" t="n">
        <f aca="false">COUNTIF(Drinks!$N:$S,B505)</f>
        <v>0</v>
      </c>
      <c r="F505" s="8" t="n">
        <f aca="false">D505+E505</f>
        <v>2</v>
      </c>
    </row>
    <row r="506" customFormat="false" ht="15" hidden="false" customHeight="false" outlineLevel="0" collapsed="false">
      <c r="A506" s="8" t="s">
        <v>8775</v>
      </c>
      <c r="B506" s="8" t="s">
        <v>1809</v>
      </c>
      <c r="C506" s="8" t="s">
        <v>8259</v>
      </c>
      <c r="D506" s="8" t="n">
        <f aca="false">COUNTIF(Dishes!$M:$R,B506)</f>
        <v>1</v>
      </c>
      <c r="E506" s="8" t="n">
        <f aca="false">COUNTIF(Drinks!$N:$S,B506)</f>
        <v>0</v>
      </c>
      <c r="F506" s="8" t="n">
        <f aca="false">D506+E506</f>
        <v>1</v>
      </c>
    </row>
    <row r="507" customFormat="false" ht="15" hidden="false" customHeight="false" outlineLevel="0" collapsed="false">
      <c r="A507" s="8" t="s">
        <v>8776</v>
      </c>
      <c r="B507" s="8" t="s">
        <v>1420</v>
      </c>
      <c r="C507" s="8" t="s">
        <v>8274</v>
      </c>
      <c r="D507" s="8" t="n">
        <f aca="false">COUNTIF(Dishes!$M:$R,B507)</f>
        <v>1</v>
      </c>
      <c r="E507" s="8" t="n">
        <f aca="false">COUNTIF(Drinks!$N:$S,B507)</f>
        <v>0</v>
      </c>
      <c r="F507" s="8" t="n">
        <f aca="false">D507+E507</f>
        <v>1</v>
      </c>
    </row>
    <row r="508" customFormat="false" ht="15" hidden="false" customHeight="false" outlineLevel="0" collapsed="false">
      <c r="A508" s="8" t="s">
        <v>8777</v>
      </c>
      <c r="B508" s="8" t="s">
        <v>4297</v>
      </c>
      <c r="C508" s="8" t="s">
        <v>8268</v>
      </c>
      <c r="D508" s="8" t="n">
        <f aca="false">COUNTIF(Dishes!$M:$R,B508)</f>
        <v>2</v>
      </c>
      <c r="E508" s="8" t="n">
        <f aca="false">COUNTIF(Drinks!$N:$S,B508)</f>
        <v>0</v>
      </c>
      <c r="F508" s="8" t="n">
        <f aca="false">D508+E508</f>
        <v>2</v>
      </c>
    </row>
    <row r="509" customFormat="false" ht="15" hidden="false" customHeight="false" outlineLevel="0" collapsed="false">
      <c r="A509" s="8" t="s">
        <v>8778</v>
      </c>
      <c r="B509" s="8" t="s">
        <v>5927</v>
      </c>
      <c r="C509" s="8" t="s">
        <v>8261</v>
      </c>
      <c r="D509" s="8" t="n">
        <f aca="false">COUNTIF(Dishes!$M:$R,B509)</f>
        <v>1</v>
      </c>
      <c r="E509" s="8" t="n">
        <f aca="false">COUNTIF(Drinks!$N:$S,B509)</f>
        <v>0</v>
      </c>
      <c r="F509" s="8" t="n">
        <f aca="false">D509+E509</f>
        <v>1</v>
      </c>
    </row>
    <row r="510" customFormat="false" ht="15" hidden="false" customHeight="false" outlineLevel="0" collapsed="false">
      <c r="A510" s="8" t="s">
        <v>8779</v>
      </c>
      <c r="B510" s="8" t="s">
        <v>6385</v>
      </c>
      <c r="C510" s="8" t="s">
        <v>8344</v>
      </c>
      <c r="D510" s="8" t="n">
        <f aca="false">COUNTIF(Dishes!$M:$R,B510)</f>
        <v>0</v>
      </c>
      <c r="E510" s="8" t="n">
        <f aca="false">COUNTIF(Drinks!$N:$S,B510)</f>
        <v>1</v>
      </c>
      <c r="F510" s="8" t="n">
        <f aca="false">D510+E510</f>
        <v>1</v>
      </c>
    </row>
    <row r="511" customFormat="false" ht="15" hidden="false" customHeight="false" outlineLevel="0" collapsed="false">
      <c r="A511" s="8" t="s">
        <v>8780</v>
      </c>
      <c r="B511" s="8" t="s">
        <v>790</v>
      </c>
      <c r="C511" s="8" t="s">
        <v>8261</v>
      </c>
      <c r="D511" s="8" t="n">
        <f aca="false">COUNTIF(Dishes!$M:$R,B511)</f>
        <v>2</v>
      </c>
      <c r="E511" s="8" t="n">
        <f aca="false">COUNTIF(Drinks!$N:$S,B511)</f>
        <v>1</v>
      </c>
      <c r="F511" s="8" t="n">
        <f aca="false">D511+E511</f>
        <v>3</v>
      </c>
    </row>
    <row r="512" customFormat="false" ht="15" hidden="false" customHeight="false" outlineLevel="0" collapsed="false">
      <c r="A512" s="8" t="s">
        <v>8781</v>
      </c>
      <c r="B512" s="8" t="s">
        <v>884</v>
      </c>
      <c r="C512" s="8" t="s">
        <v>8259</v>
      </c>
      <c r="D512" s="8" t="n">
        <f aca="false">COUNTIF(Dishes!$M:$R,B512)</f>
        <v>1</v>
      </c>
      <c r="E512" s="8" t="n">
        <f aca="false">COUNTIF(Drinks!$N:$S,B512)</f>
        <v>0</v>
      </c>
      <c r="F512" s="8" t="n">
        <f aca="false">D512+E512</f>
        <v>1</v>
      </c>
    </row>
    <row r="513" customFormat="false" ht="15" hidden="false" customHeight="false" outlineLevel="0" collapsed="false">
      <c r="A513" s="8" t="s">
        <v>8782</v>
      </c>
      <c r="B513" s="8" t="s">
        <v>2913</v>
      </c>
      <c r="C513" s="8" t="s">
        <v>8287</v>
      </c>
      <c r="D513" s="8" t="n">
        <f aca="false">COUNTIF(Dishes!$M:$R,B513)</f>
        <v>1</v>
      </c>
      <c r="E513" s="8" t="n">
        <f aca="false">COUNTIF(Drinks!$N:$S,B513)</f>
        <v>0</v>
      </c>
      <c r="F513" s="8" t="n">
        <f aca="false">D513+E513</f>
        <v>1</v>
      </c>
    </row>
    <row r="514" customFormat="false" ht="15" hidden="false" customHeight="false" outlineLevel="0" collapsed="false">
      <c r="A514" s="8" t="s">
        <v>8783</v>
      </c>
      <c r="B514" s="8" t="s">
        <v>3026</v>
      </c>
      <c r="C514" s="8" t="s">
        <v>8257</v>
      </c>
      <c r="D514" s="8" t="n">
        <f aca="false">COUNTIF(Dishes!$M:$R,B514)</f>
        <v>1</v>
      </c>
      <c r="E514" s="8" t="n">
        <f aca="false">COUNTIF(Drinks!$N:$S,B514)</f>
        <v>0</v>
      </c>
      <c r="F514" s="8" t="n">
        <f aca="false">D514+E514</f>
        <v>1</v>
      </c>
    </row>
    <row r="515" customFormat="false" ht="15" hidden="false" customHeight="false" outlineLevel="0" collapsed="false">
      <c r="A515" s="8" t="s">
        <v>8784</v>
      </c>
      <c r="B515" s="8" t="s">
        <v>3623</v>
      </c>
      <c r="C515" s="8" t="s">
        <v>8344</v>
      </c>
      <c r="D515" s="8" t="n">
        <f aca="false">COUNTIF(Dishes!$M:$R,B515)</f>
        <v>1</v>
      </c>
      <c r="E515" s="8" t="n">
        <f aca="false">COUNTIF(Drinks!$N:$S,B515)</f>
        <v>0</v>
      </c>
      <c r="F515" s="8" t="n">
        <f aca="false">D515+E515</f>
        <v>1</v>
      </c>
    </row>
    <row r="516" customFormat="false" ht="15" hidden="false" customHeight="false" outlineLevel="0" collapsed="false">
      <c r="A516" s="8" t="s">
        <v>8785</v>
      </c>
      <c r="B516" s="8" t="s">
        <v>1287</v>
      </c>
      <c r="C516" s="8" t="s">
        <v>8261</v>
      </c>
      <c r="D516" s="8" t="n">
        <f aca="false">COUNTIF(Dishes!$M:$R,B516)</f>
        <v>1</v>
      </c>
      <c r="E516" s="8" t="n">
        <f aca="false">COUNTIF(Drinks!$N:$S,B516)</f>
        <v>0</v>
      </c>
      <c r="F516" s="8" t="n">
        <f aca="false">D516+E516</f>
        <v>1</v>
      </c>
    </row>
    <row r="517" customFormat="false" ht="15" hidden="false" customHeight="false" outlineLevel="0" collapsed="false">
      <c r="A517" s="8" t="s">
        <v>8786</v>
      </c>
      <c r="B517" s="8" t="s">
        <v>444</v>
      </c>
      <c r="C517" s="8" t="s">
        <v>8272</v>
      </c>
      <c r="D517" s="8" t="n">
        <f aca="false">COUNTIF(Dishes!$M:$R,B517)</f>
        <v>1</v>
      </c>
      <c r="E517" s="8" t="n">
        <f aca="false">COUNTIF(Drinks!$N:$S,B517)</f>
        <v>0</v>
      </c>
      <c r="F517" s="8" t="n">
        <f aca="false">D517+E517</f>
        <v>1</v>
      </c>
    </row>
    <row r="518" customFormat="false" ht="15" hidden="false" customHeight="false" outlineLevel="0" collapsed="false">
      <c r="A518" s="8" t="s">
        <v>8787</v>
      </c>
      <c r="B518" s="8" t="s">
        <v>3940</v>
      </c>
      <c r="C518" s="8" t="s">
        <v>8272</v>
      </c>
      <c r="D518" s="8" t="n">
        <f aca="false">COUNTIF(Dishes!$M:$R,B518)</f>
        <v>1</v>
      </c>
      <c r="E518" s="8" t="n">
        <f aca="false">COUNTIF(Drinks!$N:$S,B518)</f>
        <v>0</v>
      </c>
      <c r="F518" s="8" t="n">
        <f aca="false">D518+E518</f>
        <v>1</v>
      </c>
    </row>
    <row r="519" customFormat="false" ht="15" hidden="false" customHeight="false" outlineLevel="0" collapsed="false">
      <c r="A519" s="8" t="s">
        <v>8788</v>
      </c>
      <c r="B519" s="8" t="s">
        <v>3804</v>
      </c>
      <c r="C519" s="8" t="s">
        <v>8276</v>
      </c>
      <c r="D519" s="8" t="n">
        <f aca="false">COUNTIF(Dishes!$M:$R,B519)</f>
        <v>10</v>
      </c>
      <c r="E519" s="8" t="n">
        <f aca="false">COUNTIF(Drinks!$N:$S,B519)</f>
        <v>0</v>
      </c>
      <c r="F519" s="8" t="n">
        <f aca="false">D519+E519</f>
        <v>10</v>
      </c>
    </row>
    <row r="520" customFormat="false" ht="15" hidden="false" customHeight="false" outlineLevel="0" collapsed="false">
      <c r="A520" s="8" t="s">
        <v>8789</v>
      </c>
      <c r="B520" s="8" t="s">
        <v>4083</v>
      </c>
      <c r="C520" s="8" t="s">
        <v>8265</v>
      </c>
      <c r="D520" s="8" t="n">
        <f aca="false">COUNTIF(Dishes!$M:$R,B520)</f>
        <v>2</v>
      </c>
      <c r="E520" s="8" t="n">
        <f aca="false">COUNTIF(Drinks!$N:$S,B520)</f>
        <v>0</v>
      </c>
      <c r="F520" s="8" t="n">
        <f aca="false">D520+E520</f>
        <v>2</v>
      </c>
    </row>
    <row r="521" customFormat="false" ht="15" hidden="false" customHeight="false" outlineLevel="0" collapsed="false">
      <c r="A521" s="8" t="s">
        <v>8790</v>
      </c>
      <c r="B521" s="8" t="s">
        <v>4760</v>
      </c>
      <c r="C521" s="8" t="s">
        <v>8272</v>
      </c>
      <c r="D521" s="8" t="n">
        <f aca="false">COUNTIF(Dishes!$M:$R,B521)</f>
        <v>1</v>
      </c>
      <c r="E521" s="8" t="n">
        <f aca="false">COUNTIF(Drinks!$N:$S,B521)</f>
        <v>0</v>
      </c>
      <c r="F521" s="8" t="n">
        <f aca="false">D521+E521</f>
        <v>1</v>
      </c>
    </row>
    <row r="522" customFormat="false" ht="15" hidden="false" customHeight="false" outlineLevel="0" collapsed="false">
      <c r="A522" s="8" t="s">
        <v>8791</v>
      </c>
      <c r="B522" s="8" t="s">
        <v>3521</v>
      </c>
      <c r="C522" s="8" t="s">
        <v>8276</v>
      </c>
      <c r="D522" s="8" t="n">
        <f aca="false">COUNTIF(Dishes!$M:$R,B522)</f>
        <v>1</v>
      </c>
      <c r="E522" s="8" t="n">
        <f aca="false">COUNTIF(Drinks!$N:$S,B522)</f>
        <v>0</v>
      </c>
      <c r="F522" s="8" t="n">
        <f aca="false">D522+E522</f>
        <v>1</v>
      </c>
    </row>
    <row r="523" customFormat="false" ht="15" hidden="false" customHeight="false" outlineLevel="0" collapsed="false">
      <c r="A523" s="8" t="s">
        <v>8792</v>
      </c>
      <c r="B523" s="8" t="s">
        <v>5300</v>
      </c>
      <c r="C523" s="8" t="s">
        <v>8276</v>
      </c>
      <c r="D523" s="8" t="n">
        <f aca="false">COUNTIF(Dishes!$M:$R,B523)</f>
        <v>2</v>
      </c>
      <c r="E523" s="8" t="n">
        <f aca="false">COUNTIF(Drinks!$N:$S,B523)</f>
        <v>0</v>
      </c>
      <c r="F523" s="8" t="n">
        <f aca="false">D523+E523</f>
        <v>2</v>
      </c>
    </row>
    <row r="524" customFormat="false" ht="15" hidden="false" customHeight="false" outlineLevel="0" collapsed="false">
      <c r="A524" s="8" t="s">
        <v>8793</v>
      </c>
      <c r="B524" s="8" t="s">
        <v>4094</v>
      </c>
      <c r="C524" s="8" t="s">
        <v>8276</v>
      </c>
      <c r="D524" s="8" t="n">
        <f aca="false">COUNTIF(Dishes!$M:$R,B524)</f>
        <v>1</v>
      </c>
      <c r="E524" s="8" t="n">
        <f aca="false">COUNTIF(Drinks!$N:$S,B524)</f>
        <v>0</v>
      </c>
      <c r="F524" s="8" t="n">
        <f aca="false">D524+E524</f>
        <v>1</v>
      </c>
    </row>
    <row r="525" customFormat="false" ht="15" hidden="false" customHeight="false" outlineLevel="0" collapsed="false">
      <c r="A525" s="8" t="s">
        <v>8794</v>
      </c>
      <c r="B525" s="8" t="s">
        <v>5318</v>
      </c>
      <c r="C525" s="8" t="s">
        <v>8272</v>
      </c>
      <c r="D525" s="8" t="n">
        <f aca="false">COUNTIF(Dishes!$M:$R,B525)</f>
        <v>1</v>
      </c>
      <c r="E525" s="8" t="n">
        <f aca="false">COUNTIF(Drinks!$N:$S,B525)</f>
        <v>0</v>
      </c>
      <c r="F525" s="8" t="n">
        <f aca="false">D525+E525</f>
        <v>1</v>
      </c>
    </row>
    <row r="526" customFormat="false" ht="15" hidden="false" customHeight="false" outlineLevel="0" collapsed="false">
      <c r="A526" s="8" t="s">
        <v>8795</v>
      </c>
      <c r="B526" s="8" t="s">
        <v>650</v>
      </c>
      <c r="C526" s="8" t="s">
        <v>8259</v>
      </c>
      <c r="D526" s="8" t="n">
        <f aca="false">COUNTIF(Dishes!$M:$R,B526)</f>
        <v>1</v>
      </c>
      <c r="E526" s="8" t="n">
        <f aca="false">COUNTIF(Drinks!$N:$S,B526)</f>
        <v>0</v>
      </c>
      <c r="F526" s="8" t="n">
        <f aca="false">D526+E526</f>
        <v>1</v>
      </c>
    </row>
    <row r="527" customFormat="false" ht="15" hidden="false" customHeight="false" outlineLevel="0" collapsed="false">
      <c r="A527" s="8" t="s">
        <v>8796</v>
      </c>
      <c r="B527" s="8" t="s">
        <v>5019</v>
      </c>
      <c r="C527" s="8" t="s">
        <v>8272</v>
      </c>
      <c r="D527" s="8" t="n">
        <f aca="false">COUNTIF(Dishes!$M:$R,B527)</f>
        <v>1</v>
      </c>
      <c r="E527" s="8" t="n">
        <f aca="false">COUNTIF(Drinks!$N:$S,B527)</f>
        <v>0</v>
      </c>
      <c r="F527" s="8" t="n">
        <f aca="false">D527+E527</f>
        <v>1</v>
      </c>
    </row>
    <row r="528" customFormat="false" ht="15" hidden="false" customHeight="false" outlineLevel="0" collapsed="false">
      <c r="A528" s="8" t="s">
        <v>8797</v>
      </c>
      <c r="B528" s="8" t="s">
        <v>5843</v>
      </c>
      <c r="C528" s="8" t="s">
        <v>8287</v>
      </c>
      <c r="D528" s="8" t="n">
        <f aca="false">COUNTIF(Dishes!$M:$R,B528)</f>
        <v>1</v>
      </c>
      <c r="E528" s="8" t="n">
        <f aca="false">COUNTIF(Drinks!$N:$S,B528)</f>
        <v>0</v>
      </c>
      <c r="F528" s="8" t="n">
        <f aca="false">D528+E528</f>
        <v>1</v>
      </c>
    </row>
    <row r="529" customFormat="false" ht="15" hidden="false" customHeight="false" outlineLevel="0" collapsed="false">
      <c r="A529" s="8" t="s">
        <v>8798</v>
      </c>
      <c r="B529" s="8" t="s">
        <v>2682</v>
      </c>
      <c r="C529" s="8" t="s">
        <v>8287</v>
      </c>
      <c r="D529" s="8" t="n">
        <f aca="false">COUNTIF(Dishes!$M:$R,B529)</f>
        <v>1</v>
      </c>
      <c r="E529" s="8" t="n">
        <f aca="false">COUNTIF(Drinks!$N:$S,B529)</f>
        <v>0</v>
      </c>
      <c r="F529" s="8" t="n">
        <f aca="false">D529+E529</f>
        <v>1</v>
      </c>
    </row>
    <row r="530" customFormat="false" ht="15" hidden="false" customHeight="false" outlineLevel="0" collapsed="false">
      <c r="A530" s="8" t="s">
        <v>8799</v>
      </c>
      <c r="B530" s="8" t="s">
        <v>442</v>
      </c>
      <c r="C530" s="8" t="s">
        <v>8261</v>
      </c>
      <c r="D530" s="8" t="n">
        <f aca="false">COUNTIF(Dishes!$M:$R,B530)</f>
        <v>10</v>
      </c>
      <c r="E530" s="8" t="n">
        <f aca="false">COUNTIF(Drinks!$N:$S,B530)</f>
        <v>12</v>
      </c>
      <c r="F530" s="8" t="n">
        <f aca="false">D530+E530</f>
        <v>22</v>
      </c>
    </row>
    <row r="531" customFormat="false" ht="15" hidden="false" customHeight="false" outlineLevel="0" collapsed="false">
      <c r="A531" s="8" t="s">
        <v>8800</v>
      </c>
      <c r="B531" s="8" t="s">
        <v>6297</v>
      </c>
      <c r="C531" s="8" t="s">
        <v>8261</v>
      </c>
      <c r="D531" s="8" t="n">
        <f aca="false">COUNTIF(Dishes!$M:$R,B531)</f>
        <v>0</v>
      </c>
      <c r="E531" s="8" t="n">
        <f aca="false">COUNTIF(Drinks!$N:$S,B531)</f>
        <v>1</v>
      </c>
      <c r="F531" s="8" t="n">
        <f aca="false">D531+E531</f>
        <v>1</v>
      </c>
    </row>
    <row r="532" customFormat="false" ht="15" hidden="false" customHeight="false" outlineLevel="0" collapsed="false">
      <c r="A532" s="8" t="s">
        <v>8801</v>
      </c>
      <c r="B532" s="8" t="s">
        <v>6480</v>
      </c>
      <c r="C532" s="8" t="s">
        <v>8261</v>
      </c>
      <c r="D532" s="8" t="n">
        <f aca="false">COUNTIF(Dishes!$M:$R,B532)</f>
        <v>0</v>
      </c>
      <c r="E532" s="8" t="n">
        <f aca="false">COUNTIF(Drinks!$N:$S,B532)</f>
        <v>1</v>
      </c>
      <c r="F532" s="8" t="n">
        <f aca="false">D532+E532</f>
        <v>1</v>
      </c>
    </row>
    <row r="533" customFormat="false" ht="15" hidden="false" customHeight="false" outlineLevel="0" collapsed="false">
      <c r="A533" s="8" t="s">
        <v>8802</v>
      </c>
      <c r="B533" s="8" t="s">
        <v>6277</v>
      </c>
      <c r="C533" s="8" t="s">
        <v>8344</v>
      </c>
      <c r="D533" s="8" t="n">
        <f aca="false">COUNTIF(Dishes!$M:$R,B533)</f>
        <v>0</v>
      </c>
      <c r="E533" s="8" t="n">
        <f aca="false">COUNTIF(Drinks!$N:$S,B533)</f>
        <v>3</v>
      </c>
      <c r="F533" s="8" t="n">
        <f aca="false">D533+E533</f>
        <v>3</v>
      </c>
    </row>
    <row r="534" customFormat="false" ht="15" hidden="false" customHeight="false" outlineLevel="0" collapsed="false">
      <c r="A534" s="8" t="s">
        <v>8803</v>
      </c>
      <c r="B534" s="8" t="s">
        <v>3320</v>
      </c>
      <c r="C534" s="8" t="s">
        <v>8259</v>
      </c>
      <c r="D534" s="8" t="n">
        <f aca="false">COUNTIF(Dishes!$M:$R,B534)</f>
        <v>6</v>
      </c>
      <c r="E534" s="8" t="n">
        <f aca="false">COUNTIF(Drinks!$N:$S,B534)</f>
        <v>0</v>
      </c>
      <c r="F534" s="8" t="n">
        <f aca="false">D534+E534</f>
        <v>6</v>
      </c>
    </row>
    <row r="535" customFormat="false" ht="15" hidden="false" customHeight="false" outlineLevel="0" collapsed="false">
      <c r="A535" s="8" t="s">
        <v>8804</v>
      </c>
      <c r="B535" s="8" t="s">
        <v>721</v>
      </c>
      <c r="C535" s="8" t="s">
        <v>8272</v>
      </c>
      <c r="D535" s="8" t="n">
        <f aca="false">COUNTIF(Dishes!$M:$R,B535)</f>
        <v>1</v>
      </c>
      <c r="E535" s="8" t="n">
        <f aca="false">COUNTIF(Drinks!$N:$S,B535)</f>
        <v>0</v>
      </c>
      <c r="F535" s="8" t="n">
        <f aca="false">D535+E535</f>
        <v>1</v>
      </c>
    </row>
    <row r="536" customFormat="false" ht="15" hidden="false" customHeight="false" outlineLevel="0" collapsed="false">
      <c r="A536" s="8" t="s">
        <v>8805</v>
      </c>
      <c r="B536" s="8" t="s">
        <v>433</v>
      </c>
      <c r="C536" s="8" t="s">
        <v>8272</v>
      </c>
      <c r="D536" s="8" t="n">
        <f aca="false">COUNTIF(Dishes!$M:$R,B536)</f>
        <v>1</v>
      </c>
      <c r="E536" s="8" t="n">
        <f aca="false">COUNTIF(Drinks!$N:$S,B536)</f>
        <v>0</v>
      </c>
      <c r="F536" s="8" t="n">
        <f aca="false">D536+E536</f>
        <v>1</v>
      </c>
    </row>
    <row r="537" customFormat="false" ht="15" hidden="false" customHeight="false" outlineLevel="0" collapsed="false">
      <c r="A537" s="8" t="s">
        <v>8806</v>
      </c>
      <c r="B537" s="8" t="s">
        <v>3766</v>
      </c>
      <c r="C537" s="8" t="s">
        <v>8257</v>
      </c>
      <c r="D537" s="8" t="n">
        <f aca="false">COUNTIF(Dishes!$M:$R,B537)</f>
        <v>1</v>
      </c>
      <c r="E537" s="8" t="n">
        <f aca="false">COUNTIF(Drinks!$N:$S,B537)</f>
        <v>0</v>
      </c>
      <c r="F537" s="8" t="n">
        <f aca="false">D537+E537</f>
        <v>1</v>
      </c>
    </row>
    <row r="538" customFormat="false" ht="15" hidden="false" customHeight="false" outlineLevel="0" collapsed="false">
      <c r="A538" s="8" t="s">
        <v>8807</v>
      </c>
      <c r="B538" s="8" t="s">
        <v>599</v>
      </c>
      <c r="C538" s="8" t="s">
        <v>8298</v>
      </c>
      <c r="D538" s="8" t="n">
        <f aca="false">COUNTIF(Dishes!$M:$R,B538)</f>
        <v>5</v>
      </c>
      <c r="E538" s="8" t="n">
        <f aca="false">COUNTIF(Drinks!$N:$S,B538)</f>
        <v>0</v>
      </c>
      <c r="F538" s="8" t="n">
        <f aca="false">D538+E538</f>
        <v>5</v>
      </c>
    </row>
    <row r="539" customFormat="false" ht="15" hidden="false" customHeight="false" outlineLevel="0" collapsed="false">
      <c r="A539" s="8" t="s">
        <v>8808</v>
      </c>
      <c r="B539" s="8" t="s">
        <v>3500</v>
      </c>
      <c r="C539" s="8" t="s">
        <v>8287</v>
      </c>
      <c r="D539" s="8" t="n">
        <f aca="false">COUNTIF(Dishes!$M:$R,B539)</f>
        <v>2</v>
      </c>
      <c r="E539" s="8" t="n">
        <f aca="false">COUNTIF(Drinks!$N:$S,B539)</f>
        <v>0</v>
      </c>
      <c r="F539" s="8" t="n">
        <f aca="false">D539+E539</f>
        <v>2</v>
      </c>
    </row>
    <row r="540" customFormat="false" ht="15" hidden="false" customHeight="false" outlineLevel="0" collapsed="false">
      <c r="A540" s="8" t="s">
        <v>8809</v>
      </c>
      <c r="B540" s="8" t="s">
        <v>3201</v>
      </c>
      <c r="C540" s="8" t="s">
        <v>8287</v>
      </c>
      <c r="D540" s="8" t="n">
        <f aca="false">COUNTIF(Dishes!$M:$R,B540)</f>
        <v>1</v>
      </c>
      <c r="E540" s="8" t="n">
        <f aca="false">COUNTIF(Drinks!$N:$S,B540)</f>
        <v>0</v>
      </c>
      <c r="F540" s="8" t="n">
        <f aca="false">D540+E540</f>
        <v>1</v>
      </c>
    </row>
    <row r="541" customFormat="false" ht="15" hidden="false" customHeight="false" outlineLevel="0" collapsed="false">
      <c r="A541" s="8" t="s">
        <v>8810</v>
      </c>
      <c r="B541" s="8" t="s">
        <v>2892</v>
      </c>
      <c r="C541" s="8" t="s">
        <v>8272</v>
      </c>
      <c r="D541" s="8" t="n">
        <f aca="false">COUNTIF(Dishes!$M:$R,B541)</f>
        <v>1</v>
      </c>
      <c r="E541" s="8" t="n">
        <f aca="false">COUNTIF(Drinks!$N:$S,B541)</f>
        <v>0</v>
      </c>
      <c r="F541" s="8" t="n">
        <f aca="false">D541+E541</f>
        <v>1</v>
      </c>
    </row>
    <row r="542" customFormat="false" ht="15" hidden="false" customHeight="false" outlineLevel="0" collapsed="false">
      <c r="A542" s="8" t="s">
        <v>8811</v>
      </c>
      <c r="B542" s="8" t="s">
        <v>6298</v>
      </c>
      <c r="C542" s="8" t="s">
        <v>8268</v>
      </c>
      <c r="D542" s="8" t="n">
        <f aca="false">COUNTIF(Dishes!$M:$R,B542)</f>
        <v>0</v>
      </c>
      <c r="E542" s="8" t="n">
        <f aca="false">COUNTIF(Drinks!$N:$S,B542)</f>
        <v>1</v>
      </c>
      <c r="F542" s="8" t="n">
        <f aca="false">D542+E542</f>
        <v>1</v>
      </c>
    </row>
    <row r="543" customFormat="false" ht="15" hidden="false" customHeight="false" outlineLevel="0" collapsed="false">
      <c r="A543" s="8" t="s">
        <v>8812</v>
      </c>
      <c r="B543" s="8" t="s">
        <v>552</v>
      </c>
      <c r="C543" s="8" t="s">
        <v>8261</v>
      </c>
      <c r="D543" s="8" t="n">
        <f aca="false">COUNTIF(Dishes!$M:$R,B543)</f>
        <v>7</v>
      </c>
      <c r="E543" s="8" t="n">
        <f aca="false">COUNTIF(Drinks!$N:$S,B543)</f>
        <v>15</v>
      </c>
      <c r="F543" s="8" t="n">
        <f aca="false">D543+E543</f>
        <v>22</v>
      </c>
    </row>
    <row r="544" customFormat="false" ht="15" hidden="false" customHeight="false" outlineLevel="0" collapsed="false">
      <c r="A544" s="8" t="s">
        <v>8813</v>
      </c>
      <c r="B544" s="8" t="s">
        <v>6225</v>
      </c>
      <c r="C544" s="8" t="s">
        <v>8261</v>
      </c>
      <c r="D544" s="8" t="n">
        <f aca="false">COUNTIF(Dishes!$M:$R,B544)</f>
        <v>0</v>
      </c>
      <c r="E544" s="8" t="n">
        <f aca="false">COUNTIF(Drinks!$N:$S,B544)</f>
        <v>1</v>
      </c>
      <c r="F544" s="8" t="n">
        <f aca="false">D544+E544</f>
        <v>1</v>
      </c>
    </row>
    <row r="545" customFormat="false" ht="15" hidden="false" customHeight="false" outlineLevel="0" collapsed="false">
      <c r="A545" s="8" t="s">
        <v>8814</v>
      </c>
      <c r="B545" s="8" t="s">
        <v>3318</v>
      </c>
      <c r="C545" s="8" t="s">
        <v>8259</v>
      </c>
      <c r="D545" s="8" t="n">
        <f aca="false">COUNTIF(Dishes!$M:$R,B545)</f>
        <v>1</v>
      </c>
      <c r="E545" s="8" t="n">
        <f aca="false">COUNTIF(Drinks!$N:$S,B545)</f>
        <v>0</v>
      </c>
      <c r="F545" s="8" t="n">
        <f aca="false">D545+E545</f>
        <v>1</v>
      </c>
    </row>
    <row r="546" customFormat="false" ht="15" hidden="false" customHeight="false" outlineLevel="0" collapsed="false">
      <c r="A546" s="8" t="s">
        <v>8815</v>
      </c>
      <c r="B546" s="8" t="s">
        <v>4716</v>
      </c>
      <c r="C546" s="8" t="s">
        <v>8282</v>
      </c>
      <c r="D546" s="8" t="n">
        <f aca="false">COUNTIF(Dishes!$M:$R,B546)</f>
        <v>1</v>
      </c>
      <c r="E546" s="8" t="n">
        <f aca="false">COUNTIF(Drinks!$N:$S,B546)</f>
        <v>0</v>
      </c>
      <c r="F546" s="8" t="n">
        <f aca="false">D546+E546</f>
        <v>1</v>
      </c>
    </row>
    <row r="547" customFormat="false" ht="15" hidden="false" customHeight="false" outlineLevel="0" collapsed="false">
      <c r="A547" s="8" t="s">
        <v>8816</v>
      </c>
      <c r="B547" s="8" t="s">
        <v>6462</v>
      </c>
      <c r="C547" s="8" t="s">
        <v>8265</v>
      </c>
      <c r="D547" s="8" t="n">
        <f aca="false">COUNTIF(Dishes!$M:$R,B547)</f>
        <v>0</v>
      </c>
      <c r="E547" s="8" t="n">
        <f aca="false">COUNTIF(Drinks!$N:$S,B547)</f>
        <v>1</v>
      </c>
      <c r="F547" s="8" t="n">
        <f aca="false">D547+E547</f>
        <v>1</v>
      </c>
    </row>
    <row r="548" customFormat="false" ht="15" hidden="false" customHeight="false" outlineLevel="0" collapsed="false">
      <c r="A548" s="8" t="s">
        <v>8817</v>
      </c>
      <c r="B548" s="8" t="s">
        <v>5201</v>
      </c>
      <c r="C548" s="8" t="s">
        <v>8274</v>
      </c>
      <c r="D548" s="8" t="n">
        <f aca="false">COUNTIF(Dishes!$M:$R,B548)</f>
        <v>1</v>
      </c>
      <c r="E548" s="8" t="n">
        <f aca="false">COUNTIF(Drinks!$N:$S,B548)</f>
        <v>0</v>
      </c>
      <c r="F548" s="8" t="n">
        <f aca="false">D548+E548</f>
        <v>1</v>
      </c>
    </row>
    <row r="549" customFormat="false" ht="15" hidden="false" customHeight="false" outlineLevel="0" collapsed="false">
      <c r="A549" s="8" t="s">
        <v>8818</v>
      </c>
      <c r="B549" s="8" t="s">
        <v>1501</v>
      </c>
      <c r="C549" s="8" t="s">
        <v>8259</v>
      </c>
      <c r="D549" s="8" t="n">
        <f aca="false">COUNTIF(Dishes!$M:$R,B549)</f>
        <v>1</v>
      </c>
      <c r="E549" s="8" t="n">
        <f aca="false">COUNTIF(Drinks!$N:$S,B549)</f>
        <v>0</v>
      </c>
      <c r="F549" s="8" t="n">
        <f aca="false">D549+E549</f>
        <v>1</v>
      </c>
    </row>
    <row r="550" customFormat="false" ht="15" hidden="false" customHeight="false" outlineLevel="0" collapsed="false">
      <c r="A550" s="8" t="s">
        <v>8819</v>
      </c>
      <c r="B550" s="8" t="s">
        <v>5726</v>
      </c>
      <c r="C550" s="8" t="s">
        <v>8261</v>
      </c>
      <c r="D550" s="8" t="n">
        <f aca="false">COUNTIF(Dishes!$M:$R,B550)</f>
        <v>2</v>
      </c>
      <c r="E550" s="8" t="n">
        <f aca="false">COUNTIF(Drinks!$N:$S,B550)</f>
        <v>0</v>
      </c>
      <c r="F550" s="8" t="n">
        <f aca="false">D550+E550</f>
        <v>2</v>
      </c>
    </row>
    <row r="551" customFormat="false" ht="15" hidden="false" customHeight="false" outlineLevel="0" collapsed="false">
      <c r="A551" s="8" t="s">
        <v>8820</v>
      </c>
      <c r="B551" s="8" t="s">
        <v>2756</v>
      </c>
      <c r="C551" s="8" t="s">
        <v>8298</v>
      </c>
      <c r="D551" s="8" t="n">
        <f aca="false">COUNTIF(Dishes!$M:$R,B551)</f>
        <v>1</v>
      </c>
      <c r="E551" s="8" t="n">
        <f aca="false">COUNTIF(Drinks!$N:$S,B551)</f>
        <v>0</v>
      </c>
      <c r="F551" s="8" t="n">
        <f aca="false">D551+E551</f>
        <v>1</v>
      </c>
    </row>
    <row r="552" customFormat="false" ht="15" hidden="false" customHeight="false" outlineLevel="0" collapsed="false">
      <c r="A552" s="8" t="s">
        <v>8821</v>
      </c>
      <c r="B552" s="8" t="s">
        <v>5078</v>
      </c>
      <c r="C552" s="8" t="s">
        <v>8272</v>
      </c>
      <c r="D552" s="8" t="n">
        <f aca="false">COUNTIF(Dishes!$M:$R,B552)</f>
        <v>2</v>
      </c>
      <c r="E552" s="8" t="n">
        <f aca="false">COUNTIF(Drinks!$N:$S,B552)</f>
        <v>0</v>
      </c>
      <c r="F552" s="8" t="n">
        <f aca="false">D552+E552</f>
        <v>2</v>
      </c>
    </row>
    <row r="553" customFormat="false" ht="15" hidden="false" customHeight="false" outlineLevel="0" collapsed="false">
      <c r="A553" s="8" t="s">
        <v>8822</v>
      </c>
      <c r="B553" s="8" t="s">
        <v>240</v>
      </c>
      <c r="C553" s="8" t="s">
        <v>8272</v>
      </c>
      <c r="D553" s="8" t="n">
        <f aca="false">COUNTIF(Dishes!$M:$R,B553)</f>
        <v>1</v>
      </c>
      <c r="E553" s="8" t="n">
        <f aca="false">COUNTIF(Drinks!$N:$S,B553)</f>
        <v>0</v>
      </c>
      <c r="F553" s="8" t="n">
        <f aca="false">D553+E553</f>
        <v>1</v>
      </c>
    </row>
    <row r="554" customFormat="false" ht="15" hidden="false" customHeight="false" outlineLevel="0" collapsed="false">
      <c r="A554" s="8" t="s">
        <v>8823</v>
      </c>
      <c r="B554" s="8" t="s">
        <v>7067</v>
      </c>
      <c r="C554" s="8" t="s">
        <v>8265</v>
      </c>
      <c r="D554" s="8" t="n">
        <f aca="false">COUNTIF(Dishes!$M:$R,B554)</f>
        <v>0</v>
      </c>
      <c r="E554" s="8" t="n">
        <f aca="false">COUNTIF(Drinks!$N:$S,B554)</f>
        <v>1</v>
      </c>
      <c r="F554" s="8" t="n">
        <f aca="false">D554+E554</f>
        <v>1</v>
      </c>
    </row>
    <row r="555" customFormat="false" ht="15" hidden="false" customHeight="false" outlineLevel="0" collapsed="false">
      <c r="A555" s="8" t="s">
        <v>8824</v>
      </c>
      <c r="B555" s="8" t="s">
        <v>6545</v>
      </c>
      <c r="C555" s="8" t="s">
        <v>8272</v>
      </c>
      <c r="D555" s="8" t="n">
        <f aca="false">COUNTIF(Dishes!$M:$R,B555)</f>
        <v>0</v>
      </c>
      <c r="E555" s="8" t="n">
        <f aca="false">COUNTIF(Drinks!$N:$S,B555)</f>
        <v>2</v>
      </c>
      <c r="F555" s="8" t="n">
        <f aca="false">D555+E555</f>
        <v>2</v>
      </c>
    </row>
    <row r="556" customFormat="false" ht="15" hidden="false" customHeight="false" outlineLevel="0" collapsed="false">
      <c r="A556" s="8" t="s">
        <v>8825</v>
      </c>
      <c r="B556" s="8" t="s">
        <v>7205</v>
      </c>
      <c r="C556" s="8" t="s">
        <v>8261</v>
      </c>
      <c r="D556" s="8" t="n">
        <f aca="false">COUNTIF(Dishes!$M:$R,B556)</f>
        <v>0</v>
      </c>
      <c r="E556" s="8" t="n">
        <f aca="false">COUNTIF(Drinks!$N:$S,B556)</f>
        <v>1</v>
      </c>
      <c r="F556" s="8" t="n">
        <f aca="false">D556+E556</f>
        <v>1</v>
      </c>
    </row>
    <row r="557" customFormat="false" ht="15" hidden="false" customHeight="false" outlineLevel="0" collapsed="false">
      <c r="A557" s="8" t="s">
        <v>8826</v>
      </c>
      <c r="B557" s="8" t="s">
        <v>3612</v>
      </c>
      <c r="C557" s="8" t="s">
        <v>8272</v>
      </c>
      <c r="D557" s="8" t="n">
        <f aca="false">COUNTIF(Dishes!$M:$R,B557)</f>
        <v>1</v>
      </c>
      <c r="E557" s="8" t="n">
        <f aca="false">COUNTIF(Drinks!$N:$S,B557)</f>
        <v>0</v>
      </c>
      <c r="F557" s="8" t="n">
        <f aca="false">D557+E557</f>
        <v>1</v>
      </c>
    </row>
    <row r="558" customFormat="false" ht="15" hidden="false" customHeight="false" outlineLevel="0" collapsed="false">
      <c r="A558" s="8" t="s">
        <v>8827</v>
      </c>
      <c r="B558" s="8" t="s">
        <v>5135</v>
      </c>
      <c r="C558" s="8" t="s">
        <v>8282</v>
      </c>
      <c r="D558" s="8" t="n">
        <f aca="false">COUNTIF(Dishes!$M:$R,B558)</f>
        <v>2</v>
      </c>
      <c r="E558" s="8" t="n">
        <f aca="false">COUNTIF(Drinks!$N:$S,B558)</f>
        <v>0</v>
      </c>
      <c r="F558" s="8" t="n">
        <f aca="false">D558+E558</f>
        <v>2</v>
      </c>
    </row>
    <row r="559" customFormat="false" ht="15" hidden="false" customHeight="false" outlineLevel="0" collapsed="false">
      <c r="A559" s="8" t="s">
        <v>8828</v>
      </c>
      <c r="B559" s="8" t="s">
        <v>7049</v>
      </c>
      <c r="C559" s="8" t="s">
        <v>8261</v>
      </c>
      <c r="D559" s="8" t="n">
        <f aca="false">COUNTIF(Dishes!$M:$R,B559)</f>
        <v>0</v>
      </c>
      <c r="E559" s="8" t="n">
        <f aca="false">COUNTIF(Drinks!$N:$S,B559)</f>
        <v>1</v>
      </c>
      <c r="F559" s="8" t="n">
        <f aca="false">D559+E559</f>
        <v>1</v>
      </c>
    </row>
    <row r="560" customFormat="false" ht="15" hidden="false" customHeight="false" outlineLevel="0" collapsed="false">
      <c r="A560" s="8" t="s">
        <v>8829</v>
      </c>
      <c r="B560" s="8" t="s">
        <v>3160</v>
      </c>
      <c r="C560" s="8" t="s">
        <v>8276</v>
      </c>
      <c r="D560" s="8" t="n">
        <f aca="false">COUNTIF(Dishes!$M:$R,B560)</f>
        <v>2</v>
      </c>
      <c r="E560" s="8" t="n">
        <f aca="false">COUNTIF(Drinks!$N:$S,B560)</f>
        <v>0</v>
      </c>
      <c r="F560" s="8" t="n">
        <f aca="false">D560+E560</f>
        <v>2</v>
      </c>
    </row>
    <row r="561" customFormat="false" ht="15" hidden="false" customHeight="false" outlineLevel="0" collapsed="false">
      <c r="A561" s="8" t="s">
        <v>8830</v>
      </c>
      <c r="B561" s="8" t="s">
        <v>5301</v>
      </c>
      <c r="C561" s="8" t="s">
        <v>8272</v>
      </c>
      <c r="D561" s="8" t="n">
        <f aca="false">COUNTIF(Dishes!$M:$R,B561)</f>
        <v>1</v>
      </c>
      <c r="E561" s="8" t="n">
        <f aca="false">COUNTIF(Drinks!$N:$S,B561)</f>
        <v>0</v>
      </c>
      <c r="F561" s="8" t="n">
        <f aca="false">D561+E561</f>
        <v>1</v>
      </c>
    </row>
    <row r="562" customFormat="false" ht="15" hidden="false" customHeight="false" outlineLevel="0" collapsed="false">
      <c r="A562" s="8" t="s">
        <v>8831</v>
      </c>
      <c r="B562" s="8" t="s">
        <v>3938</v>
      </c>
      <c r="C562" s="8" t="s">
        <v>8265</v>
      </c>
      <c r="D562" s="8" t="n">
        <f aca="false">COUNTIF(Dishes!$M:$R,B562)</f>
        <v>1</v>
      </c>
      <c r="E562" s="8" t="n">
        <f aca="false">COUNTIF(Drinks!$N:$S,B562)</f>
        <v>0</v>
      </c>
      <c r="F562" s="8" t="n">
        <f aca="false">D562+E562</f>
        <v>1</v>
      </c>
    </row>
    <row r="563" customFormat="false" ht="15" hidden="false" customHeight="false" outlineLevel="0" collapsed="false">
      <c r="A563" s="8" t="s">
        <v>8832</v>
      </c>
      <c r="B563" s="8" t="s">
        <v>4504</v>
      </c>
      <c r="C563" s="8" t="s">
        <v>8287</v>
      </c>
      <c r="D563" s="8" t="n">
        <f aca="false">COUNTIF(Dishes!$M:$R,B563)</f>
        <v>2</v>
      </c>
      <c r="E563" s="8" t="n">
        <f aca="false">COUNTIF(Drinks!$N:$S,B563)</f>
        <v>0</v>
      </c>
      <c r="F563" s="8" t="n">
        <f aca="false">D563+E563</f>
        <v>2</v>
      </c>
    </row>
    <row r="564" customFormat="false" ht="15" hidden="false" customHeight="false" outlineLevel="0" collapsed="false">
      <c r="A564" s="8" t="s">
        <v>8833</v>
      </c>
      <c r="B564" s="8" t="s">
        <v>4472</v>
      </c>
      <c r="C564" s="8" t="s">
        <v>8287</v>
      </c>
      <c r="D564" s="8" t="n">
        <f aca="false">COUNTIF(Dishes!$M:$R,B564)</f>
        <v>1</v>
      </c>
      <c r="E564" s="8" t="n">
        <f aca="false">COUNTIF(Drinks!$N:$S,B564)</f>
        <v>0</v>
      </c>
      <c r="F564" s="8" t="n">
        <f aca="false">D564+E564</f>
        <v>1</v>
      </c>
    </row>
    <row r="565" customFormat="false" ht="15" hidden="false" customHeight="false" outlineLevel="0" collapsed="false">
      <c r="A565" s="8" t="s">
        <v>8834</v>
      </c>
      <c r="B565" s="8" t="s">
        <v>3344</v>
      </c>
      <c r="C565" s="8" t="s">
        <v>8259</v>
      </c>
      <c r="D565" s="8" t="n">
        <f aca="false">COUNTIF(Dishes!$M:$R,B565)</f>
        <v>1</v>
      </c>
      <c r="E565" s="8" t="n">
        <f aca="false">COUNTIF(Drinks!$N:$S,B565)</f>
        <v>0</v>
      </c>
      <c r="F565" s="8" t="n">
        <f aca="false">D565+E565</f>
        <v>1</v>
      </c>
    </row>
    <row r="566" customFormat="false" ht="15" hidden="false" customHeight="false" outlineLevel="0" collapsed="false">
      <c r="A566" s="8" t="s">
        <v>8835</v>
      </c>
      <c r="B566" s="8" t="s">
        <v>4415</v>
      </c>
      <c r="C566" s="8" t="s">
        <v>8287</v>
      </c>
      <c r="D566" s="8" t="n">
        <f aca="false">COUNTIF(Dishes!$M:$R,B566)</f>
        <v>1</v>
      </c>
      <c r="E566" s="8" t="n">
        <f aca="false">COUNTIF(Drinks!$N:$S,B566)</f>
        <v>0</v>
      </c>
      <c r="F566" s="8" t="n">
        <f aca="false">D566+E566</f>
        <v>1</v>
      </c>
    </row>
    <row r="567" customFormat="false" ht="15" hidden="false" customHeight="false" outlineLevel="0" collapsed="false">
      <c r="A567" s="8" t="s">
        <v>8836</v>
      </c>
      <c r="B567" s="8" t="s">
        <v>609</v>
      </c>
      <c r="C567" s="8" t="s">
        <v>8259</v>
      </c>
      <c r="D567" s="8" t="n">
        <f aca="false">COUNTIF(Dishes!$M:$R,B567)</f>
        <v>1</v>
      </c>
      <c r="E567" s="8" t="n">
        <f aca="false">COUNTIF(Drinks!$N:$S,B567)</f>
        <v>0</v>
      </c>
      <c r="F567" s="8" t="n">
        <f aca="false">D567+E567</f>
        <v>1</v>
      </c>
    </row>
    <row r="568" customFormat="false" ht="15" hidden="false" customHeight="false" outlineLevel="0" collapsed="false">
      <c r="A568" s="8" t="s">
        <v>8837</v>
      </c>
      <c r="B568" s="8" t="s">
        <v>2932</v>
      </c>
      <c r="C568" s="8" t="s">
        <v>8265</v>
      </c>
      <c r="D568" s="8" t="n">
        <f aca="false">COUNTIF(Dishes!$M:$R,B568)</f>
        <v>5</v>
      </c>
      <c r="E568" s="8" t="n">
        <f aca="false">COUNTIF(Drinks!$N:$S,B568)</f>
        <v>0</v>
      </c>
      <c r="F568" s="8" t="n">
        <f aca="false">D568+E568</f>
        <v>5</v>
      </c>
    </row>
    <row r="569" customFormat="false" ht="15" hidden="false" customHeight="false" outlineLevel="0" collapsed="false">
      <c r="A569" s="8" t="s">
        <v>8838</v>
      </c>
      <c r="B569" s="8" t="s">
        <v>4717</v>
      </c>
      <c r="C569" s="8" t="s">
        <v>8276</v>
      </c>
      <c r="D569" s="8" t="n">
        <f aca="false">COUNTIF(Dishes!$M:$R,B569)</f>
        <v>1</v>
      </c>
      <c r="E569" s="8" t="n">
        <f aca="false">COUNTIF(Drinks!$N:$S,B569)</f>
        <v>0</v>
      </c>
      <c r="F569" s="8" t="n">
        <f aca="false">D569+E569</f>
        <v>1</v>
      </c>
    </row>
    <row r="570" customFormat="false" ht="15" hidden="false" customHeight="false" outlineLevel="0" collapsed="false">
      <c r="A570" s="8" t="s">
        <v>8839</v>
      </c>
      <c r="B570" s="8" t="s">
        <v>4299</v>
      </c>
      <c r="C570" s="8" t="s">
        <v>8265</v>
      </c>
      <c r="D570" s="8" t="n">
        <f aca="false">COUNTIF(Dishes!$M:$R,B570)</f>
        <v>1</v>
      </c>
      <c r="E570" s="8" t="n">
        <f aca="false">COUNTIF(Drinks!$N:$S,B570)</f>
        <v>0</v>
      </c>
      <c r="F570" s="8" t="n">
        <f aca="false">D570+E570</f>
        <v>1</v>
      </c>
    </row>
    <row r="571" customFormat="false" ht="15" hidden="false" customHeight="false" outlineLevel="0" collapsed="false">
      <c r="A571" s="8" t="s">
        <v>8840</v>
      </c>
      <c r="B571" s="8" t="s">
        <v>5928</v>
      </c>
      <c r="C571" s="8" t="s">
        <v>8265</v>
      </c>
      <c r="D571" s="8" t="n">
        <f aca="false">COUNTIF(Dishes!$M:$R,B571)</f>
        <v>1</v>
      </c>
      <c r="E571" s="8" t="n">
        <f aca="false">COUNTIF(Drinks!$N:$S,B571)</f>
        <v>0</v>
      </c>
      <c r="F571" s="8" t="n">
        <f aca="false">D571+E571</f>
        <v>1</v>
      </c>
    </row>
    <row r="572" customFormat="false" ht="15" hidden="false" customHeight="false" outlineLevel="0" collapsed="false">
      <c r="A572" s="8" t="s">
        <v>8841</v>
      </c>
      <c r="B572" s="8" t="s">
        <v>6704</v>
      </c>
      <c r="C572" s="8" t="s">
        <v>8344</v>
      </c>
      <c r="D572" s="8" t="n">
        <f aca="false">COUNTIF(Dishes!$M:$R,B572)</f>
        <v>0</v>
      </c>
      <c r="E572" s="8" t="n">
        <f aca="false">COUNTIF(Drinks!$N:$S,B572)</f>
        <v>1</v>
      </c>
      <c r="F572" s="8" t="n">
        <f aca="false">D572+E572</f>
        <v>1</v>
      </c>
    </row>
    <row r="573" customFormat="false" ht="15" hidden="false" customHeight="false" outlineLevel="0" collapsed="false">
      <c r="A573" s="8" t="s">
        <v>8842</v>
      </c>
      <c r="B573" s="8" t="s">
        <v>1363</v>
      </c>
      <c r="C573" s="8" t="s">
        <v>8265</v>
      </c>
      <c r="D573" s="8" t="n">
        <f aca="false">COUNTIF(Dishes!$M:$R,B573)</f>
        <v>18</v>
      </c>
      <c r="E573" s="8" t="n">
        <f aca="false">COUNTIF(Drinks!$N:$S,B573)</f>
        <v>14</v>
      </c>
      <c r="F573" s="8" t="n">
        <f aca="false">D573+E573</f>
        <v>32</v>
      </c>
    </row>
    <row r="574" customFormat="false" ht="15" hidden="false" customHeight="false" outlineLevel="0" collapsed="false">
      <c r="A574" s="8" t="s">
        <v>8843</v>
      </c>
      <c r="B574" s="8" t="s">
        <v>6682</v>
      </c>
      <c r="C574" s="8" t="s">
        <v>8344</v>
      </c>
      <c r="D574" s="8" t="n">
        <f aca="false">COUNTIF(Dishes!$M:$R,B574)</f>
        <v>0</v>
      </c>
      <c r="E574" s="8" t="n">
        <f aca="false">COUNTIF(Drinks!$N:$S,B574)</f>
        <v>1</v>
      </c>
      <c r="F574" s="8" t="n">
        <f aca="false">D574+E574</f>
        <v>1</v>
      </c>
    </row>
    <row r="575" customFormat="false" ht="15" hidden="false" customHeight="false" outlineLevel="0" collapsed="false">
      <c r="A575" s="8" t="s">
        <v>8844</v>
      </c>
      <c r="B575" s="8" t="s">
        <v>6722</v>
      </c>
      <c r="C575" s="8" t="s">
        <v>8344</v>
      </c>
      <c r="D575" s="8" t="n">
        <f aca="false">COUNTIF(Dishes!$M:$R,B575)</f>
        <v>0</v>
      </c>
      <c r="E575" s="8" t="n">
        <f aca="false">COUNTIF(Drinks!$N:$S,B575)</f>
        <v>1</v>
      </c>
      <c r="F575" s="8" t="n">
        <f aca="false">D575+E575</f>
        <v>1</v>
      </c>
    </row>
    <row r="576" customFormat="false" ht="15" hidden="false" customHeight="false" outlineLevel="0" collapsed="false">
      <c r="A576" s="8" t="s">
        <v>8845</v>
      </c>
      <c r="B576" s="8" t="s">
        <v>1581</v>
      </c>
      <c r="C576" s="8" t="s">
        <v>8265</v>
      </c>
      <c r="D576" s="8" t="n">
        <f aca="false">COUNTIF(Dishes!$M:$R,B576)</f>
        <v>1</v>
      </c>
      <c r="E576" s="8" t="n">
        <f aca="false">COUNTIF(Drinks!$N:$S,B576)</f>
        <v>0</v>
      </c>
      <c r="F576" s="8" t="n">
        <f aca="false">D576+E576</f>
        <v>1</v>
      </c>
    </row>
    <row r="577" customFormat="false" ht="15" hidden="false" customHeight="false" outlineLevel="0" collapsed="false">
      <c r="A577" s="8" t="s">
        <v>8846</v>
      </c>
      <c r="B577" s="8" t="s">
        <v>3793</v>
      </c>
      <c r="C577" s="8" t="s">
        <v>8276</v>
      </c>
      <c r="D577" s="8" t="n">
        <f aca="false">COUNTIF(Dishes!$M:$R,B577)</f>
        <v>6</v>
      </c>
      <c r="E577" s="8" t="n">
        <f aca="false">COUNTIF(Drinks!$N:$S,B577)</f>
        <v>0</v>
      </c>
      <c r="F577" s="8" t="n">
        <f aca="false">D577+E577</f>
        <v>6</v>
      </c>
    </row>
    <row r="578" customFormat="false" ht="15" hidden="false" customHeight="false" outlineLevel="0" collapsed="false">
      <c r="A578" s="8" t="s">
        <v>8847</v>
      </c>
      <c r="B578" s="8" t="s">
        <v>4473</v>
      </c>
      <c r="C578" s="8" t="s">
        <v>8276</v>
      </c>
      <c r="D578" s="8" t="n">
        <f aca="false">COUNTIF(Dishes!$M:$R,B578)</f>
        <v>5</v>
      </c>
      <c r="E578" s="8" t="n">
        <f aca="false">COUNTIF(Drinks!$N:$S,B578)</f>
        <v>0</v>
      </c>
      <c r="F578" s="8" t="n">
        <f aca="false">D578+E578</f>
        <v>5</v>
      </c>
    </row>
    <row r="579" customFormat="false" ht="15" hidden="false" customHeight="false" outlineLevel="0" collapsed="false">
      <c r="A579" s="8" t="s">
        <v>8848</v>
      </c>
      <c r="B579" s="8" t="s">
        <v>2522</v>
      </c>
      <c r="C579" s="8" t="s">
        <v>8276</v>
      </c>
      <c r="D579" s="8" t="n">
        <f aca="false">COUNTIF(Dishes!$M:$R,B579)</f>
        <v>3</v>
      </c>
      <c r="E579" s="8" t="n">
        <f aca="false">COUNTIF(Drinks!$N:$S,B579)</f>
        <v>0</v>
      </c>
      <c r="F579" s="8" t="n">
        <f aca="false">D579+E579</f>
        <v>3</v>
      </c>
    </row>
    <row r="580" customFormat="false" ht="15" hidden="false" customHeight="false" outlineLevel="0" collapsed="false">
      <c r="A580" s="8" t="s">
        <v>8849</v>
      </c>
      <c r="B580" s="8" t="s">
        <v>389</v>
      </c>
      <c r="C580" s="8" t="s">
        <v>8276</v>
      </c>
      <c r="D580" s="8" t="n">
        <f aca="false">COUNTIF(Dishes!$M:$R,B580)</f>
        <v>5</v>
      </c>
      <c r="E580" s="8" t="n">
        <f aca="false">COUNTIF(Drinks!$N:$S,B580)</f>
        <v>0</v>
      </c>
      <c r="F580" s="8" t="n">
        <f aca="false">D580+E580</f>
        <v>5</v>
      </c>
    </row>
    <row r="581" customFormat="false" ht="15" hidden="false" customHeight="false" outlineLevel="0" collapsed="false">
      <c r="A581" s="8" t="s">
        <v>8850</v>
      </c>
      <c r="B581" s="8" t="s">
        <v>2557</v>
      </c>
      <c r="C581" s="8" t="s">
        <v>8276</v>
      </c>
      <c r="D581" s="8" t="n">
        <f aca="false">COUNTIF(Dishes!$M:$R,B581)</f>
        <v>4</v>
      </c>
      <c r="E581" s="8" t="n">
        <f aca="false">COUNTIF(Drinks!$N:$S,B581)</f>
        <v>0</v>
      </c>
      <c r="F581" s="8" t="n">
        <f aca="false">D581+E581</f>
        <v>4</v>
      </c>
    </row>
    <row r="582" customFormat="false" ht="15" hidden="false" customHeight="false" outlineLevel="0" collapsed="false">
      <c r="A582" s="8" t="s">
        <v>8851</v>
      </c>
      <c r="B582" s="8" t="s">
        <v>4845</v>
      </c>
      <c r="C582" s="8" t="s">
        <v>8276</v>
      </c>
      <c r="D582" s="8" t="n">
        <f aca="false">COUNTIF(Dishes!$M:$R,B582)</f>
        <v>1</v>
      </c>
      <c r="E582" s="8" t="n">
        <f aca="false">COUNTIF(Drinks!$N:$S,B582)</f>
        <v>0</v>
      </c>
      <c r="F582" s="8" t="n">
        <f aca="false">D582+E582</f>
        <v>1</v>
      </c>
    </row>
    <row r="583" customFormat="false" ht="15" hidden="false" customHeight="false" outlineLevel="0" collapsed="false">
      <c r="A583" s="8" t="s">
        <v>8852</v>
      </c>
      <c r="B583" s="8" t="s">
        <v>388</v>
      </c>
      <c r="C583" s="8" t="s">
        <v>8259</v>
      </c>
      <c r="D583" s="8" t="n">
        <f aca="false">COUNTIF(Dishes!$M:$R,B583)</f>
        <v>10</v>
      </c>
      <c r="E583" s="8" t="n">
        <f aca="false">COUNTIF(Drinks!$N:$S,B583)</f>
        <v>7</v>
      </c>
      <c r="F583" s="8" t="n">
        <f aca="false">D583+E583</f>
        <v>17</v>
      </c>
    </row>
    <row r="584" customFormat="false" ht="15" hidden="false" customHeight="false" outlineLevel="0" collapsed="false">
      <c r="A584" s="8" t="s">
        <v>8853</v>
      </c>
      <c r="B584" s="8" t="s">
        <v>983</v>
      </c>
      <c r="C584" s="8" t="s">
        <v>8344</v>
      </c>
      <c r="D584" s="8" t="n">
        <f aca="false">COUNTIF(Dishes!$M:$R,B584)</f>
        <v>1</v>
      </c>
      <c r="E584" s="8" t="n">
        <f aca="false">COUNTIF(Drinks!$N:$S,B584)</f>
        <v>0</v>
      </c>
      <c r="F584" s="8" t="n">
        <f aca="false">D584+E584</f>
        <v>1</v>
      </c>
    </row>
    <row r="585" customFormat="false" ht="15" hidden="false" customHeight="false" outlineLevel="0" collapsed="false">
      <c r="A585" s="8" t="s">
        <v>8854</v>
      </c>
      <c r="B585" s="8" t="s">
        <v>2970</v>
      </c>
      <c r="C585" s="8" t="s">
        <v>8257</v>
      </c>
      <c r="D585" s="8" t="n">
        <f aca="false">COUNTIF(Dishes!$M:$R,B585)</f>
        <v>3</v>
      </c>
      <c r="E585" s="8" t="n">
        <f aca="false">COUNTIF(Drinks!$N:$S,B585)</f>
        <v>0</v>
      </c>
      <c r="F585" s="8" t="n">
        <f aca="false">D585+E585</f>
        <v>3</v>
      </c>
    </row>
    <row r="586" customFormat="false" ht="15" hidden="false" customHeight="false" outlineLevel="0" collapsed="false">
      <c r="A586" s="8" t="s">
        <v>8855</v>
      </c>
      <c r="B586" s="8" t="s">
        <v>2981</v>
      </c>
      <c r="C586" s="8" t="s">
        <v>8257</v>
      </c>
      <c r="D586" s="8" t="n">
        <f aca="false">COUNTIF(Dishes!$M:$R,B586)</f>
        <v>1</v>
      </c>
      <c r="E586" s="8" t="n">
        <f aca="false">COUNTIF(Drinks!$N:$S,B586)</f>
        <v>0</v>
      </c>
      <c r="F586" s="8" t="n">
        <f aca="false">D586+E586</f>
        <v>1</v>
      </c>
    </row>
    <row r="587" customFormat="false" ht="15" hidden="false" customHeight="false" outlineLevel="0" collapsed="false">
      <c r="A587" s="8" t="s">
        <v>8856</v>
      </c>
      <c r="B587" s="8" t="s">
        <v>4144</v>
      </c>
      <c r="C587" s="8" t="s">
        <v>8274</v>
      </c>
      <c r="D587" s="8" t="n">
        <f aca="false">COUNTIF(Dishes!$M:$R,B587)</f>
        <v>1</v>
      </c>
      <c r="E587" s="8" t="n">
        <f aca="false">COUNTIF(Drinks!$N:$S,B587)</f>
        <v>0</v>
      </c>
      <c r="F587" s="8" t="n">
        <f aca="false">D587+E587</f>
        <v>1</v>
      </c>
    </row>
    <row r="588" customFormat="false" ht="15" hidden="false" customHeight="false" outlineLevel="0" collapsed="false">
      <c r="A588" s="8" t="s">
        <v>8857</v>
      </c>
      <c r="B588" s="8" t="s">
        <v>940</v>
      </c>
      <c r="C588" s="8" t="s">
        <v>8298</v>
      </c>
      <c r="D588" s="8" t="n">
        <f aca="false">COUNTIF(Dishes!$M:$R,B588)</f>
        <v>1</v>
      </c>
      <c r="E588" s="8" t="n">
        <f aca="false">COUNTIF(Drinks!$N:$S,B588)</f>
        <v>0</v>
      </c>
      <c r="F588" s="8" t="n">
        <f aca="false">D588+E588</f>
        <v>1</v>
      </c>
    </row>
    <row r="589" customFormat="false" ht="15" hidden="false" customHeight="false" outlineLevel="0" collapsed="false">
      <c r="A589" s="8" t="s">
        <v>8858</v>
      </c>
      <c r="B589" s="8" t="s">
        <v>812</v>
      </c>
      <c r="C589" s="8" t="s">
        <v>8287</v>
      </c>
      <c r="D589" s="8" t="n">
        <f aca="false">COUNTIF(Dishes!$M:$R,B589)</f>
        <v>5</v>
      </c>
      <c r="E589" s="8" t="n">
        <f aca="false">COUNTIF(Drinks!$N:$S,B589)</f>
        <v>0</v>
      </c>
      <c r="F589" s="8" t="n">
        <f aca="false">D589+E589</f>
        <v>5</v>
      </c>
    </row>
    <row r="590" customFormat="false" ht="15" hidden="false" customHeight="false" outlineLevel="0" collapsed="false">
      <c r="A590" s="8" t="s">
        <v>8859</v>
      </c>
      <c r="B590" s="8" t="s">
        <v>6580</v>
      </c>
      <c r="C590" s="8" t="s">
        <v>8282</v>
      </c>
      <c r="D590" s="8" t="n">
        <f aca="false">COUNTIF(Dishes!$M:$R,B590)</f>
        <v>0</v>
      </c>
      <c r="E590" s="8" t="n">
        <f aca="false">COUNTIF(Drinks!$N:$S,B590)</f>
        <v>1</v>
      </c>
      <c r="F590" s="8" t="n">
        <f aca="false">D590+E590</f>
        <v>1</v>
      </c>
    </row>
    <row r="591" customFormat="false" ht="15" hidden="false" customHeight="false" outlineLevel="0" collapsed="false">
      <c r="A591" s="8" t="s">
        <v>8860</v>
      </c>
      <c r="B591" s="8" t="s">
        <v>476</v>
      </c>
      <c r="C591" s="8" t="s">
        <v>8298</v>
      </c>
      <c r="D591" s="8" t="n">
        <f aca="false">COUNTIF(Dishes!$M:$R,B591)</f>
        <v>6</v>
      </c>
      <c r="E591" s="8" t="n">
        <f aca="false">COUNTIF(Drinks!$N:$S,B591)</f>
        <v>0</v>
      </c>
      <c r="F591" s="8" t="n">
        <f aca="false">D591+E591</f>
        <v>6</v>
      </c>
    </row>
    <row r="592" customFormat="false" ht="15" hidden="false" customHeight="false" outlineLevel="0" collapsed="false">
      <c r="A592" s="8" t="s">
        <v>8861</v>
      </c>
      <c r="B592" s="8" t="s">
        <v>3831</v>
      </c>
      <c r="C592" s="8" t="s">
        <v>8265</v>
      </c>
      <c r="D592" s="8" t="n">
        <f aca="false">COUNTIF(Dishes!$M:$R,B592)</f>
        <v>4</v>
      </c>
      <c r="E592" s="8" t="n">
        <f aca="false">COUNTIF(Drinks!$N:$S,B592)</f>
        <v>0</v>
      </c>
      <c r="F592" s="8" t="n">
        <f aca="false">D592+E592</f>
        <v>4</v>
      </c>
    </row>
    <row r="593" customFormat="false" ht="15" hidden="false" customHeight="false" outlineLevel="0" collapsed="false">
      <c r="A593" s="8" t="s">
        <v>8862</v>
      </c>
      <c r="B593" s="8" t="s">
        <v>3615</v>
      </c>
      <c r="C593" s="8" t="s">
        <v>8274</v>
      </c>
      <c r="D593" s="8" t="n">
        <f aca="false">COUNTIF(Dishes!$M:$R,B593)</f>
        <v>1</v>
      </c>
      <c r="E593" s="8" t="n">
        <f aca="false">COUNTIF(Drinks!$N:$S,B593)</f>
        <v>0</v>
      </c>
      <c r="F593" s="8" t="n">
        <f aca="false">D593+E593</f>
        <v>1</v>
      </c>
    </row>
    <row r="594" customFormat="false" ht="15" hidden="false" customHeight="false" outlineLevel="0" collapsed="false">
      <c r="A594" s="8" t="s">
        <v>8863</v>
      </c>
      <c r="B594" s="8" t="s">
        <v>870</v>
      </c>
      <c r="C594" s="8" t="s">
        <v>8272</v>
      </c>
      <c r="D594" s="8" t="n">
        <f aca="false">COUNTIF(Dishes!$M:$R,B594)</f>
        <v>1</v>
      </c>
      <c r="E594" s="8" t="n">
        <f aca="false">COUNTIF(Drinks!$N:$S,B594)</f>
        <v>0</v>
      </c>
      <c r="F594" s="8" t="n">
        <f aca="false">D594+E594</f>
        <v>1</v>
      </c>
    </row>
    <row r="595" customFormat="false" ht="15" hidden="false" customHeight="false" outlineLevel="0" collapsed="false">
      <c r="A595" s="8" t="s">
        <v>8864</v>
      </c>
      <c r="B595" s="8" t="s">
        <v>2778</v>
      </c>
      <c r="C595" s="8" t="s">
        <v>8298</v>
      </c>
      <c r="D595" s="8" t="n">
        <f aca="false">COUNTIF(Dishes!$M:$R,B595)</f>
        <v>1</v>
      </c>
      <c r="E595" s="8" t="n">
        <f aca="false">COUNTIF(Drinks!$N:$S,B595)</f>
        <v>0</v>
      </c>
      <c r="F595" s="8" t="n">
        <f aca="false">D595+E595</f>
        <v>1</v>
      </c>
    </row>
    <row r="596" customFormat="false" ht="15" hidden="false" customHeight="false" outlineLevel="0" collapsed="false">
      <c r="A596" s="8" t="s">
        <v>8865</v>
      </c>
      <c r="B596" s="8" t="s">
        <v>2593</v>
      </c>
      <c r="C596" s="8" t="s">
        <v>8287</v>
      </c>
      <c r="D596" s="8" t="n">
        <f aca="false">COUNTIF(Dishes!$M:$R,B596)</f>
        <v>6</v>
      </c>
      <c r="E596" s="8" t="n">
        <f aca="false">COUNTIF(Drinks!$N:$S,B596)</f>
        <v>0</v>
      </c>
      <c r="F596" s="8" t="n">
        <f aca="false">D596+E596</f>
        <v>6</v>
      </c>
    </row>
    <row r="597" customFormat="false" ht="15" hidden="false" customHeight="false" outlineLevel="0" collapsed="false">
      <c r="A597" s="8" t="s">
        <v>8866</v>
      </c>
      <c r="B597" s="8" t="s">
        <v>4450</v>
      </c>
      <c r="C597" s="8" t="s">
        <v>8287</v>
      </c>
      <c r="D597" s="8" t="n">
        <f aca="false">COUNTIF(Dishes!$M:$R,B597)</f>
        <v>1</v>
      </c>
      <c r="E597" s="8" t="n">
        <f aca="false">COUNTIF(Drinks!$N:$S,B597)</f>
        <v>0</v>
      </c>
      <c r="F597" s="8" t="n">
        <f aca="false">D597+E597</f>
        <v>1</v>
      </c>
    </row>
    <row r="598" customFormat="false" ht="15" hidden="false" customHeight="false" outlineLevel="0" collapsed="false">
      <c r="A598" s="8" t="s">
        <v>8867</v>
      </c>
      <c r="B598" s="8" t="s">
        <v>4266</v>
      </c>
      <c r="C598" s="8" t="s">
        <v>8274</v>
      </c>
      <c r="D598" s="8" t="n">
        <f aca="false">COUNTIF(Dishes!$M:$R,B598)</f>
        <v>1</v>
      </c>
      <c r="E598" s="8" t="n">
        <f aca="false">COUNTIF(Drinks!$N:$S,B598)</f>
        <v>0</v>
      </c>
      <c r="F598" s="8" t="n">
        <f aca="false">D598+E598</f>
        <v>1</v>
      </c>
    </row>
    <row r="599" customFormat="false" ht="15" hidden="false" customHeight="false" outlineLevel="0" collapsed="false">
      <c r="A599" s="8" t="s">
        <v>8868</v>
      </c>
      <c r="B599" s="8" t="s">
        <v>1669</v>
      </c>
      <c r="C599" s="8" t="s">
        <v>8257</v>
      </c>
      <c r="D599" s="8" t="n">
        <f aca="false">COUNTIF(Dishes!$M:$R,B599)</f>
        <v>8</v>
      </c>
      <c r="E599" s="8" t="n">
        <f aca="false">COUNTIF(Drinks!$N:$S,B599)</f>
        <v>1</v>
      </c>
      <c r="F599" s="8" t="n">
        <f aca="false">D599+E599</f>
        <v>9</v>
      </c>
    </row>
    <row r="600" customFormat="false" ht="15" hidden="false" customHeight="false" outlineLevel="0" collapsed="false">
      <c r="A600" s="8" t="s">
        <v>8869</v>
      </c>
      <c r="B600" s="8" t="s">
        <v>241</v>
      </c>
      <c r="C600" s="8" t="s">
        <v>8287</v>
      </c>
      <c r="D600" s="8" t="n">
        <f aca="false">COUNTIF(Dishes!$M:$R,B600)</f>
        <v>1</v>
      </c>
      <c r="E600" s="8" t="n">
        <f aca="false">COUNTIF(Drinks!$N:$S,B600)</f>
        <v>0</v>
      </c>
      <c r="F600" s="8" t="n">
        <f aca="false">D600+E600</f>
        <v>1</v>
      </c>
    </row>
    <row r="601" customFormat="false" ht="15" hidden="false" customHeight="false" outlineLevel="0" collapsed="false">
      <c r="A601" s="8" t="s">
        <v>8870</v>
      </c>
      <c r="B601" s="8" t="s">
        <v>1590</v>
      </c>
      <c r="C601" s="8" t="s">
        <v>8257</v>
      </c>
      <c r="D601" s="8" t="n">
        <f aca="false">COUNTIF(Dishes!$M:$R,B601)</f>
        <v>9</v>
      </c>
      <c r="E601" s="8" t="n">
        <f aca="false">COUNTIF(Drinks!$N:$S,B601)</f>
        <v>0</v>
      </c>
      <c r="F601" s="8" t="n">
        <f aca="false">D601+E601</f>
        <v>9</v>
      </c>
    </row>
    <row r="602" customFormat="false" ht="15" hidden="false" customHeight="false" outlineLevel="0" collapsed="false">
      <c r="A602" s="8" t="s">
        <v>8871</v>
      </c>
      <c r="B602" s="8" t="s">
        <v>1601</v>
      </c>
      <c r="C602" s="8" t="s">
        <v>8257</v>
      </c>
      <c r="D602" s="8" t="n">
        <f aca="false">COUNTIF(Dishes!$M:$R,B602)</f>
        <v>1</v>
      </c>
      <c r="E602" s="8" t="n">
        <f aca="false">COUNTIF(Drinks!$N:$S,B602)</f>
        <v>0</v>
      </c>
      <c r="F602" s="8" t="n">
        <f aca="false">D602+E602</f>
        <v>1</v>
      </c>
    </row>
    <row r="603" customFormat="false" ht="15" hidden="false" customHeight="false" outlineLevel="0" collapsed="false">
      <c r="A603" s="8" t="s">
        <v>8872</v>
      </c>
      <c r="B603" s="8" t="s">
        <v>4723</v>
      </c>
      <c r="C603" s="8" t="s">
        <v>8257</v>
      </c>
      <c r="D603" s="8" t="n">
        <f aca="false">COUNTIF(Dishes!$M:$R,B603)</f>
        <v>1</v>
      </c>
      <c r="E603" s="8" t="n">
        <f aca="false">COUNTIF(Drinks!$N:$S,B603)</f>
        <v>0</v>
      </c>
      <c r="F603" s="8" t="n">
        <f aca="false">D603+E603</f>
        <v>1</v>
      </c>
    </row>
    <row r="604" customFormat="false" ht="15" hidden="false" customHeight="false" outlineLevel="0" collapsed="false">
      <c r="A604" s="8" t="s">
        <v>8873</v>
      </c>
      <c r="B604" s="8" t="s">
        <v>835</v>
      </c>
      <c r="C604" s="8" t="s">
        <v>8259</v>
      </c>
      <c r="D604" s="8" t="n">
        <f aca="false">COUNTIF(Dishes!$M:$R,B604)</f>
        <v>6</v>
      </c>
      <c r="E604" s="8" t="n">
        <f aca="false">COUNTIF(Drinks!$N:$S,B604)</f>
        <v>0</v>
      </c>
      <c r="F604" s="8" t="n">
        <f aca="false">D604+E604</f>
        <v>6</v>
      </c>
    </row>
    <row r="605" customFormat="false" ht="15" hidden="false" customHeight="false" outlineLevel="0" collapsed="false">
      <c r="A605" s="8" t="s">
        <v>8874</v>
      </c>
      <c r="B605" s="8" t="s">
        <v>698</v>
      </c>
      <c r="C605" s="8" t="s">
        <v>8272</v>
      </c>
      <c r="D605" s="8" t="n">
        <f aca="false">COUNTIF(Dishes!$M:$R,B605)</f>
        <v>1</v>
      </c>
      <c r="E605" s="8" t="n">
        <f aca="false">COUNTIF(Drinks!$N:$S,B605)</f>
        <v>0</v>
      </c>
      <c r="F605" s="8" t="n">
        <f aca="false">D605+E605</f>
        <v>1</v>
      </c>
    </row>
    <row r="606" customFormat="false" ht="15" hidden="false" customHeight="false" outlineLevel="0" collapsed="false">
      <c r="A606" s="8" t="s">
        <v>8875</v>
      </c>
      <c r="B606" s="8" t="s">
        <v>488</v>
      </c>
      <c r="C606" s="8" t="s">
        <v>8276</v>
      </c>
      <c r="D606" s="8" t="n">
        <f aca="false">COUNTIF(Dishes!$M:$R,B606)</f>
        <v>16</v>
      </c>
      <c r="E606" s="8" t="n">
        <f aca="false">COUNTIF(Drinks!$N:$S,B606)</f>
        <v>0</v>
      </c>
      <c r="F606" s="8" t="n">
        <f aca="false">D606+E606</f>
        <v>16</v>
      </c>
    </row>
    <row r="607" customFormat="false" ht="15" hidden="false" customHeight="false" outlineLevel="0" collapsed="false">
      <c r="A607" s="8" t="s">
        <v>8876</v>
      </c>
      <c r="B607" s="8" t="s">
        <v>5885</v>
      </c>
      <c r="C607" s="8" t="s">
        <v>8257</v>
      </c>
      <c r="D607" s="8" t="n">
        <f aca="false">COUNTIF(Dishes!$M:$R,B607)</f>
        <v>1</v>
      </c>
      <c r="E607" s="8" t="n">
        <f aca="false">COUNTIF(Drinks!$N:$S,B607)</f>
        <v>0</v>
      </c>
      <c r="F607" s="8" t="n">
        <f aca="false">D607+E607</f>
        <v>1</v>
      </c>
    </row>
    <row r="608" customFormat="false" ht="15" hidden="false" customHeight="false" outlineLevel="0" collapsed="false">
      <c r="A608" s="8" t="s">
        <v>8877</v>
      </c>
      <c r="B608" s="8" t="s">
        <v>4563</v>
      </c>
      <c r="C608" s="8" t="s">
        <v>8287</v>
      </c>
      <c r="D608" s="8" t="n">
        <f aca="false">COUNTIF(Dishes!$M:$R,B608)</f>
        <v>1</v>
      </c>
      <c r="E608" s="8" t="n">
        <f aca="false">COUNTIF(Drinks!$N:$S,B608)</f>
        <v>0</v>
      </c>
      <c r="F608" s="8" t="n">
        <f aca="false">D608+E608</f>
        <v>1</v>
      </c>
    </row>
    <row r="609" customFormat="false" ht="15" hidden="false" customHeight="false" outlineLevel="0" collapsed="false">
      <c r="A609" s="8" t="s">
        <v>8878</v>
      </c>
      <c r="B609" s="8" t="s">
        <v>6591</v>
      </c>
      <c r="C609" s="8" t="s">
        <v>8268</v>
      </c>
      <c r="D609" s="8" t="n">
        <f aca="false">COUNTIF(Dishes!$M:$R,B609)</f>
        <v>0</v>
      </c>
      <c r="E609" s="8" t="n">
        <f aca="false">COUNTIF(Drinks!$N:$S,B609)</f>
        <v>1</v>
      </c>
      <c r="F609" s="8" t="n">
        <f aca="false">D609+E609</f>
        <v>1</v>
      </c>
    </row>
    <row r="610" customFormat="false" ht="15" hidden="false" customHeight="false" outlineLevel="0" collapsed="false">
      <c r="A610" s="8" t="s">
        <v>8879</v>
      </c>
      <c r="B610" s="8" t="s">
        <v>405</v>
      </c>
      <c r="C610" s="8" t="s">
        <v>8259</v>
      </c>
      <c r="D610" s="8" t="n">
        <f aca="false">COUNTIF(Dishes!$M:$R,B610)</f>
        <v>1</v>
      </c>
      <c r="E610" s="8" t="n">
        <f aca="false">COUNTIF(Drinks!$N:$S,B610)</f>
        <v>0</v>
      </c>
      <c r="F610" s="8" t="n">
        <f aca="false">D610+E610</f>
        <v>1</v>
      </c>
    </row>
    <row r="611" customFormat="false" ht="15" hidden="false" customHeight="false" outlineLevel="0" collapsed="false">
      <c r="A611" s="8" t="s">
        <v>8880</v>
      </c>
      <c r="B611" s="8" t="s">
        <v>4777</v>
      </c>
      <c r="C611" s="8" t="s">
        <v>8272</v>
      </c>
      <c r="D611" s="8" t="n">
        <f aca="false">COUNTIF(Dishes!$M:$R,B611)</f>
        <v>1</v>
      </c>
      <c r="E611" s="8" t="n">
        <f aca="false">COUNTIF(Drinks!$N:$S,B611)</f>
        <v>0</v>
      </c>
      <c r="F611" s="8" t="n">
        <f aca="false">D611+E611</f>
        <v>1</v>
      </c>
    </row>
    <row r="612" customFormat="false" ht="15" hidden="false" customHeight="false" outlineLevel="0" collapsed="false">
      <c r="A612" s="8" t="s">
        <v>8881</v>
      </c>
      <c r="B612" s="8" t="s">
        <v>1715</v>
      </c>
      <c r="C612" s="8" t="s">
        <v>8282</v>
      </c>
      <c r="D612" s="8" t="n">
        <f aca="false">COUNTIF(Dishes!$M:$R,B612)</f>
        <v>1</v>
      </c>
      <c r="E612" s="8" t="n">
        <f aca="false">COUNTIF(Drinks!$N:$S,B612)</f>
        <v>0</v>
      </c>
      <c r="F612" s="8" t="n">
        <f aca="false">D612+E612</f>
        <v>1</v>
      </c>
    </row>
    <row r="613" customFormat="false" ht="15" hidden="false" customHeight="false" outlineLevel="0" collapsed="false">
      <c r="A613" s="8" t="s">
        <v>8882</v>
      </c>
      <c r="B613" s="8" t="s">
        <v>3720</v>
      </c>
      <c r="C613" s="8" t="s">
        <v>8287</v>
      </c>
      <c r="D613" s="8" t="n">
        <f aca="false">COUNTIF(Dishes!$M:$R,B613)</f>
        <v>1</v>
      </c>
      <c r="E613" s="8" t="n">
        <f aca="false">COUNTIF(Drinks!$N:$S,B613)</f>
        <v>0</v>
      </c>
      <c r="F613" s="8" t="n">
        <f aca="false">D613+E613</f>
        <v>1</v>
      </c>
    </row>
    <row r="614" customFormat="false" ht="15" hidden="false" customHeight="false" outlineLevel="0" collapsed="false">
      <c r="A614" s="8" t="s">
        <v>8883</v>
      </c>
      <c r="B614" s="8" t="s">
        <v>1792</v>
      </c>
      <c r="C614" s="8" t="s">
        <v>8272</v>
      </c>
      <c r="D614" s="8" t="n">
        <f aca="false">COUNTIF(Dishes!$M:$R,B614)</f>
        <v>6</v>
      </c>
      <c r="E614" s="8" t="n">
        <f aca="false">COUNTIF(Drinks!$N:$S,B614)</f>
        <v>0</v>
      </c>
      <c r="F614" s="8" t="n">
        <f aca="false">D614+E614</f>
        <v>6</v>
      </c>
    </row>
    <row r="615" customFormat="false" ht="15" hidden="false" customHeight="false" outlineLevel="0" collapsed="false">
      <c r="A615" s="8" t="s">
        <v>8884</v>
      </c>
      <c r="B615" s="8" t="s">
        <v>2862</v>
      </c>
      <c r="C615" s="8" t="s">
        <v>8287</v>
      </c>
      <c r="D615" s="8" t="n">
        <f aca="false">COUNTIF(Dishes!$M:$R,B615)</f>
        <v>5</v>
      </c>
      <c r="E615" s="8" t="n">
        <f aca="false">COUNTIF(Drinks!$N:$S,B615)</f>
        <v>0</v>
      </c>
      <c r="F615" s="8" t="n">
        <f aca="false">D615+E615</f>
        <v>5</v>
      </c>
    </row>
    <row r="616" customFormat="false" ht="15" hidden="false" customHeight="false" outlineLevel="0" collapsed="false">
      <c r="A616" s="8" t="s">
        <v>8885</v>
      </c>
      <c r="B616" s="8" t="s">
        <v>6414</v>
      </c>
      <c r="C616" s="8" t="s">
        <v>8344</v>
      </c>
      <c r="D616" s="8" t="n">
        <f aca="false">COUNTIF(Dishes!$M:$R,B616)</f>
        <v>0</v>
      </c>
      <c r="E616" s="8" t="n">
        <f aca="false">COUNTIF(Drinks!$N:$S,B616)</f>
        <v>1</v>
      </c>
      <c r="F616" s="8" t="n">
        <f aca="false">D616+E616</f>
        <v>1</v>
      </c>
    </row>
    <row r="617" customFormat="false" ht="15" hidden="false" customHeight="false" outlineLevel="0" collapsed="false">
      <c r="A617" s="8" t="s">
        <v>8886</v>
      </c>
      <c r="B617" s="8" t="s">
        <v>852</v>
      </c>
      <c r="C617" s="8" t="s">
        <v>8259</v>
      </c>
      <c r="D617" s="8" t="n">
        <f aca="false">COUNTIF(Dishes!$M:$R,B617)</f>
        <v>6</v>
      </c>
      <c r="E617" s="8" t="n">
        <f aca="false">COUNTIF(Drinks!$N:$S,B617)</f>
        <v>1</v>
      </c>
      <c r="F617" s="8" t="n">
        <f aca="false">D617+E617</f>
        <v>7</v>
      </c>
    </row>
    <row r="618" customFormat="false" ht="15" hidden="false" customHeight="false" outlineLevel="0" collapsed="false">
      <c r="A618" s="8" t="s">
        <v>8887</v>
      </c>
      <c r="B618" s="8" t="s">
        <v>2944</v>
      </c>
      <c r="C618" s="8" t="s">
        <v>8274</v>
      </c>
      <c r="D618" s="8" t="n">
        <f aca="false">COUNTIF(Dishes!$M:$R,B618)</f>
        <v>1</v>
      </c>
      <c r="E618" s="8" t="n">
        <f aca="false">COUNTIF(Drinks!$N:$S,B618)</f>
        <v>0</v>
      </c>
      <c r="F618" s="8" t="n">
        <f aca="false">D618+E618</f>
        <v>1</v>
      </c>
    </row>
    <row r="619" customFormat="false" ht="15" hidden="false" customHeight="false" outlineLevel="0" collapsed="false">
      <c r="A619" s="8" t="s">
        <v>8888</v>
      </c>
      <c r="B619" s="8" t="s">
        <v>2933</v>
      </c>
      <c r="C619" s="8" t="s">
        <v>8257</v>
      </c>
      <c r="D619" s="8" t="n">
        <f aca="false">COUNTIF(Dishes!$M:$R,B619)</f>
        <v>1</v>
      </c>
      <c r="E619" s="8" t="n">
        <f aca="false">COUNTIF(Drinks!$N:$S,B619)</f>
        <v>0</v>
      </c>
      <c r="F619" s="8" t="n">
        <f aca="false">D619+E619</f>
        <v>1</v>
      </c>
    </row>
    <row r="620" customFormat="false" ht="15" hidden="false" customHeight="false" outlineLevel="0" collapsed="false">
      <c r="A620" s="8" t="s">
        <v>8889</v>
      </c>
      <c r="B620" s="8" t="s">
        <v>1952</v>
      </c>
      <c r="C620" s="8" t="s">
        <v>8287</v>
      </c>
      <c r="D620" s="8" t="n">
        <f aca="false">COUNTIF(Dishes!$M:$R,B620)</f>
        <v>1</v>
      </c>
      <c r="E620" s="8" t="n">
        <f aca="false">COUNTIF(Drinks!$N:$S,B620)</f>
        <v>0</v>
      </c>
      <c r="F620" s="8" t="n">
        <f aca="false">D620+E620</f>
        <v>1</v>
      </c>
    </row>
    <row r="621" customFormat="false" ht="15" hidden="false" customHeight="false" outlineLevel="0" collapsed="false">
      <c r="A621" s="8" t="s">
        <v>8890</v>
      </c>
      <c r="B621" s="8" t="s">
        <v>3984</v>
      </c>
      <c r="C621" s="8" t="s">
        <v>8257</v>
      </c>
      <c r="D621" s="8" t="n">
        <f aca="false">COUNTIF(Dishes!$M:$R,B621)</f>
        <v>5</v>
      </c>
      <c r="E621" s="8" t="n">
        <f aca="false">COUNTIF(Drinks!$N:$S,B621)</f>
        <v>0</v>
      </c>
      <c r="F621" s="8" t="n">
        <f aca="false">D621+E621</f>
        <v>5</v>
      </c>
    </row>
    <row r="622" customFormat="false" ht="15" hidden="false" customHeight="false" outlineLevel="0" collapsed="false">
      <c r="A622" s="8" t="s">
        <v>8891</v>
      </c>
      <c r="B622" s="8" t="s">
        <v>4414</v>
      </c>
      <c r="C622" s="8" t="s">
        <v>8261</v>
      </c>
      <c r="D622" s="8" t="n">
        <f aca="false">COUNTIF(Dishes!$M:$R,B622)</f>
        <v>5</v>
      </c>
      <c r="E622" s="8" t="n">
        <f aca="false">COUNTIF(Drinks!$N:$S,B622)</f>
        <v>1</v>
      </c>
      <c r="F622" s="8" t="n">
        <f aca="false">D622+E622</f>
        <v>6</v>
      </c>
    </row>
    <row r="623" customFormat="false" ht="15" hidden="false" customHeight="false" outlineLevel="0" collapsed="false">
      <c r="A623" s="8" t="s">
        <v>8892</v>
      </c>
      <c r="B623" s="8" t="s">
        <v>2396</v>
      </c>
      <c r="C623" s="8" t="s">
        <v>8287</v>
      </c>
      <c r="D623" s="8" t="n">
        <f aca="false">COUNTIF(Dishes!$M:$R,B623)</f>
        <v>2</v>
      </c>
      <c r="E623" s="8" t="n">
        <f aca="false">COUNTIF(Drinks!$N:$S,B623)</f>
        <v>0</v>
      </c>
      <c r="F623" s="8" t="n">
        <f aca="false">D623+E623</f>
        <v>2</v>
      </c>
    </row>
    <row r="624" customFormat="false" ht="15" hidden="false" customHeight="false" outlineLevel="0" collapsed="false">
      <c r="A624" s="8" t="s">
        <v>8893</v>
      </c>
      <c r="B624" s="8" t="s">
        <v>639</v>
      </c>
      <c r="C624" s="8" t="s">
        <v>8287</v>
      </c>
      <c r="D624" s="8" t="n">
        <f aca="false">COUNTIF(Dishes!$M:$R,B624)</f>
        <v>1</v>
      </c>
      <c r="E624" s="8" t="n">
        <f aca="false">COUNTIF(Drinks!$N:$S,B624)</f>
        <v>0</v>
      </c>
      <c r="F624" s="8" t="n">
        <f aca="false">D624+E624</f>
        <v>1</v>
      </c>
    </row>
    <row r="625" customFormat="false" ht="15" hidden="false" customHeight="false" outlineLevel="0" collapsed="false">
      <c r="A625" s="8" t="s">
        <v>8894</v>
      </c>
      <c r="B625" s="8" t="s">
        <v>4503</v>
      </c>
      <c r="C625" s="8" t="s">
        <v>8257</v>
      </c>
      <c r="D625" s="8" t="n">
        <f aca="false">COUNTIF(Dishes!$M:$R,B625)</f>
        <v>1</v>
      </c>
      <c r="E625" s="8" t="n">
        <f aca="false">COUNTIF(Drinks!$N:$S,B625)</f>
        <v>0</v>
      </c>
      <c r="F625" s="8" t="n">
        <f aca="false">D625+E625</f>
        <v>1</v>
      </c>
    </row>
    <row r="626" customFormat="false" ht="15" hidden="false" customHeight="false" outlineLevel="0" collapsed="false">
      <c r="A626" s="8" t="s">
        <v>8895</v>
      </c>
      <c r="B626" s="8" t="s">
        <v>5375</v>
      </c>
      <c r="C626" s="8" t="s">
        <v>8261</v>
      </c>
      <c r="D626" s="8" t="n">
        <f aca="false">COUNTIF(Dishes!$M:$R,B626)</f>
        <v>1</v>
      </c>
      <c r="E626" s="8" t="n">
        <f aca="false">COUNTIF(Drinks!$N:$S,B626)</f>
        <v>2</v>
      </c>
      <c r="F626" s="8" t="n">
        <f aca="false">D626+E626</f>
        <v>3</v>
      </c>
    </row>
    <row r="627" customFormat="false" ht="15" hidden="false" customHeight="false" outlineLevel="0" collapsed="false">
      <c r="A627" s="8" t="s">
        <v>8896</v>
      </c>
      <c r="B627" s="8" t="s">
        <v>6092</v>
      </c>
      <c r="C627" s="8" t="s">
        <v>8268</v>
      </c>
      <c r="D627" s="8" t="n">
        <f aca="false">COUNTIF(Dishes!$M:$R,B627)</f>
        <v>0</v>
      </c>
      <c r="E627" s="8" t="n">
        <f aca="false">COUNTIF(Drinks!$N:$S,B627)</f>
        <v>1</v>
      </c>
      <c r="F627" s="8" t="n">
        <f aca="false">D627+E627</f>
        <v>1</v>
      </c>
    </row>
    <row r="628" customFormat="false" ht="15" hidden="false" customHeight="false" outlineLevel="0" collapsed="false">
      <c r="A628" s="8" t="s">
        <v>8897</v>
      </c>
      <c r="B628" s="8" t="s">
        <v>6170</v>
      </c>
      <c r="C628" s="8" t="s">
        <v>8344</v>
      </c>
      <c r="D628" s="8" t="n">
        <f aca="false">COUNTIF(Dishes!$M:$R,B628)</f>
        <v>0</v>
      </c>
      <c r="E628" s="8" t="n">
        <f aca="false">COUNTIF(Drinks!$N:$S,B628)</f>
        <v>3</v>
      </c>
      <c r="F628" s="8" t="n">
        <f aca="false">D628+E628</f>
        <v>3</v>
      </c>
    </row>
    <row r="629" customFormat="false" ht="15" hidden="false" customHeight="false" outlineLevel="0" collapsed="false">
      <c r="A629" s="8" t="s">
        <v>8898</v>
      </c>
      <c r="B629" s="8" t="s">
        <v>4142</v>
      </c>
      <c r="C629" s="8" t="s">
        <v>8261</v>
      </c>
      <c r="D629" s="8" t="n">
        <f aca="false">COUNTIF(Dishes!$M:$R,B629)</f>
        <v>1</v>
      </c>
      <c r="E629" s="8" t="n">
        <f aca="false">COUNTIF(Drinks!$N:$S,B629)</f>
        <v>2</v>
      </c>
      <c r="F629" s="8" t="n">
        <f aca="false">D629+E629</f>
        <v>3</v>
      </c>
    </row>
    <row r="630" customFormat="false" ht="15" hidden="false" customHeight="false" outlineLevel="0" collapsed="false">
      <c r="A630" s="8" t="s">
        <v>8899</v>
      </c>
      <c r="B630" s="8" t="s">
        <v>6113</v>
      </c>
      <c r="C630" s="8" t="s">
        <v>8261</v>
      </c>
      <c r="D630" s="8" t="n">
        <f aca="false">COUNTIF(Dishes!$M:$R,B630)</f>
        <v>0</v>
      </c>
      <c r="E630" s="8" t="n">
        <f aca="false">COUNTIF(Drinks!$N:$S,B630)</f>
        <v>1</v>
      </c>
      <c r="F630" s="8" t="n">
        <f aca="false">D630+E630</f>
        <v>1</v>
      </c>
    </row>
    <row r="631" customFormat="false" ht="15" hidden="false" customHeight="false" outlineLevel="0" collapsed="false">
      <c r="A631" s="8" t="s">
        <v>8900</v>
      </c>
      <c r="B631" s="8" t="s">
        <v>4933</v>
      </c>
      <c r="C631" s="8" t="s">
        <v>8259</v>
      </c>
      <c r="D631" s="8" t="n">
        <f aca="false">COUNTIF(Dishes!$M:$R,B631)</f>
        <v>4</v>
      </c>
      <c r="E631" s="8" t="n">
        <f aca="false">COUNTIF(Drinks!$N:$S,B631)</f>
        <v>0</v>
      </c>
      <c r="F631" s="8" t="n">
        <f aca="false">D631+E631</f>
        <v>4</v>
      </c>
    </row>
    <row r="632" customFormat="false" ht="15" hidden="false" customHeight="false" outlineLevel="0" collapsed="false">
      <c r="A632" s="8" t="s">
        <v>8901</v>
      </c>
      <c r="B632" s="8" t="s">
        <v>6091</v>
      </c>
      <c r="C632" s="8" t="s">
        <v>8282</v>
      </c>
      <c r="D632" s="8" t="n">
        <f aca="false">COUNTIF(Dishes!$M:$R,B632)</f>
        <v>0</v>
      </c>
      <c r="E632" s="8" t="n">
        <f aca="false">COUNTIF(Drinks!$N:$S,B632)</f>
        <v>1</v>
      </c>
      <c r="F632" s="8" t="n">
        <f aca="false">D632+E632</f>
        <v>1</v>
      </c>
    </row>
    <row r="633" customFormat="false" ht="15" hidden="false" customHeight="false" outlineLevel="0" collapsed="false">
      <c r="A633" s="8" t="s">
        <v>8902</v>
      </c>
      <c r="B633" s="8" t="s">
        <v>3684</v>
      </c>
      <c r="C633" s="8" t="s">
        <v>8276</v>
      </c>
      <c r="D633" s="8" t="n">
        <f aca="false">COUNTIF(Dishes!$M:$R,B633)</f>
        <v>1</v>
      </c>
      <c r="E633" s="8" t="n">
        <f aca="false">COUNTIF(Drinks!$N:$S,B633)</f>
        <v>0</v>
      </c>
      <c r="F633" s="8" t="n">
        <f aca="false">D633+E633</f>
        <v>1</v>
      </c>
    </row>
    <row r="634" customFormat="false" ht="15" hidden="false" customHeight="false" outlineLevel="0" collapsed="false">
      <c r="A634" s="8" t="s">
        <v>8903</v>
      </c>
      <c r="B634" s="8" t="s">
        <v>3379</v>
      </c>
      <c r="C634" s="8" t="s">
        <v>8257</v>
      </c>
      <c r="D634" s="8" t="n">
        <f aca="false">COUNTIF(Dishes!$M:$R,B634)</f>
        <v>1</v>
      </c>
      <c r="E634" s="8" t="n">
        <f aca="false">COUNTIF(Drinks!$N:$S,B634)</f>
        <v>0</v>
      </c>
      <c r="F634" s="8" t="n">
        <f aca="false">D634+E634</f>
        <v>1</v>
      </c>
    </row>
    <row r="635" customFormat="false" ht="15" hidden="false" customHeight="false" outlineLevel="0" collapsed="false">
      <c r="A635" s="8" t="s">
        <v>8904</v>
      </c>
      <c r="B635" s="8" t="s">
        <v>7004</v>
      </c>
      <c r="C635" s="8" t="s">
        <v>8282</v>
      </c>
      <c r="D635" s="8" t="n">
        <f aca="false">COUNTIF(Dishes!$M:$R,B635)</f>
        <v>0</v>
      </c>
      <c r="E635" s="8" t="n">
        <f aca="false">COUNTIF(Drinks!$N:$S,B635)</f>
        <v>1</v>
      </c>
      <c r="F635" s="8" t="n">
        <f aca="false">D635+E635</f>
        <v>1</v>
      </c>
    </row>
    <row r="636" customFormat="false" ht="15" hidden="false" customHeight="false" outlineLevel="0" collapsed="false">
      <c r="A636" s="8" t="s">
        <v>8905</v>
      </c>
      <c r="B636" s="8" t="s">
        <v>6536</v>
      </c>
      <c r="C636" s="8" t="s">
        <v>8261</v>
      </c>
      <c r="D636" s="8" t="n">
        <f aca="false">COUNTIF(Dishes!$M:$R,B636)</f>
        <v>0</v>
      </c>
      <c r="E636" s="8" t="n">
        <f aca="false">COUNTIF(Drinks!$N:$S,B636)</f>
        <v>1</v>
      </c>
      <c r="F636" s="8" t="n">
        <f aca="false">D636+E636</f>
        <v>1</v>
      </c>
    </row>
    <row r="637" customFormat="false" ht="15" hidden="false" customHeight="false" outlineLevel="0" collapsed="false">
      <c r="A637" s="8" t="s">
        <v>8906</v>
      </c>
      <c r="B637" s="8" t="s">
        <v>3353</v>
      </c>
      <c r="C637" s="8" t="s">
        <v>8259</v>
      </c>
      <c r="D637" s="8" t="n">
        <f aca="false">COUNTIF(Dishes!$M:$R,B637)</f>
        <v>1</v>
      </c>
      <c r="E637" s="8" t="n">
        <f aca="false">COUNTIF(Drinks!$N:$S,B637)</f>
        <v>0</v>
      </c>
      <c r="F637" s="8" t="n">
        <f aca="false">D637+E637</f>
        <v>1</v>
      </c>
    </row>
    <row r="638" customFormat="false" ht="15" hidden="false" customHeight="false" outlineLevel="0" collapsed="false">
      <c r="A638" s="8" t="s">
        <v>8907</v>
      </c>
      <c r="B638" s="8" t="s">
        <v>1905</v>
      </c>
      <c r="C638" s="8" t="s">
        <v>8272</v>
      </c>
      <c r="D638" s="8" t="n">
        <f aca="false">COUNTIF(Dishes!$M:$R,B638)</f>
        <v>4</v>
      </c>
      <c r="E638" s="8" t="n">
        <f aca="false">COUNTIF(Drinks!$N:$S,B638)</f>
        <v>0</v>
      </c>
      <c r="F638" s="8" t="n">
        <f aca="false">D638+E638</f>
        <v>4</v>
      </c>
    </row>
    <row r="639" customFormat="false" ht="15" hidden="false" customHeight="false" outlineLevel="0" collapsed="false">
      <c r="A639" s="8" t="s">
        <v>8908</v>
      </c>
      <c r="B639" s="8" t="s">
        <v>289</v>
      </c>
      <c r="C639" s="8" t="s">
        <v>8265</v>
      </c>
      <c r="D639" s="8" t="n">
        <f aca="false">COUNTIF(Dishes!$M:$R,B639)</f>
        <v>8</v>
      </c>
      <c r="E639" s="8" t="n">
        <f aca="false">COUNTIF(Drinks!$N:$S,B639)</f>
        <v>0</v>
      </c>
      <c r="F639" s="8" t="n">
        <f aca="false">D639+E639</f>
        <v>8</v>
      </c>
    </row>
    <row r="640" customFormat="false" ht="15" hidden="false" customHeight="false" outlineLevel="0" collapsed="false">
      <c r="A640" s="8" t="s">
        <v>8909</v>
      </c>
      <c r="B640" s="8" t="s">
        <v>367</v>
      </c>
      <c r="C640" s="8" t="s">
        <v>8265</v>
      </c>
      <c r="D640" s="8" t="n">
        <f aca="false">COUNTIF(Dishes!$M:$R,B640)</f>
        <v>1</v>
      </c>
      <c r="E640" s="8" t="n">
        <f aca="false">COUNTIF(Drinks!$N:$S,B640)</f>
        <v>0</v>
      </c>
      <c r="F640" s="8" t="n">
        <f aca="false">D640+E640</f>
        <v>1</v>
      </c>
    </row>
    <row r="641" customFormat="false" ht="15" hidden="false" customHeight="false" outlineLevel="0" collapsed="false">
      <c r="A641" s="8" t="s">
        <v>8910</v>
      </c>
      <c r="B641" s="8" t="s">
        <v>2901</v>
      </c>
      <c r="C641" s="8" t="s">
        <v>8272</v>
      </c>
      <c r="D641" s="8" t="n">
        <f aca="false">COUNTIF(Dishes!$M:$R,B641)</f>
        <v>1</v>
      </c>
      <c r="E641" s="8" t="n">
        <f aca="false">COUNTIF(Drinks!$N:$S,B641)</f>
        <v>0</v>
      </c>
      <c r="F641" s="8" t="n">
        <f aca="false">D641+E641</f>
        <v>1</v>
      </c>
    </row>
    <row r="642" customFormat="false" ht="15" hidden="false" customHeight="false" outlineLevel="0" collapsed="false">
      <c r="A642" s="8" t="s">
        <v>8911</v>
      </c>
      <c r="B642" s="8" t="s">
        <v>709</v>
      </c>
      <c r="C642" s="8" t="s">
        <v>8257</v>
      </c>
      <c r="D642" s="8" t="n">
        <f aca="false">COUNTIF(Dishes!$M:$R,B642)</f>
        <v>1</v>
      </c>
      <c r="E642" s="8" t="n">
        <f aca="false">COUNTIF(Drinks!$N:$S,B642)</f>
        <v>0</v>
      </c>
      <c r="F642" s="8" t="n">
        <f aca="false">D642+E642</f>
        <v>1</v>
      </c>
    </row>
    <row r="643" customFormat="false" ht="15" hidden="false" customHeight="false" outlineLevel="0" collapsed="false">
      <c r="A643" s="8" t="s">
        <v>8912</v>
      </c>
      <c r="B643" s="8" t="s">
        <v>425</v>
      </c>
      <c r="C643" s="8" t="s">
        <v>8272</v>
      </c>
      <c r="D643" s="8" t="n">
        <f aca="false">COUNTIF(Dishes!$M:$R,B643)</f>
        <v>1</v>
      </c>
      <c r="E643" s="8" t="n">
        <f aca="false">COUNTIF(Drinks!$N:$S,B643)</f>
        <v>0</v>
      </c>
      <c r="F643" s="8" t="n">
        <f aca="false">D643+E643</f>
        <v>1</v>
      </c>
    </row>
    <row r="644" customFormat="false" ht="15" hidden="false" customHeight="false" outlineLevel="0" collapsed="false">
      <c r="A644" s="8" t="s">
        <v>8913</v>
      </c>
      <c r="B644" s="8" t="s">
        <v>4355</v>
      </c>
      <c r="C644" s="8" t="s">
        <v>8259</v>
      </c>
      <c r="D644" s="8" t="n">
        <f aca="false">COUNTIF(Dishes!$M:$R,B644)</f>
        <v>7</v>
      </c>
      <c r="E644" s="8" t="n">
        <f aca="false">COUNTIF(Drinks!$N:$S,B644)</f>
        <v>0</v>
      </c>
      <c r="F644" s="8" t="n">
        <f aca="false">D644+E644</f>
        <v>7</v>
      </c>
    </row>
    <row r="645" customFormat="false" ht="15" hidden="false" customHeight="false" outlineLevel="0" collapsed="false">
      <c r="A645" s="8" t="s">
        <v>8914</v>
      </c>
      <c r="B645" s="8" t="s">
        <v>1639</v>
      </c>
      <c r="C645" s="8" t="s">
        <v>8272</v>
      </c>
      <c r="D645" s="8" t="n">
        <f aca="false">COUNTIF(Dishes!$M:$R,B645)</f>
        <v>1</v>
      </c>
      <c r="E645" s="8" t="n">
        <f aca="false">COUNTIF(Drinks!$N:$S,B645)</f>
        <v>0</v>
      </c>
      <c r="F645" s="8" t="n">
        <f aca="false">D645+E645</f>
        <v>1</v>
      </c>
    </row>
    <row r="646" customFormat="false" ht="15" hidden="false" customHeight="false" outlineLevel="0" collapsed="false">
      <c r="A646" s="8" t="s">
        <v>8915</v>
      </c>
      <c r="B646" s="8" t="s">
        <v>3850</v>
      </c>
      <c r="C646" s="8" t="s">
        <v>8265</v>
      </c>
      <c r="D646" s="8" t="n">
        <f aca="false">COUNTIF(Dishes!$M:$R,B646)</f>
        <v>8</v>
      </c>
      <c r="E646" s="8" t="n">
        <f aca="false">COUNTIF(Drinks!$N:$S,B646)</f>
        <v>0</v>
      </c>
      <c r="F646" s="8" t="n">
        <f aca="false">D646+E646</f>
        <v>8</v>
      </c>
    </row>
    <row r="647" customFormat="false" ht="15" hidden="false" customHeight="false" outlineLevel="0" collapsed="false">
      <c r="A647" s="8" t="s">
        <v>8916</v>
      </c>
      <c r="B647" s="8" t="s">
        <v>1133</v>
      </c>
      <c r="C647" s="8" t="s">
        <v>8272</v>
      </c>
      <c r="D647" s="8" t="n">
        <f aca="false">COUNTIF(Dishes!$M:$R,B647)</f>
        <v>1</v>
      </c>
      <c r="E647" s="8" t="n">
        <f aca="false">COUNTIF(Drinks!$N:$S,B647)</f>
        <v>0</v>
      </c>
      <c r="F647" s="8" t="n">
        <f aca="false">D647+E647</f>
        <v>1</v>
      </c>
    </row>
    <row r="648" customFormat="false" ht="15" hidden="false" customHeight="false" outlineLevel="0" collapsed="false">
      <c r="A648" s="8" t="s">
        <v>8917</v>
      </c>
      <c r="B648" s="8" t="s">
        <v>3906</v>
      </c>
      <c r="C648" s="8" t="s">
        <v>8259</v>
      </c>
      <c r="D648" s="8" t="n">
        <f aca="false">COUNTIF(Dishes!$M:$R,B648)</f>
        <v>9</v>
      </c>
      <c r="E648" s="8" t="n">
        <f aca="false">COUNTIF(Drinks!$N:$S,B648)</f>
        <v>0</v>
      </c>
      <c r="F648" s="8" t="n">
        <f aca="false">D648+E648</f>
        <v>9</v>
      </c>
    </row>
    <row r="649" customFormat="false" ht="15" hidden="false" customHeight="false" outlineLevel="0" collapsed="false">
      <c r="A649" s="8" t="s">
        <v>8918</v>
      </c>
      <c r="B649" s="8" t="s">
        <v>6356</v>
      </c>
      <c r="C649" s="8" t="s">
        <v>8261</v>
      </c>
      <c r="D649" s="8" t="n">
        <f aca="false">COUNTIF(Dishes!$M:$R,B649)</f>
        <v>0</v>
      </c>
      <c r="E649" s="8" t="n">
        <f aca="false">COUNTIF(Drinks!$N:$S,B649)</f>
        <v>1</v>
      </c>
      <c r="F649" s="8" t="n">
        <f aca="false">D649+E649</f>
        <v>1</v>
      </c>
    </row>
    <row r="650" customFormat="false" ht="15" hidden="false" customHeight="false" outlineLevel="0" collapsed="false">
      <c r="A650" s="8" t="s">
        <v>8919</v>
      </c>
      <c r="B650" s="8" t="s">
        <v>6355</v>
      </c>
      <c r="C650" s="8" t="s">
        <v>8268</v>
      </c>
      <c r="D650" s="8" t="n">
        <f aca="false">COUNTIF(Dishes!$M:$R,B650)</f>
        <v>0</v>
      </c>
      <c r="E650" s="8" t="n">
        <f aca="false">COUNTIF(Drinks!$N:$S,B650)</f>
        <v>1</v>
      </c>
      <c r="F650" s="8" t="n">
        <f aca="false">D650+E650</f>
        <v>1</v>
      </c>
    </row>
    <row r="651" customFormat="false" ht="15" hidden="false" customHeight="false" outlineLevel="0" collapsed="false">
      <c r="A651" s="8" t="s">
        <v>8920</v>
      </c>
      <c r="B651" s="8" t="s">
        <v>3872</v>
      </c>
      <c r="C651" s="8" t="s">
        <v>8272</v>
      </c>
      <c r="D651" s="8" t="n">
        <f aca="false">COUNTIF(Dishes!$M:$R,B651)</f>
        <v>1</v>
      </c>
      <c r="E651" s="8" t="n">
        <f aca="false">COUNTIF(Drinks!$N:$S,B651)</f>
        <v>0</v>
      </c>
      <c r="F651" s="8" t="n">
        <f aca="false">D651+E651</f>
        <v>1</v>
      </c>
    </row>
    <row r="652" customFormat="false" ht="15" hidden="false" customHeight="false" outlineLevel="0" collapsed="false">
      <c r="A652" s="8" t="s">
        <v>8921</v>
      </c>
      <c r="B652" s="8" t="s">
        <v>3852</v>
      </c>
      <c r="C652" s="8" t="s">
        <v>8272</v>
      </c>
      <c r="D652" s="8" t="n">
        <f aca="false">COUNTIF(Dishes!$M:$R,B652)</f>
        <v>1</v>
      </c>
      <c r="E652" s="8" t="n">
        <f aca="false">COUNTIF(Drinks!$N:$S,B652)</f>
        <v>0</v>
      </c>
      <c r="F652" s="8" t="n">
        <f aca="false">D652+E652</f>
        <v>1</v>
      </c>
    </row>
    <row r="653" customFormat="false" ht="15" hidden="false" customHeight="false" outlineLevel="0" collapsed="false">
      <c r="A653" s="8" t="s">
        <v>8922</v>
      </c>
      <c r="B653" s="8" t="s">
        <v>3889</v>
      </c>
      <c r="C653" s="8" t="s">
        <v>8263</v>
      </c>
      <c r="D653" s="8" t="n">
        <f aca="false">COUNTIF(Dishes!$M:$R,B653)</f>
        <v>1</v>
      </c>
      <c r="E653" s="8" t="n">
        <f aca="false">COUNTIF(Drinks!$N:$S,B653)</f>
        <v>0</v>
      </c>
      <c r="F653" s="8" t="n">
        <f aca="false">D653+E653</f>
        <v>1</v>
      </c>
    </row>
    <row r="654" customFormat="false" ht="15" hidden="false" customHeight="false" outlineLevel="0" collapsed="false">
      <c r="A654" s="8" t="s">
        <v>8923</v>
      </c>
      <c r="B654" s="8" t="s">
        <v>2743</v>
      </c>
      <c r="C654" s="8" t="s">
        <v>8272</v>
      </c>
      <c r="D654" s="8" t="n">
        <f aca="false">COUNTIF(Dishes!$M:$R,B654)</f>
        <v>7</v>
      </c>
      <c r="E654" s="8" t="n">
        <f aca="false">COUNTIF(Drinks!$N:$S,B654)</f>
        <v>0</v>
      </c>
      <c r="F654" s="8" t="n">
        <f aca="false">D654+E654</f>
        <v>7</v>
      </c>
    </row>
    <row r="655" customFormat="false" ht="15" hidden="false" customHeight="false" outlineLevel="0" collapsed="false">
      <c r="A655" s="8" t="s">
        <v>8924</v>
      </c>
      <c r="B655" s="8" t="s">
        <v>752</v>
      </c>
      <c r="C655" s="8" t="s">
        <v>8272</v>
      </c>
      <c r="D655" s="8" t="n">
        <f aca="false">COUNTIF(Dishes!$M:$R,B655)</f>
        <v>6</v>
      </c>
      <c r="E655" s="8" t="n">
        <f aca="false">COUNTIF(Drinks!$N:$S,B655)</f>
        <v>0</v>
      </c>
      <c r="F655" s="8" t="n">
        <f aca="false">D655+E655</f>
        <v>6</v>
      </c>
    </row>
    <row r="656" customFormat="false" ht="15" hidden="false" customHeight="false" outlineLevel="0" collapsed="false">
      <c r="A656" s="8" t="s">
        <v>8925</v>
      </c>
      <c r="B656" s="8" t="s">
        <v>816</v>
      </c>
      <c r="C656" s="8" t="s">
        <v>8259</v>
      </c>
      <c r="D656" s="8" t="n">
        <f aca="false">COUNTIF(Dishes!$M:$R,B656)</f>
        <v>1</v>
      </c>
      <c r="E656" s="8" t="n">
        <f aca="false">COUNTIF(Drinks!$N:$S,B656)</f>
        <v>0</v>
      </c>
      <c r="F656" s="8" t="n">
        <f aca="false">D656+E656</f>
        <v>1</v>
      </c>
    </row>
    <row r="657" customFormat="false" ht="15" hidden="false" customHeight="false" outlineLevel="0" collapsed="false">
      <c r="A657" s="8" t="s">
        <v>8926</v>
      </c>
      <c r="B657" s="8" t="s">
        <v>6171</v>
      </c>
      <c r="C657" s="8" t="s">
        <v>8268</v>
      </c>
      <c r="D657" s="8" t="n">
        <f aca="false">COUNTIF(Dishes!$M:$R,B657)</f>
        <v>0</v>
      </c>
      <c r="E657" s="8" t="n">
        <f aca="false">COUNTIF(Drinks!$N:$S,B657)</f>
        <v>1</v>
      </c>
      <c r="F657" s="8" t="n">
        <f aca="false">D657+E657</f>
        <v>1</v>
      </c>
    </row>
    <row r="658" customFormat="false" ht="15" hidden="false" customHeight="false" outlineLevel="0" collapsed="false">
      <c r="A658" s="8" t="s">
        <v>8927</v>
      </c>
      <c r="B658" s="8" t="s">
        <v>3464</v>
      </c>
      <c r="C658" s="8" t="s">
        <v>8257</v>
      </c>
      <c r="D658" s="8" t="n">
        <f aca="false">COUNTIF(Dishes!$M:$R,B658)</f>
        <v>4</v>
      </c>
      <c r="E658" s="8" t="n">
        <f aca="false">COUNTIF(Drinks!$N:$S,B658)</f>
        <v>0</v>
      </c>
      <c r="F658" s="8" t="n">
        <f aca="false">D658+E658</f>
        <v>4</v>
      </c>
    </row>
    <row r="659" customFormat="false" ht="15" hidden="false" customHeight="false" outlineLevel="0" collapsed="false">
      <c r="A659" s="8" t="s">
        <v>8928</v>
      </c>
      <c r="B659" s="8" t="s">
        <v>791</v>
      </c>
      <c r="C659" s="8" t="s">
        <v>8261</v>
      </c>
      <c r="D659" s="8" t="n">
        <f aca="false">COUNTIF(Dishes!$M:$R,B659)</f>
        <v>19</v>
      </c>
      <c r="E659" s="8" t="n">
        <f aca="false">COUNTIF(Drinks!$N:$S,B659)</f>
        <v>0</v>
      </c>
      <c r="F659" s="8" t="n">
        <f aca="false">D659+E659</f>
        <v>19</v>
      </c>
    </row>
    <row r="660" customFormat="false" ht="15" hidden="false" customHeight="false" outlineLevel="0" collapsed="false">
      <c r="A660" s="8" t="s">
        <v>8929</v>
      </c>
      <c r="B660" s="8" t="s">
        <v>3159</v>
      </c>
      <c r="C660" s="8" t="s">
        <v>8261</v>
      </c>
      <c r="D660" s="8" t="n">
        <f aca="false">COUNTIF(Dishes!$M:$R,B660)</f>
        <v>3</v>
      </c>
      <c r="E660" s="8" t="n">
        <f aca="false">COUNTIF(Drinks!$N:$S,B660)</f>
        <v>0</v>
      </c>
      <c r="F660" s="8" t="n">
        <f aca="false">D660+E660</f>
        <v>3</v>
      </c>
    </row>
    <row r="661" customFormat="false" ht="15" hidden="false" customHeight="false" outlineLevel="0" collapsed="false">
      <c r="A661" s="8" t="s">
        <v>8930</v>
      </c>
      <c r="B661" s="8" t="s">
        <v>4093</v>
      </c>
      <c r="C661" s="8" t="s">
        <v>8287</v>
      </c>
      <c r="D661" s="8" t="n">
        <f aca="false">COUNTIF(Dishes!$M:$R,B661)</f>
        <v>2</v>
      </c>
      <c r="E661" s="8" t="n">
        <f aca="false">COUNTIF(Drinks!$N:$S,B661)</f>
        <v>0</v>
      </c>
      <c r="F661" s="8" t="n">
        <f aca="false">D661+E661</f>
        <v>2</v>
      </c>
    </row>
    <row r="662" customFormat="false" ht="15" hidden="false" customHeight="false" outlineLevel="0" collapsed="false">
      <c r="A662" s="8" t="s">
        <v>8931</v>
      </c>
      <c r="B662" s="8" t="s">
        <v>1298</v>
      </c>
      <c r="C662" s="8" t="s">
        <v>8274</v>
      </c>
      <c r="D662" s="8" t="n">
        <f aca="false">COUNTIF(Dishes!$M:$R,B662)</f>
        <v>1</v>
      </c>
      <c r="E662" s="8" t="n">
        <f aca="false">COUNTIF(Drinks!$N:$S,B662)</f>
        <v>0</v>
      </c>
      <c r="F662" s="8" t="n">
        <f aca="false">D662+E662</f>
        <v>1</v>
      </c>
    </row>
    <row r="663" customFormat="false" ht="15" hidden="false" customHeight="false" outlineLevel="0" collapsed="false">
      <c r="A663" s="8" t="s">
        <v>8932</v>
      </c>
      <c r="B663" s="8" t="s">
        <v>4749</v>
      </c>
      <c r="C663" s="8" t="s">
        <v>8282</v>
      </c>
      <c r="D663" s="8" t="n">
        <f aca="false">COUNTIF(Dishes!$M:$R,B663)</f>
        <v>1</v>
      </c>
      <c r="E663" s="8" t="n">
        <f aca="false">COUNTIF(Drinks!$N:$S,B663)</f>
        <v>0</v>
      </c>
      <c r="F663" s="8" t="n">
        <f aca="false">D663+E663</f>
        <v>1</v>
      </c>
    </row>
    <row r="664" customFormat="false" ht="15" hidden="false" customHeight="false" outlineLevel="0" collapsed="false">
      <c r="A664" s="8" t="s">
        <v>8933</v>
      </c>
      <c r="B664" s="8" t="s">
        <v>1934</v>
      </c>
      <c r="C664" s="8" t="s">
        <v>8287</v>
      </c>
      <c r="D664" s="8" t="n">
        <f aca="false">COUNTIF(Dishes!$M:$R,B664)</f>
        <v>6</v>
      </c>
      <c r="E664" s="8" t="n">
        <f aca="false">COUNTIF(Drinks!$N:$S,B664)</f>
        <v>0</v>
      </c>
      <c r="F664" s="8" t="n">
        <f aca="false">D664+E664</f>
        <v>6</v>
      </c>
    </row>
    <row r="665" customFormat="false" ht="15" hidden="false" customHeight="false" outlineLevel="0" collapsed="false">
      <c r="A665" s="8" t="s">
        <v>8934</v>
      </c>
      <c r="B665" s="8" t="s">
        <v>6544</v>
      </c>
      <c r="C665" s="8" t="s">
        <v>8263</v>
      </c>
      <c r="D665" s="8" t="n">
        <f aca="false">COUNTIF(Dishes!$M:$R,B665)</f>
        <v>0</v>
      </c>
      <c r="E665" s="8" t="n">
        <f aca="false">COUNTIF(Drinks!$N:$S,B665)</f>
        <v>1</v>
      </c>
      <c r="F665" s="8" t="n">
        <f aca="false">D665+E665</f>
        <v>1</v>
      </c>
    </row>
    <row r="666" customFormat="false" ht="15" hidden="false" customHeight="false" outlineLevel="0" collapsed="false">
      <c r="A666" s="8" t="s">
        <v>8935</v>
      </c>
      <c r="B666" s="8" t="s">
        <v>3840</v>
      </c>
      <c r="C666" s="8" t="s">
        <v>8265</v>
      </c>
      <c r="D666" s="8" t="n">
        <f aca="false">COUNTIF(Dishes!$M:$R,B666)</f>
        <v>4</v>
      </c>
      <c r="E666" s="8" t="n">
        <f aca="false">COUNTIF(Drinks!$N:$S,B666)</f>
        <v>0</v>
      </c>
      <c r="F666" s="8" t="n">
        <f aca="false">D666+E666</f>
        <v>4</v>
      </c>
    </row>
    <row r="667" customFormat="false" ht="15" hidden="false" customHeight="false" outlineLevel="0" collapsed="false">
      <c r="A667" s="8" t="s">
        <v>8936</v>
      </c>
      <c r="B667" s="8" t="s">
        <v>4073</v>
      </c>
      <c r="C667" s="8" t="s">
        <v>8272</v>
      </c>
      <c r="D667" s="8" t="n">
        <f aca="false">COUNTIF(Dishes!$M:$R,B667)</f>
        <v>1</v>
      </c>
      <c r="E667" s="8" t="n">
        <f aca="false">COUNTIF(Drinks!$N:$S,B667)</f>
        <v>0</v>
      </c>
      <c r="F667" s="8" t="n">
        <f aca="false">D667+E667</f>
        <v>1</v>
      </c>
    </row>
    <row r="668" customFormat="false" ht="15" hidden="false" customHeight="false" outlineLevel="0" collapsed="false">
      <c r="A668" s="8" t="s">
        <v>8937</v>
      </c>
      <c r="B668" s="8" t="s">
        <v>2841</v>
      </c>
      <c r="C668" s="8" t="s">
        <v>8257</v>
      </c>
      <c r="D668" s="8" t="n">
        <f aca="false">COUNTIF(Dishes!$M:$R,B668)</f>
        <v>1</v>
      </c>
      <c r="E668" s="8" t="n">
        <f aca="false">COUNTIF(Drinks!$N:$S,B668)</f>
        <v>0</v>
      </c>
      <c r="F668" s="8" t="n">
        <f aca="false">D668+E668</f>
        <v>1</v>
      </c>
    </row>
    <row r="669" customFormat="false" ht="15" hidden="false" customHeight="false" outlineLevel="0" collapsed="false">
      <c r="A669" s="8" t="s">
        <v>8938</v>
      </c>
      <c r="B669" s="8" t="s">
        <v>3444</v>
      </c>
      <c r="C669" s="8" t="s">
        <v>8257</v>
      </c>
      <c r="D669" s="8" t="n">
        <f aca="false">COUNTIF(Dishes!$M:$R,B669)</f>
        <v>1</v>
      </c>
      <c r="E669" s="8" t="n">
        <f aca="false">COUNTIF(Drinks!$N:$S,B669)</f>
        <v>0</v>
      </c>
      <c r="F669" s="8" t="n">
        <f aca="false">D669+E669</f>
        <v>1</v>
      </c>
    </row>
    <row r="670" customFormat="false" ht="15" hidden="false" customHeight="false" outlineLevel="0" collapsed="false">
      <c r="A670" s="8" t="s">
        <v>8939</v>
      </c>
      <c r="B670" s="8" t="s">
        <v>3127</v>
      </c>
      <c r="C670" s="8" t="s">
        <v>8259</v>
      </c>
      <c r="D670" s="8" t="n">
        <f aca="false">COUNTIF(Dishes!$M:$R,B670)</f>
        <v>1</v>
      </c>
      <c r="E670" s="8" t="n">
        <f aca="false">COUNTIF(Drinks!$N:$S,B670)</f>
        <v>0</v>
      </c>
      <c r="F670" s="8" t="n">
        <f aca="false">D670+E670</f>
        <v>1</v>
      </c>
    </row>
    <row r="671" customFormat="false" ht="15" hidden="false" customHeight="false" outlineLevel="0" collapsed="false">
      <c r="A671" s="8" t="s">
        <v>8940</v>
      </c>
      <c r="B671" s="8" t="s">
        <v>4736</v>
      </c>
      <c r="C671" s="8" t="s">
        <v>8274</v>
      </c>
      <c r="D671" s="8" t="n">
        <f aca="false">COUNTIF(Dishes!$M:$R,B671)</f>
        <v>1</v>
      </c>
      <c r="E671" s="8" t="n">
        <f aca="false">COUNTIF(Drinks!$N:$S,B671)</f>
        <v>0</v>
      </c>
      <c r="F671" s="8" t="n">
        <f aca="false">D671+E671</f>
        <v>1</v>
      </c>
    </row>
    <row r="672" customFormat="false" ht="15" hidden="false" customHeight="false" outlineLevel="0" collapsed="false">
      <c r="A672" s="8" t="s">
        <v>8941</v>
      </c>
      <c r="B672" s="8" t="s">
        <v>4308</v>
      </c>
      <c r="C672" s="8" t="s">
        <v>8257</v>
      </c>
      <c r="D672" s="8" t="n">
        <f aca="false">COUNTIF(Dishes!$M:$R,B672)</f>
        <v>1</v>
      </c>
      <c r="E672" s="8" t="n">
        <f aca="false">COUNTIF(Drinks!$N:$S,B672)</f>
        <v>0</v>
      </c>
      <c r="F672" s="8" t="n">
        <f aca="false">D672+E672</f>
        <v>1</v>
      </c>
    </row>
    <row r="673" customFormat="false" ht="15" hidden="false" customHeight="false" outlineLevel="0" collapsed="false">
      <c r="A673" s="8" t="s">
        <v>8942</v>
      </c>
      <c r="B673" s="8" t="s">
        <v>5345</v>
      </c>
      <c r="C673" s="8" t="s">
        <v>8257</v>
      </c>
      <c r="D673" s="8" t="n">
        <f aca="false">COUNTIF(Dishes!$M:$R,B673)</f>
        <v>1</v>
      </c>
      <c r="E673" s="8" t="n">
        <f aca="false">COUNTIF(Drinks!$N:$S,B673)</f>
        <v>0</v>
      </c>
      <c r="F673" s="8" t="n">
        <f aca="false">D673+E673</f>
        <v>1</v>
      </c>
    </row>
    <row r="674" customFormat="false" ht="15" hidden="false" customHeight="false" outlineLevel="0" collapsed="false">
      <c r="A674" s="8" t="s">
        <v>8943</v>
      </c>
      <c r="B674" s="8" t="s">
        <v>3491</v>
      </c>
      <c r="C674" s="8" t="s">
        <v>8257</v>
      </c>
      <c r="D674" s="8" t="n">
        <f aca="false">COUNTIF(Dishes!$M:$R,B674)</f>
        <v>2</v>
      </c>
      <c r="E674" s="8" t="n">
        <f aca="false">COUNTIF(Drinks!$N:$S,B674)</f>
        <v>0</v>
      </c>
      <c r="F674" s="8" t="n">
        <f aca="false">D674+E674</f>
        <v>2</v>
      </c>
    </row>
    <row r="675" customFormat="false" ht="15" hidden="false" customHeight="false" outlineLevel="0" collapsed="false">
      <c r="A675" s="8" t="s">
        <v>8944</v>
      </c>
      <c r="B675" s="8" t="s">
        <v>5005</v>
      </c>
      <c r="C675" s="8" t="s">
        <v>8272</v>
      </c>
      <c r="D675" s="8" t="n">
        <f aca="false">COUNTIF(Dishes!$M:$R,B675)</f>
        <v>1</v>
      </c>
      <c r="E675" s="8" t="n">
        <f aca="false">COUNTIF(Drinks!$N:$S,B675)</f>
        <v>0</v>
      </c>
      <c r="F675" s="8" t="n">
        <f aca="false">D675+E675</f>
        <v>1</v>
      </c>
    </row>
    <row r="676" customFormat="false" ht="15" hidden="false" customHeight="false" outlineLevel="0" collapsed="false">
      <c r="A676" s="8" t="s">
        <v>8945</v>
      </c>
      <c r="B676" s="8" t="s">
        <v>3693</v>
      </c>
      <c r="C676" s="8" t="s">
        <v>8276</v>
      </c>
      <c r="D676" s="8" t="n">
        <f aca="false">COUNTIF(Dishes!$M:$R,B676)</f>
        <v>1</v>
      </c>
      <c r="E676" s="8" t="n">
        <f aca="false">COUNTIF(Drinks!$N:$S,B676)</f>
        <v>0</v>
      </c>
      <c r="F676" s="8" t="n">
        <f aca="false">D676+E676</f>
        <v>1</v>
      </c>
    </row>
    <row r="677" customFormat="false" ht="15" hidden="false" customHeight="false" outlineLevel="0" collapsed="false">
      <c r="A677" s="8" t="s">
        <v>8946</v>
      </c>
      <c r="B677" s="8" t="s">
        <v>5810</v>
      </c>
      <c r="C677" s="8" t="s">
        <v>8276</v>
      </c>
      <c r="D677" s="8" t="n">
        <f aca="false">COUNTIF(Dishes!$M:$R,B677)</f>
        <v>1</v>
      </c>
      <c r="E677" s="8" t="n">
        <f aca="false">COUNTIF(Drinks!$N:$S,B677)</f>
        <v>0</v>
      </c>
      <c r="F677" s="8" t="n">
        <f aca="false">D677+E677</f>
        <v>1</v>
      </c>
    </row>
    <row r="678" customFormat="false" ht="15" hidden="false" customHeight="false" outlineLevel="0" collapsed="false">
      <c r="A678" s="8" t="s">
        <v>8947</v>
      </c>
      <c r="B678" s="8" t="s">
        <v>6322</v>
      </c>
      <c r="C678" s="8" t="s">
        <v>8268</v>
      </c>
      <c r="D678" s="8" t="n">
        <f aca="false">COUNTIF(Dishes!$M:$R,B678)</f>
        <v>0</v>
      </c>
      <c r="E678" s="8" t="n">
        <f aca="false">COUNTIF(Drinks!$N:$S,B678)</f>
        <v>1</v>
      </c>
      <c r="F678" s="8" t="n">
        <f aca="false">D678+E678</f>
        <v>1</v>
      </c>
    </row>
    <row r="679" customFormat="false" ht="15" hidden="false" customHeight="false" outlineLevel="0" collapsed="false">
      <c r="A679" s="8" t="s">
        <v>8948</v>
      </c>
      <c r="B679" s="8" t="s">
        <v>3879</v>
      </c>
      <c r="C679" s="8" t="s">
        <v>8261</v>
      </c>
      <c r="D679" s="8" t="n">
        <f aca="false">COUNTIF(Dishes!$M:$R,B679)</f>
        <v>3</v>
      </c>
      <c r="E679" s="8" t="n">
        <f aca="false">COUNTIF(Drinks!$N:$S,B679)</f>
        <v>0</v>
      </c>
      <c r="F679" s="8" t="n">
        <f aca="false">D679+E679</f>
        <v>3</v>
      </c>
    </row>
    <row r="680" customFormat="false" ht="15" hidden="false" customHeight="false" outlineLevel="0" collapsed="false">
      <c r="A680" s="8" t="s">
        <v>8949</v>
      </c>
      <c r="B680" s="8" t="s">
        <v>2426</v>
      </c>
      <c r="C680" s="8" t="s">
        <v>8261</v>
      </c>
      <c r="D680" s="8" t="n">
        <f aca="false">COUNTIF(Dishes!$M:$R,B680)</f>
        <v>3</v>
      </c>
      <c r="E680" s="8" t="n">
        <f aca="false">COUNTIF(Drinks!$N:$S,B680)</f>
        <v>1</v>
      </c>
      <c r="F680" s="8" t="n">
        <f aca="false">D680+E680</f>
        <v>4</v>
      </c>
    </row>
    <row r="681" customFormat="false" ht="15" hidden="false" customHeight="false" outlineLevel="0" collapsed="false">
      <c r="A681" s="8" t="s">
        <v>8950</v>
      </c>
      <c r="B681" s="8" t="s">
        <v>5989</v>
      </c>
      <c r="C681" s="8" t="s">
        <v>8344</v>
      </c>
      <c r="D681" s="8" t="n">
        <f aca="false">COUNTIF(Dishes!$M:$R,B681)</f>
        <v>0</v>
      </c>
      <c r="E681" s="8" t="n">
        <f aca="false">COUNTIF(Drinks!$N:$S,B681)</f>
        <v>1</v>
      </c>
      <c r="F681" s="8" t="n">
        <f aca="false">D681+E681</f>
        <v>1</v>
      </c>
    </row>
    <row r="682" customFormat="false" ht="15" hidden="false" customHeight="false" outlineLevel="0" collapsed="false">
      <c r="A682" s="8" t="s">
        <v>8951</v>
      </c>
      <c r="B682" s="8" t="s">
        <v>7115</v>
      </c>
      <c r="C682" s="8" t="s">
        <v>8344</v>
      </c>
      <c r="D682" s="8" t="n">
        <f aca="false">COUNTIF(Dishes!$M:$R,B682)</f>
        <v>0</v>
      </c>
      <c r="E682" s="8" t="n">
        <f aca="false">COUNTIF(Drinks!$N:$S,B682)</f>
        <v>1</v>
      </c>
      <c r="F682" s="8" t="n">
        <f aca="false">D682+E682</f>
        <v>1</v>
      </c>
    </row>
    <row r="683" customFormat="false" ht="15" hidden="false" customHeight="false" outlineLevel="0" collapsed="false">
      <c r="A683" s="8" t="s">
        <v>8952</v>
      </c>
      <c r="B683" s="8" t="s">
        <v>6135</v>
      </c>
      <c r="C683" s="8" t="s">
        <v>8268</v>
      </c>
      <c r="D683" s="8" t="n">
        <f aca="false">COUNTIF(Dishes!$M:$R,B683)</f>
        <v>0</v>
      </c>
      <c r="E683" s="8" t="n">
        <f aca="false">COUNTIF(Drinks!$N:$S,B683)</f>
        <v>1</v>
      </c>
      <c r="F683" s="8" t="n">
        <f aca="false">D683+E683</f>
        <v>1</v>
      </c>
    </row>
    <row r="684" customFormat="false" ht="15" hidden="false" customHeight="false" outlineLevel="0" collapsed="false">
      <c r="A684" s="8" t="s">
        <v>8953</v>
      </c>
      <c r="B684" s="8" t="s">
        <v>463</v>
      </c>
      <c r="C684" s="8" t="s">
        <v>8261</v>
      </c>
      <c r="D684" s="8" t="n">
        <f aca="false">COUNTIF(Dishes!$M:$R,B684)</f>
        <v>10</v>
      </c>
      <c r="E684" s="8" t="n">
        <f aca="false">COUNTIF(Drinks!$N:$S,B684)</f>
        <v>0</v>
      </c>
      <c r="F684" s="8" t="n">
        <f aca="false">D684+E684</f>
        <v>10</v>
      </c>
    </row>
    <row r="685" customFormat="false" ht="15" hidden="false" customHeight="false" outlineLevel="0" collapsed="false">
      <c r="A685" s="8" t="s">
        <v>8954</v>
      </c>
      <c r="B685" s="8" t="s">
        <v>4944</v>
      </c>
      <c r="C685" s="8" t="s">
        <v>8272</v>
      </c>
      <c r="D685" s="8" t="n">
        <f aca="false">COUNTIF(Dishes!$M:$R,B685)</f>
        <v>3</v>
      </c>
      <c r="E685" s="8" t="n">
        <f aca="false">COUNTIF(Drinks!$N:$S,B685)</f>
        <v>0</v>
      </c>
      <c r="F685" s="8" t="n">
        <f aca="false">D685+E685</f>
        <v>3</v>
      </c>
    </row>
    <row r="686" customFormat="false" ht="15" hidden="false" customHeight="false" outlineLevel="0" collapsed="false">
      <c r="A686" s="8" t="s">
        <v>8955</v>
      </c>
      <c r="B686" s="8" t="s">
        <v>5853</v>
      </c>
      <c r="C686" s="8" t="s">
        <v>8261</v>
      </c>
      <c r="D686" s="8" t="n">
        <f aca="false">COUNTIF(Dishes!$M:$R,B686)</f>
        <v>1</v>
      </c>
      <c r="E686" s="8" t="n">
        <f aca="false">COUNTIF(Drinks!$N:$S,B686)</f>
        <v>0</v>
      </c>
      <c r="F686" s="8" t="n">
        <f aca="false">D686+E686</f>
        <v>1</v>
      </c>
    </row>
    <row r="687" customFormat="false" ht="15" hidden="false" customHeight="false" outlineLevel="0" collapsed="false">
      <c r="A687" s="8" t="s">
        <v>8956</v>
      </c>
      <c r="B687" s="8" t="s">
        <v>2795</v>
      </c>
      <c r="C687" s="8" t="s">
        <v>8276</v>
      </c>
      <c r="D687" s="8" t="n">
        <f aca="false">COUNTIF(Dishes!$M:$R,B687)</f>
        <v>1</v>
      </c>
      <c r="E687" s="8" t="n">
        <f aca="false">COUNTIF(Drinks!$N:$S,B687)</f>
        <v>0</v>
      </c>
      <c r="F687" s="8" t="n">
        <f aca="false">D687+E687</f>
        <v>1</v>
      </c>
    </row>
    <row r="688" customFormat="false" ht="15" hidden="false" customHeight="false" outlineLevel="0" collapsed="false">
      <c r="A688" s="8" t="s">
        <v>8957</v>
      </c>
      <c r="B688" s="8" t="s">
        <v>5688</v>
      </c>
      <c r="C688" s="8" t="s">
        <v>8265</v>
      </c>
      <c r="D688" s="8" t="n">
        <f aca="false">COUNTIF(Dishes!$M:$R,B688)</f>
        <v>1</v>
      </c>
      <c r="E688" s="8" t="n">
        <f aca="false">COUNTIF(Drinks!$N:$S,B688)</f>
        <v>0</v>
      </c>
      <c r="F688" s="8" t="n">
        <f aca="false">D688+E688</f>
        <v>1</v>
      </c>
    </row>
    <row r="689" customFormat="false" ht="15" hidden="false" customHeight="false" outlineLevel="0" collapsed="false">
      <c r="A689" s="8" t="s">
        <v>8958</v>
      </c>
      <c r="B689" s="8" t="s">
        <v>6386</v>
      </c>
      <c r="C689" s="8" t="s">
        <v>8272</v>
      </c>
      <c r="D689" s="8" t="n">
        <f aca="false">COUNTIF(Dishes!$M:$R,B689)</f>
        <v>0</v>
      </c>
      <c r="E689" s="8" t="n">
        <f aca="false">COUNTIF(Drinks!$N:$S,B689)</f>
        <v>1</v>
      </c>
      <c r="F689" s="8" t="n">
        <f aca="false">D689+E689</f>
        <v>1</v>
      </c>
    </row>
    <row r="690" customFormat="false" ht="15" hidden="false" customHeight="false" outlineLevel="0" collapsed="false">
      <c r="A690" s="8" t="s">
        <v>8959</v>
      </c>
      <c r="B690" s="8" t="s">
        <v>751</v>
      </c>
      <c r="C690" s="8" t="s">
        <v>8261</v>
      </c>
      <c r="D690" s="8" t="n">
        <f aca="false">COUNTIF(Dishes!$M:$R,B690)</f>
        <v>3</v>
      </c>
      <c r="E690" s="8" t="n">
        <f aca="false">COUNTIF(Drinks!$N:$S,B690)</f>
        <v>0</v>
      </c>
      <c r="F690" s="8" t="n">
        <f aca="false">D690+E690</f>
        <v>3</v>
      </c>
    </row>
    <row r="691" customFormat="false" ht="15" hidden="false" customHeight="false" outlineLevel="0" collapsed="false">
      <c r="A691" s="8" t="s">
        <v>8960</v>
      </c>
      <c r="B691" s="8" t="s">
        <v>5755</v>
      </c>
      <c r="C691" s="8" t="s">
        <v>8261</v>
      </c>
      <c r="D691" s="8" t="n">
        <f aca="false">COUNTIF(Dishes!$M:$R,B691)</f>
        <v>1</v>
      </c>
      <c r="E691" s="8" t="n">
        <f aca="false">COUNTIF(Drinks!$N:$S,B691)</f>
        <v>0</v>
      </c>
      <c r="F691" s="8" t="n">
        <f aca="false">D691+E691</f>
        <v>1</v>
      </c>
    </row>
    <row r="692" customFormat="false" ht="15" hidden="false" customHeight="false" outlineLevel="0" collapsed="false">
      <c r="A692" s="8" t="s">
        <v>8961</v>
      </c>
      <c r="B692" s="8" t="s">
        <v>3791</v>
      </c>
      <c r="C692" s="8" t="s">
        <v>8261</v>
      </c>
      <c r="D692" s="8" t="n">
        <f aca="false">COUNTIF(Dishes!$M:$R,B692)</f>
        <v>1</v>
      </c>
      <c r="E692" s="8" t="n">
        <f aca="false">COUNTIF(Drinks!$N:$S,B692)</f>
        <v>0</v>
      </c>
      <c r="F692" s="8" t="n">
        <f aca="false">D692+E692</f>
        <v>1</v>
      </c>
    </row>
    <row r="693" customFormat="false" ht="15" hidden="false" customHeight="false" outlineLevel="0" collapsed="false">
      <c r="A693" s="8" t="s">
        <v>8962</v>
      </c>
      <c r="B693" s="8" t="s">
        <v>996</v>
      </c>
      <c r="C693" s="8" t="s">
        <v>8274</v>
      </c>
      <c r="D693" s="8" t="n">
        <f aca="false">COUNTIF(Dishes!$M:$R,B693)</f>
        <v>1</v>
      </c>
      <c r="E693" s="8" t="n">
        <f aca="false">COUNTIF(Drinks!$N:$S,B693)</f>
        <v>0</v>
      </c>
      <c r="F693" s="8" t="n">
        <f aca="false">D693+E693</f>
        <v>1</v>
      </c>
    </row>
    <row r="694" customFormat="false" ht="15" hidden="false" customHeight="false" outlineLevel="0" collapsed="false">
      <c r="A694" s="8" t="s">
        <v>8963</v>
      </c>
      <c r="B694" s="8" t="s">
        <v>3024</v>
      </c>
      <c r="C694" s="8" t="s">
        <v>8257</v>
      </c>
      <c r="D694" s="8" t="n">
        <f aca="false">COUNTIF(Dishes!$M:$R,B694)</f>
        <v>1</v>
      </c>
      <c r="E694" s="8" t="n">
        <f aca="false">COUNTIF(Drinks!$N:$S,B694)</f>
        <v>0</v>
      </c>
      <c r="F694" s="8" t="n">
        <f aca="false">D694+E694</f>
        <v>1</v>
      </c>
    </row>
    <row r="695" customFormat="false" ht="15" hidden="false" customHeight="false" outlineLevel="0" collapsed="false">
      <c r="A695" s="8" t="s">
        <v>8964</v>
      </c>
      <c r="B695" s="8" t="s">
        <v>1687</v>
      </c>
      <c r="C695" s="8" t="s">
        <v>8257</v>
      </c>
      <c r="D695" s="8" t="n">
        <f aca="false">COUNTIF(Dishes!$M:$R,B695)</f>
        <v>1</v>
      </c>
      <c r="E695" s="8" t="n">
        <f aca="false">COUNTIF(Drinks!$N:$S,B695)</f>
        <v>0</v>
      </c>
      <c r="F695" s="8" t="n">
        <f aca="false">D695+E695</f>
        <v>1</v>
      </c>
    </row>
    <row r="696" customFormat="false" ht="15" hidden="false" customHeight="false" outlineLevel="0" collapsed="false">
      <c r="A696" s="8" t="s">
        <v>8965</v>
      </c>
      <c r="B696" s="8" t="s">
        <v>1858</v>
      </c>
      <c r="C696" s="8" t="s">
        <v>8259</v>
      </c>
      <c r="D696" s="8" t="n">
        <f aca="false">COUNTIF(Dishes!$M:$R,B696)</f>
        <v>1</v>
      </c>
      <c r="E696" s="8" t="n">
        <f aca="false">COUNTIF(Drinks!$N:$S,B696)</f>
        <v>0</v>
      </c>
      <c r="F696" s="8" t="n">
        <f aca="false">D696+E696</f>
        <v>1</v>
      </c>
    </row>
    <row r="697" customFormat="false" ht="15" hidden="false" customHeight="false" outlineLevel="0" collapsed="false">
      <c r="A697" s="8" t="s">
        <v>8966</v>
      </c>
      <c r="B697" s="8" t="s">
        <v>1008</v>
      </c>
      <c r="C697" s="8" t="s">
        <v>8276</v>
      </c>
      <c r="D697" s="8" t="n">
        <f aca="false">COUNTIF(Dishes!$M:$R,B697)</f>
        <v>20</v>
      </c>
      <c r="E697" s="8" t="n">
        <f aca="false">COUNTIF(Drinks!$N:$S,B697)</f>
        <v>0</v>
      </c>
      <c r="F697" s="8" t="n">
        <f aca="false">D697+E697</f>
        <v>20</v>
      </c>
    </row>
    <row r="698" customFormat="false" ht="15" hidden="false" customHeight="false" outlineLevel="0" collapsed="false">
      <c r="A698" s="8" t="s">
        <v>8967</v>
      </c>
      <c r="B698" s="8" t="s">
        <v>2686</v>
      </c>
      <c r="C698" s="8" t="s">
        <v>8276</v>
      </c>
      <c r="D698" s="8" t="n">
        <f aca="false">COUNTIF(Dishes!$M:$R,B698)</f>
        <v>4</v>
      </c>
      <c r="E698" s="8" t="n">
        <f aca="false">COUNTIF(Drinks!$N:$S,B698)</f>
        <v>0</v>
      </c>
      <c r="F698" s="8" t="n">
        <f aca="false">D698+E698</f>
        <v>4</v>
      </c>
    </row>
    <row r="699" customFormat="false" ht="15" hidden="false" customHeight="false" outlineLevel="0" collapsed="false">
      <c r="A699" s="8" t="s">
        <v>8968</v>
      </c>
      <c r="B699" s="8" t="s">
        <v>2902</v>
      </c>
      <c r="C699" s="8" t="s">
        <v>8276</v>
      </c>
      <c r="D699" s="8" t="n">
        <f aca="false">COUNTIF(Dishes!$M:$R,B699)</f>
        <v>2</v>
      </c>
      <c r="E699" s="8" t="n">
        <f aca="false">COUNTIF(Drinks!$N:$S,B699)</f>
        <v>0</v>
      </c>
      <c r="F699" s="8" t="n">
        <f aca="false">D699+E699</f>
        <v>2</v>
      </c>
    </row>
    <row r="700" customFormat="false" ht="15" hidden="false" customHeight="false" outlineLevel="0" collapsed="false">
      <c r="A700" s="8" t="s">
        <v>8969</v>
      </c>
      <c r="B700" s="8" t="s">
        <v>2596</v>
      </c>
      <c r="C700" s="8" t="s">
        <v>8276</v>
      </c>
      <c r="D700" s="8" t="n">
        <f aca="false">COUNTIF(Dishes!$M:$R,B700)</f>
        <v>1</v>
      </c>
      <c r="E700" s="8" t="n">
        <f aca="false">COUNTIF(Drinks!$N:$S,B700)</f>
        <v>0</v>
      </c>
      <c r="F700" s="8" t="n">
        <f aca="false">D700+E700</f>
        <v>1</v>
      </c>
    </row>
    <row r="701" customFormat="false" ht="15" hidden="false" customHeight="false" outlineLevel="0" collapsed="false">
      <c r="A701" s="8" t="s">
        <v>8970</v>
      </c>
      <c r="B701" s="8" t="s">
        <v>3482</v>
      </c>
      <c r="C701" s="8" t="s">
        <v>8276</v>
      </c>
      <c r="D701" s="8" t="n">
        <f aca="false">COUNTIF(Dishes!$M:$R,B701)</f>
        <v>2</v>
      </c>
      <c r="E701" s="8" t="n">
        <f aca="false">COUNTIF(Drinks!$N:$S,B701)</f>
        <v>0</v>
      </c>
      <c r="F701" s="8" t="n">
        <f aca="false">D701+E701</f>
        <v>2</v>
      </c>
    </row>
    <row r="702" customFormat="false" ht="15" hidden="false" customHeight="false" outlineLevel="0" collapsed="false">
      <c r="A702" s="8" t="s">
        <v>8971</v>
      </c>
      <c r="B702" s="8" t="s">
        <v>3644</v>
      </c>
      <c r="C702" s="8" t="s">
        <v>8276</v>
      </c>
      <c r="D702" s="8" t="n">
        <f aca="false">COUNTIF(Dishes!$M:$R,B702)</f>
        <v>1</v>
      </c>
      <c r="E702" s="8" t="n">
        <f aca="false">COUNTIF(Drinks!$N:$S,B702)</f>
        <v>0</v>
      </c>
      <c r="F702" s="8" t="n">
        <f aca="false">D702+E702</f>
        <v>1</v>
      </c>
    </row>
    <row r="703" customFormat="false" ht="15" hidden="false" customHeight="false" outlineLevel="0" collapsed="false">
      <c r="A703" s="8" t="s">
        <v>8972</v>
      </c>
      <c r="B703" s="8" t="s">
        <v>4388</v>
      </c>
      <c r="C703" s="8" t="s">
        <v>8276</v>
      </c>
      <c r="D703" s="8" t="n">
        <f aca="false">COUNTIF(Dishes!$M:$R,B703)</f>
        <v>1</v>
      </c>
      <c r="E703" s="8" t="n">
        <f aca="false">COUNTIF(Drinks!$N:$S,B703)</f>
        <v>0</v>
      </c>
      <c r="F703" s="8" t="n">
        <f aca="false">D703+E703</f>
        <v>1</v>
      </c>
    </row>
    <row r="704" customFormat="false" ht="15" hidden="false" customHeight="false" outlineLevel="0" collapsed="false">
      <c r="A704" s="8" t="s">
        <v>8973</v>
      </c>
      <c r="B704" s="8" t="s">
        <v>3635</v>
      </c>
      <c r="C704" s="8" t="s">
        <v>8276</v>
      </c>
      <c r="D704" s="8" t="n">
        <f aca="false">COUNTIF(Dishes!$M:$R,B704)</f>
        <v>2</v>
      </c>
      <c r="E704" s="8" t="n">
        <f aca="false">COUNTIF(Drinks!$N:$S,B704)</f>
        <v>0</v>
      </c>
      <c r="F704" s="8" t="n">
        <f aca="false">D704+E704</f>
        <v>2</v>
      </c>
    </row>
    <row r="705" customFormat="false" ht="15" hidden="false" customHeight="false" outlineLevel="0" collapsed="false">
      <c r="A705" s="8" t="s">
        <v>8974</v>
      </c>
      <c r="B705" s="8" t="s">
        <v>4615</v>
      </c>
      <c r="C705" s="8" t="s">
        <v>8276</v>
      </c>
      <c r="D705" s="8" t="n">
        <f aca="false">COUNTIF(Dishes!$M:$R,B705)</f>
        <v>1</v>
      </c>
      <c r="E705" s="8" t="n">
        <f aca="false">COUNTIF(Drinks!$N:$S,B705)</f>
        <v>0</v>
      </c>
      <c r="F705" s="8" t="n">
        <f aca="false">D705+E705</f>
        <v>1</v>
      </c>
    </row>
    <row r="706" customFormat="false" ht="15" hidden="false" customHeight="false" outlineLevel="0" collapsed="false">
      <c r="A706" s="8" t="s">
        <v>8975</v>
      </c>
      <c r="B706" s="8" t="s">
        <v>5099</v>
      </c>
      <c r="C706" s="8" t="s">
        <v>8276</v>
      </c>
      <c r="D706" s="8" t="n">
        <f aca="false">COUNTIF(Dishes!$M:$R,B706)</f>
        <v>1</v>
      </c>
      <c r="E706" s="8" t="n">
        <f aca="false">COUNTIF(Drinks!$N:$S,B706)</f>
        <v>0</v>
      </c>
      <c r="F706" s="8" t="n">
        <f aca="false">D706+E706</f>
        <v>1</v>
      </c>
    </row>
    <row r="707" customFormat="false" ht="15" hidden="false" customHeight="false" outlineLevel="0" collapsed="false">
      <c r="A707" s="8" t="s">
        <v>8976</v>
      </c>
      <c r="B707" s="8" t="s">
        <v>251</v>
      </c>
      <c r="C707" s="8" t="s">
        <v>8287</v>
      </c>
      <c r="D707" s="8" t="n">
        <f aca="false">COUNTIF(Dishes!$M:$R,B707)</f>
        <v>22</v>
      </c>
      <c r="E707" s="8" t="n">
        <f aca="false">COUNTIF(Drinks!$N:$S,B707)</f>
        <v>1</v>
      </c>
      <c r="F707" s="8" t="n">
        <f aca="false">D707+E707</f>
        <v>23</v>
      </c>
    </row>
    <row r="708" customFormat="false" ht="15" hidden="false" customHeight="false" outlineLevel="0" collapsed="false">
      <c r="A708" s="8" t="s">
        <v>8977</v>
      </c>
      <c r="B708" s="8" t="s">
        <v>542</v>
      </c>
      <c r="C708" s="8" t="s">
        <v>8257</v>
      </c>
      <c r="D708" s="8" t="n">
        <f aca="false">COUNTIF(Dishes!$M:$R,B708)</f>
        <v>1</v>
      </c>
      <c r="E708" s="8" t="n">
        <f aca="false">COUNTIF(Drinks!$N:$S,B708)</f>
        <v>0</v>
      </c>
      <c r="F708" s="8" t="n">
        <f aca="false">D708+E708</f>
        <v>1</v>
      </c>
    </row>
    <row r="709" customFormat="false" ht="15" hidden="false" customHeight="false" outlineLevel="0" collapsed="false">
      <c r="A709" s="8" t="s">
        <v>8978</v>
      </c>
      <c r="B709" s="8" t="s">
        <v>3931</v>
      </c>
      <c r="C709" s="8" t="s">
        <v>8272</v>
      </c>
      <c r="D709" s="8" t="n">
        <f aca="false">COUNTIF(Dishes!$M:$R,B709)</f>
        <v>1</v>
      </c>
      <c r="E709" s="8" t="n">
        <f aca="false">COUNTIF(Drinks!$N:$S,B709)</f>
        <v>0</v>
      </c>
      <c r="F709" s="8" t="n">
        <f aca="false">D709+E709</f>
        <v>1</v>
      </c>
    </row>
    <row r="710" customFormat="false" ht="15" hidden="false" customHeight="false" outlineLevel="0" collapsed="false">
      <c r="A710" s="8" t="s">
        <v>8979</v>
      </c>
      <c r="B710" s="8" t="s">
        <v>802</v>
      </c>
      <c r="C710" s="8" t="s">
        <v>8287</v>
      </c>
      <c r="D710" s="8" t="n">
        <f aca="false">COUNTIF(Dishes!$M:$R,B710)</f>
        <v>1</v>
      </c>
      <c r="E710" s="8" t="n">
        <f aca="false">COUNTIF(Drinks!$N:$S,B710)</f>
        <v>0</v>
      </c>
      <c r="F710" s="8" t="n">
        <f aca="false">D710+E710</f>
        <v>1</v>
      </c>
    </row>
    <row r="711" customFormat="false" ht="15" hidden="false" customHeight="false" outlineLevel="0" collapsed="false">
      <c r="A711" s="8" t="s">
        <v>8980</v>
      </c>
      <c r="B711" s="8" t="s">
        <v>1059</v>
      </c>
      <c r="C711" s="8" t="s">
        <v>8287</v>
      </c>
      <c r="D711" s="8" t="n">
        <f aca="false">COUNTIF(Dishes!$M:$R,B711)</f>
        <v>2</v>
      </c>
      <c r="E711" s="8" t="n">
        <f aca="false">COUNTIF(Drinks!$N:$S,B711)</f>
        <v>0</v>
      </c>
      <c r="F711" s="8" t="n">
        <f aca="false">D711+E711</f>
        <v>2</v>
      </c>
    </row>
    <row r="712" customFormat="false" ht="15" hidden="false" customHeight="false" outlineLevel="0" collapsed="false">
      <c r="A712" s="8" t="s">
        <v>8981</v>
      </c>
      <c r="B712" s="8" t="s">
        <v>413</v>
      </c>
      <c r="C712" s="8" t="s">
        <v>8287</v>
      </c>
      <c r="D712" s="8" t="n">
        <f aca="false">COUNTIF(Dishes!$M:$R,B712)</f>
        <v>2</v>
      </c>
      <c r="E712" s="8" t="n">
        <f aca="false">COUNTIF(Drinks!$N:$S,B712)</f>
        <v>0</v>
      </c>
      <c r="F712" s="8" t="n">
        <f aca="false">D712+E712</f>
        <v>2</v>
      </c>
    </row>
    <row r="713" customFormat="false" ht="15" hidden="false" customHeight="false" outlineLevel="0" collapsed="false">
      <c r="A713" s="8" t="s">
        <v>8982</v>
      </c>
      <c r="B713" s="8" t="s">
        <v>4585</v>
      </c>
      <c r="C713" s="8" t="s">
        <v>8287</v>
      </c>
      <c r="D713" s="8" t="n">
        <f aca="false">COUNTIF(Dishes!$M:$R,B713)</f>
        <v>2</v>
      </c>
      <c r="E713" s="8" t="n">
        <f aca="false">COUNTIF(Drinks!$N:$S,B713)</f>
        <v>0</v>
      </c>
      <c r="F713" s="8" t="n">
        <f aca="false">D713+E713</f>
        <v>2</v>
      </c>
    </row>
    <row r="714" customFormat="false" ht="15" hidden="false" customHeight="false" outlineLevel="0" collapsed="false">
      <c r="A714" s="8" t="s">
        <v>8983</v>
      </c>
      <c r="B714" s="8" t="s">
        <v>3043</v>
      </c>
      <c r="C714" s="8" t="s">
        <v>8272</v>
      </c>
      <c r="D714" s="8" t="n">
        <f aca="false">COUNTIF(Dishes!$M:$R,B714)</f>
        <v>2</v>
      </c>
      <c r="E714" s="8" t="n">
        <f aca="false">COUNTIF(Drinks!$N:$S,B714)</f>
        <v>0</v>
      </c>
      <c r="F714" s="8" t="n">
        <f aca="false">D714+E714</f>
        <v>2</v>
      </c>
    </row>
    <row r="715" customFormat="false" ht="15" hidden="false" customHeight="false" outlineLevel="0" collapsed="false">
      <c r="A715" s="8" t="s">
        <v>8984</v>
      </c>
      <c r="B715" s="8" t="s">
        <v>1841</v>
      </c>
      <c r="C715" s="8" t="s">
        <v>8276</v>
      </c>
      <c r="D715" s="8" t="n">
        <f aca="false">COUNTIF(Dishes!$M:$R,B715)</f>
        <v>1</v>
      </c>
      <c r="E715" s="8" t="n">
        <f aca="false">COUNTIF(Drinks!$N:$S,B715)</f>
        <v>0</v>
      </c>
      <c r="F715" s="8" t="n">
        <f aca="false">D715+E715</f>
        <v>1</v>
      </c>
    </row>
    <row r="716" customFormat="false" ht="15" hidden="false" customHeight="false" outlineLevel="0" collapsed="false">
      <c r="A716" s="8" t="s">
        <v>8985</v>
      </c>
      <c r="B716" s="8" t="s">
        <v>1618</v>
      </c>
      <c r="C716" s="8" t="s">
        <v>8274</v>
      </c>
      <c r="D716" s="8" t="n">
        <f aca="false">COUNTIF(Dishes!$M:$R,B716)</f>
        <v>6</v>
      </c>
      <c r="E716" s="8" t="n">
        <f aca="false">COUNTIF(Drinks!$N:$S,B716)</f>
        <v>0</v>
      </c>
      <c r="F716" s="8" t="n">
        <f aca="false">D716+E716</f>
        <v>6</v>
      </c>
    </row>
    <row r="717" customFormat="false" ht="15" hidden="false" customHeight="false" outlineLevel="0" collapsed="false">
      <c r="A717" s="8" t="s">
        <v>8986</v>
      </c>
      <c r="B717" s="8" t="s">
        <v>5784</v>
      </c>
      <c r="C717" s="8" t="s">
        <v>8261</v>
      </c>
      <c r="D717" s="8" t="n">
        <f aca="false">COUNTIF(Dishes!$M:$R,B717)</f>
        <v>1</v>
      </c>
      <c r="E717" s="8" t="n">
        <f aca="false">COUNTIF(Drinks!$N:$S,B717)</f>
        <v>0</v>
      </c>
      <c r="F717" s="8" t="n">
        <f aca="false">D717+E717</f>
        <v>1</v>
      </c>
    </row>
    <row r="718" customFormat="false" ht="15" hidden="false" customHeight="false" outlineLevel="0" collapsed="false">
      <c r="A718" s="8" t="s">
        <v>8987</v>
      </c>
      <c r="B718" s="8" t="s">
        <v>2651</v>
      </c>
      <c r="C718" s="8" t="s">
        <v>8257</v>
      </c>
      <c r="D718" s="8" t="n">
        <f aca="false">COUNTIF(Dishes!$M:$R,B718)</f>
        <v>1</v>
      </c>
      <c r="E718" s="8" t="n">
        <f aca="false">COUNTIF(Drinks!$N:$S,B718)</f>
        <v>0</v>
      </c>
      <c r="F718" s="8" t="n">
        <f aca="false">D718+E718</f>
        <v>1</v>
      </c>
    </row>
    <row r="719" customFormat="false" ht="15" hidden="false" customHeight="false" outlineLevel="0" collapsed="false">
      <c r="A719" s="8" t="s">
        <v>8988</v>
      </c>
      <c r="B719" s="8" t="s">
        <v>5438</v>
      </c>
      <c r="C719" s="8" t="s">
        <v>8272</v>
      </c>
      <c r="D719" s="8" t="n">
        <f aca="false">COUNTIF(Dishes!$M:$R,B719)</f>
        <v>1</v>
      </c>
      <c r="E719" s="8" t="n">
        <f aca="false">COUNTIF(Drinks!$N:$S,B719)</f>
        <v>0</v>
      </c>
      <c r="F719" s="8" t="n">
        <f aca="false">D719+E719</f>
        <v>1</v>
      </c>
    </row>
    <row r="720" customFormat="false" ht="15" hidden="false" customHeight="false" outlineLevel="0" collapsed="false">
      <c r="A720" s="8" t="s">
        <v>8989</v>
      </c>
      <c r="B720" s="8" t="s">
        <v>4492</v>
      </c>
      <c r="C720" s="8" t="s">
        <v>8276</v>
      </c>
      <c r="D720" s="8" t="n">
        <f aca="false">COUNTIF(Dishes!$M:$R,B720)</f>
        <v>1</v>
      </c>
      <c r="E720" s="8" t="n">
        <f aca="false">COUNTIF(Drinks!$N:$S,B720)</f>
        <v>0</v>
      </c>
      <c r="F720" s="8" t="n">
        <f aca="false">D720+E720</f>
        <v>1</v>
      </c>
    </row>
    <row r="721" customFormat="false" ht="15" hidden="false" customHeight="false" outlineLevel="0" collapsed="false">
      <c r="A721" s="8" t="s">
        <v>8990</v>
      </c>
      <c r="B721" s="8" t="s">
        <v>6114</v>
      </c>
      <c r="C721" s="8" t="s">
        <v>8268</v>
      </c>
      <c r="D721" s="8" t="n">
        <f aca="false">COUNTIF(Dishes!$M:$R,B721)</f>
        <v>0</v>
      </c>
      <c r="E721" s="8" t="n">
        <f aca="false">COUNTIF(Drinks!$N:$S,B721)</f>
        <v>2</v>
      </c>
      <c r="F721" s="8" t="n">
        <f aca="false">D721+E721</f>
        <v>2</v>
      </c>
    </row>
    <row r="722" customFormat="false" ht="15" hidden="false" customHeight="false" outlineLevel="0" collapsed="false">
      <c r="A722" s="8" t="s">
        <v>8991</v>
      </c>
      <c r="B722" s="8" t="s">
        <v>6357</v>
      </c>
      <c r="C722" s="8" t="s">
        <v>8268</v>
      </c>
      <c r="D722" s="8" t="n">
        <f aca="false">COUNTIF(Dishes!$M:$R,B722)</f>
        <v>0</v>
      </c>
      <c r="E722" s="8" t="n">
        <f aca="false">COUNTIF(Drinks!$N:$S,B722)</f>
        <v>1</v>
      </c>
      <c r="F722" s="8" t="n">
        <f aca="false">D722+E722</f>
        <v>1</v>
      </c>
    </row>
    <row r="723" customFormat="false" ht="15" hidden="false" customHeight="false" outlineLevel="0" collapsed="false">
      <c r="A723" s="8" t="s">
        <v>8992</v>
      </c>
      <c r="B723" s="8" t="s">
        <v>5115</v>
      </c>
      <c r="C723" s="8" t="s">
        <v>8265</v>
      </c>
      <c r="D723" s="8" t="n">
        <f aca="false">COUNTIF(Dishes!$M:$R,B723)</f>
        <v>1</v>
      </c>
      <c r="E723" s="8" t="n">
        <f aca="false">COUNTIF(Drinks!$N:$S,B723)</f>
        <v>0</v>
      </c>
      <c r="F723" s="8" t="n">
        <f aca="false">D723+E723</f>
        <v>1</v>
      </c>
    </row>
    <row r="724" customFormat="false" ht="15" hidden="false" customHeight="false" outlineLevel="0" collapsed="false">
      <c r="A724" s="8" t="s">
        <v>8993</v>
      </c>
      <c r="B724" s="8" t="s">
        <v>4804</v>
      </c>
      <c r="C724" s="8" t="s">
        <v>8261</v>
      </c>
      <c r="D724" s="8" t="n">
        <f aca="false">COUNTIF(Dishes!$M:$R,B724)</f>
        <v>1</v>
      </c>
      <c r="E724" s="8" t="n">
        <f aca="false">COUNTIF(Drinks!$N:$S,B724)</f>
        <v>0</v>
      </c>
      <c r="F724" s="8" t="n">
        <f aca="false">D724+E724</f>
        <v>1</v>
      </c>
    </row>
    <row r="725" customFormat="false" ht="15" hidden="false" customHeight="false" outlineLevel="0" collapsed="false">
      <c r="A725" s="8" t="s">
        <v>8994</v>
      </c>
      <c r="B725" s="8" t="s">
        <v>4404</v>
      </c>
      <c r="C725" s="8" t="s">
        <v>8272</v>
      </c>
      <c r="D725" s="8" t="n">
        <f aca="false">COUNTIF(Dishes!$M:$R,B725)</f>
        <v>2</v>
      </c>
      <c r="E725" s="8" t="n">
        <f aca="false">COUNTIF(Drinks!$N:$S,B725)</f>
        <v>0</v>
      </c>
      <c r="F725" s="8" t="n">
        <f aca="false">D725+E725</f>
        <v>2</v>
      </c>
    </row>
    <row r="726" customFormat="false" ht="15" hidden="false" customHeight="false" outlineLevel="0" collapsed="false">
      <c r="A726" s="8" t="s">
        <v>8995</v>
      </c>
      <c r="B726" s="8" t="s">
        <v>960</v>
      </c>
      <c r="C726" s="8" t="s">
        <v>8272</v>
      </c>
      <c r="D726" s="8" t="n">
        <f aca="false">COUNTIF(Dishes!$M:$R,B726)</f>
        <v>2</v>
      </c>
      <c r="E726" s="8" t="n">
        <f aca="false">COUNTIF(Drinks!$N:$S,B726)</f>
        <v>0</v>
      </c>
      <c r="F726" s="8" t="n">
        <f aca="false">D726+E726</f>
        <v>2</v>
      </c>
    </row>
    <row r="727" customFormat="false" ht="15" hidden="false" customHeight="false" outlineLevel="0" collapsed="false">
      <c r="A727" s="8" t="s">
        <v>8996</v>
      </c>
      <c r="B727" s="8" t="s">
        <v>1740</v>
      </c>
      <c r="C727" s="8" t="s">
        <v>8287</v>
      </c>
      <c r="D727" s="8" t="n">
        <f aca="false">COUNTIF(Dishes!$M:$R,B727)</f>
        <v>1</v>
      </c>
      <c r="E727" s="8" t="n">
        <f aca="false">COUNTIF(Drinks!$N:$S,B727)</f>
        <v>0</v>
      </c>
      <c r="F727" s="8" t="n">
        <f aca="false">D727+E727</f>
        <v>1</v>
      </c>
    </row>
    <row r="728" customFormat="false" ht="15" hidden="false" customHeight="false" outlineLevel="0" collapsed="false">
      <c r="A728" s="8" t="s">
        <v>8997</v>
      </c>
      <c r="B728" s="8" t="s">
        <v>6986</v>
      </c>
      <c r="C728" s="8" t="s">
        <v>8287</v>
      </c>
      <c r="D728" s="8" t="n">
        <f aca="false">COUNTIF(Dishes!$M:$R,B728)</f>
        <v>0</v>
      </c>
      <c r="E728" s="8" t="n">
        <f aca="false">COUNTIF(Drinks!$N:$S,B728)</f>
        <v>1</v>
      </c>
      <c r="F728" s="8" t="n">
        <f aca="false">D728+E728</f>
        <v>1</v>
      </c>
    </row>
    <row r="729" customFormat="false" ht="15" hidden="false" customHeight="false" outlineLevel="0" collapsed="false">
      <c r="A729" s="8" t="s">
        <v>8998</v>
      </c>
      <c r="B729" s="8" t="s">
        <v>3445</v>
      </c>
      <c r="C729" s="8" t="s">
        <v>8276</v>
      </c>
      <c r="D729" s="8" t="n">
        <f aca="false">COUNTIF(Dishes!$M:$R,B729)</f>
        <v>1</v>
      </c>
      <c r="E729" s="8" t="n">
        <f aca="false">COUNTIF(Drinks!$N:$S,B729)</f>
        <v>0</v>
      </c>
      <c r="F729" s="8" t="n">
        <f aca="false">D729+E729</f>
        <v>1</v>
      </c>
    </row>
    <row r="730" customFormat="false" ht="15" hidden="false" customHeight="false" outlineLevel="0" collapsed="false">
      <c r="A730" s="8" t="s">
        <v>8999</v>
      </c>
      <c r="B730" s="8" t="s">
        <v>4326</v>
      </c>
      <c r="C730" s="8" t="s">
        <v>8276</v>
      </c>
      <c r="D730" s="8" t="n">
        <f aca="false">COUNTIF(Dishes!$M:$R,B730)</f>
        <v>1</v>
      </c>
      <c r="E730" s="8" t="n">
        <f aca="false">COUNTIF(Drinks!$N:$S,B730)</f>
        <v>0</v>
      </c>
      <c r="F730" s="8" t="n">
        <f aca="false">D730+E730</f>
        <v>1</v>
      </c>
    </row>
    <row r="731" customFormat="false" ht="15" hidden="false" customHeight="false" outlineLevel="0" collapsed="false">
      <c r="A731" s="8" t="s">
        <v>9000</v>
      </c>
      <c r="B731" s="8" t="s">
        <v>658</v>
      </c>
      <c r="C731" s="8" t="s">
        <v>8265</v>
      </c>
      <c r="D731" s="8" t="n">
        <f aca="false">COUNTIF(Dishes!$M:$R,B731)</f>
        <v>1</v>
      </c>
      <c r="E731" s="8" t="n">
        <f aca="false">COUNTIF(Drinks!$N:$S,B731)</f>
        <v>0</v>
      </c>
      <c r="F731" s="8" t="n">
        <f aca="false">D731+E731</f>
        <v>1</v>
      </c>
    </row>
    <row r="732" customFormat="false" ht="15" hidden="false" customHeight="false" outlineLevel="0" collapsed="false">
      <c r="A732" s="8" t="s">
        <v>9001</v>
      </c>
      <c r="B732" s="8" t="s">
        <v>1668</v>
      </c>
      <c r="C732" s="8" t="s">
        <v>8259</v>
      </c>
      <c r="D732" s="8" t="n">
        <f aca="false">COUNTIF(Dishes!$M:$R,B732)</f>
        <v>1</v>
      </c>
      <c r="E732" s="8" t="n">
        <f aca="false">COUNTIF(Drinks!$N:$S,B732)</f>
        <v>0</v>
      </c>
      <c r="F732" s="8" t="n">
        <f aca="false">D732+E732</f>
        <v>1</v>
      </c>
    </row>
    <row r="733" customFormat="false" ht="15" hidden="false" customHeight="false" outlineLevel="0" collapsed="false">
      <c r="A733" s="8" t="s">
        <v>9002</v>
      </c>
      <c r="B733" s="8" t="s">
        <v>2672</v>
      </c>
      <c r="C733" s="8" t="s">
        <v>8287</v>
      </c>
      <c r="D733" s="8" t="n">
        <f aca="false">COUNTIF(Dishes!$M:$R,B733)</f>
        <v>4</v>
      </c>
      <c r="E733" s="8" t="n">
        <f aca="false">COUNTIF(Drinks!$N:$S,B733)</f>
        <v>0</v>
      </c>
      <c r="F733" s="8" t="n">
        <f aca="false">D733+E733</f>
        <v>4</v>
      </c>
    </row>
    <row r="734" customFormat="false" ht="15" hidden="false" customHeight="false" outlineLevel="0" collapsed="false">
      <c r="A734" s="8" t="s">
        <v>9003</v>
      </c>
      <c r="B734" s="8" t="s">
        <v>3851</v>
      </c>
      <c r="C734" s="8" t="s">
        <v>8276</v>
      </c>
      <c r="D734" s="8" t="n">
        <f aca="false">COUNTIF(Dishes!$M:$R,B734)</f>
        <v>2</v>
      </c>
      <c r="E734" s="8" t="n">
        <f aca="false">COUNTIF(Drinks!$N:$S,B734)</f>
        <v>0</v>
      </c>
      <c r="F734" s="8" t="n">
        <f aca="false">D734+E734</f>
        <v>2</v>
      </c>
    </row>
    <row r="735" customFormat="false" ht="15" hidden="false" customHeight="false" outlineLevel="0" collapsed="false">
      <c r="A735" s="8" t="s">
        <v>9004</v>
      </c>
      <c r="B735" s="8" t="s">
        <v>366</v>
      </c>
      <c r="C735" s="8" t="s">
        <v>8261</v>
      </c>
      <c r="D735" s="8" t="n">
        <f aca="false">COUNTIF(Dishes!$M:$R,B735)</f>
        <v>7</v>
      </c>
      <c r="E735" s="8" t="n">
        <f aca="false">COUNTIF(Drinks!$N:$S,B735)</f>
        <v>0</v>
      </c>
      <c r="F735" s="8" t="n">
        <f aca="false">D735+E735</f>
        <v>7</v>
      </c>
    </row>
    <row r="736" customFormat="false" ht="15" hidden="false" customHeight="false" outlineLevel="0" collapsed="false">
      <c r="A736" s="8" t="s">
        <v>9005</v>
      </c>
      <c r="B736" s="8" t="s">
        <v>1822</v>
      </c>
      <c r="C736" s="8" t="s">
        <v>8259</v>
      </c>
      <c r="D736" s="8" t="n">
        <f aca="false">COUNTIF(Dishes!$M:$R,B736)</f>
        <v>1</v>
      </c>
      <c r="E736" s="8" t="n">
        <f aca="false">COUNTIF(Drinks!$N:$S,B736)</f>
        <v>0</v>
      </c>
      <c r="F736" s="8" t="n">
        <f aca="false">D736+E736</f>
        <v>1</v>
      </c>
    </row>
    <row r="737" customFormat="false" ht="15" hidden="false" customHeight="false" outlineLevel="0" collapsed="false">
      <c r="A737" s="8" t="s">
        <v>9006</v>
      </c>
      <c r="B737" s="8" t="s">
        <v>3035</v>
      </c>
      <c r="C737" s="8" t="s">
        <v>8265</v>
      </c>
      <c r="D737" s="8" t="n">
        <f aca="false">COUNTIF(Dishes!$M:$R,B737)</f>
        <v>1</v>
      </c>
      <c r="E737" s="8" t="n">
        <f aca="false">COUNTIF(Drinks!$N:$S,B737)</f>
        <v>0</v>
      </c>
      <c r="F737" s="8" t="n">
        <f aca="false">D737+E737</f>
        <v>1</v>
      </c>
    </row>
    <row r="738" customFormat="false" ht="15" hidden="false" customHeight="false" outlineLevel="0" collapsed="false">
      <c r="A738" s="8" t="s">
        <v>9007</v>
      </c>
      <c r="B738" s="8" t="s">
        <v>2863</v>
      </c>
      <c r="C738" s="8" t="s">
        <v>8274</v>
      </c>
      <c r="D738" s="8" t="n">
        <f aca="false">COUNTIF(Dishes!$M:$R,B738)</f>
        <v>2</v>
      </c>
      <c r="E738" s="8" t="n">
        <f aca="false">COUNTIF(Drinks!$N:$S,B738)</f>
        <v>0</v>
      </c>
      <c r="F738" s="8" t="n">
        <f aca="false">D738+E738</f>
        <v>2</v>
      </c>
    </row>
    <row r="739" customFormat="false" ht="15" hidden="false" customHeight="false" outlineLevel="0" collapsed="false">
      <c r="A739" s="8" t="s">
        <v>9008</v>
      </c>
      <c r="B739" s="8" t="s">
        <v>2445</v>
      </c>
      <c r="C739" s="8" t="s">
        <v>8261</v>
      </c>
      <c r="D739" s="8" t="n">
        <f aca="false">COUNTIF(Dishes!$M:$R,B739)</f>
        <v>1</v>
      </c>
      <c r="E739" s="8" t="n">
        <f aca="false">COUNTIF(Drinks!$N:$S,B739)</f>
        <v>1</v>
      </c>
      <c r="F739" s="8" t="n">
        <f aca="false">D739+E739</f>
        <v>2</v>
      </c>
    </row>
    <row r="740" customFormat="false" ht="15" hidden="false" customHeight="false" outlineLevel="0" collapsed="false">
      <c r="A740" s="8" t="s">
        <v>9009</v>
      </c>
      <c r="B740" s="8" t="s">
        <v>497</v>
      </c>
      <c r="C740" s="8" t="s">
        <v>8287</v>
      </c>
      <c r="D740" s="8" t="n">
        <f aca="false">COUNTIF(Dishes!$M:$R,B740)</f>
        <v>2</v>
      </c>
      <c r="E740" s="8" t="n">
        <f aca="false">COUNTIF(Drinks!$N:$S,B740)</f>
        <v>0</v>
      </c>
      <c r="F740" s="8" t="n">
        <f aca="false">D740+E740</f>
        <v>2</v>
      </c>
    </row>
    <row r="741" customFormat="false" ht="15" hidden="false" customHeight="false" outlineLevel="0" collapsed="false">
      <c r="A741" s="8" t="s">
        <v>9010</v>
      </c>
      <c r="B741" s="8" t="s">
        <v>5951</v>
      </c>
      <c r="C741" s="8" t="s">
        <v>8274</v>
      </c>
      <c r="D741" s="8" t="n">
        <f aca="false">COUNTIF(Dishes!$M:$R,B741)</f>
        <v>1</v>
      </c>
      <c r="E741" s="8" t="n">
        <f aca="false">COUNTIF(Drinks!$N:$S,B741)</f>
        <v>0</v>
      </c>
      <c r="F741" s="8" t="n">
        <f aca="false">D741+E741</f>
        <v>1</v>
      </c>
    </row>
    <row r="742" customFormat="false" ht="15" hidden="false" customHeight="false" outlineLevel="0" collapsed="false">
      <c r="A742" s="8" t="s">
        <v>9011</v>
      </c>
      <c r="B742" s="8" t="s">
        <v>3082</v>
      </c>
      <c r="C742" s="8" t="s">
        <v>8298</v>
      </c>
      <c r="D742" s="8" t="n">
        <f aca="false">COUNTIF(Dishes!$M:$R,B742)</f>
        <v>3</v>
      </c>
      <c r="E742" s="8" t="n">
        <f aca="false">COUNTIF(Drinks!$N:$S,B742)</f>
        <v>0</v>
      </c>
      <c r="F742" s="8" t="n">
        <f aca="false">D742+E742</f>
        <v>3</v>
      </c>
    </row>
    <row r="743" customFormat="false" ht="15" hidden="false" customHeight="false" outlineLevel="0" collapsed="false">
      <c r="A743" s="8" t="s">
        <v>9012</v>
      </c>
      <c r="B743" s="8" t="s">
        <v>3293</v>
      </c>
      <c r="C743" s="8" t="s">
        <v>8298</v>
      </c>
      <c r="D743" s="8" t="n">
        <f aca="false">COUNTIF(Dishes!$M:$R,B743)</f>
        <v>2</v>
      </c>
      <c r="E743" s="8" t="n">
        <f aca="false">COUNTIF(Drinks!$N:$S,B743)</f>
        <v>0</v>
      </c>
      <c r="F743" s="8" t="n">
        <f aca="false">D743+E743</f>
        <v>2</v>
      </c>
    </row>
    <row r="744" customFormat="false" ht="15" hidden="false" customHeight="false" outlineLevel="0" collapsed="false">
      <c r="A744" s="8" t="s">
        <v>9013</v>
      </c>
      <c r="B744" s="8" t="s">
        <v>4636</v>
      </c>
      <c r="C744" s="8" t="s">
        <v>8287</v>
      </c>
      <c r="D744" s="8" t="n">
        <f aca="false">COUNTIF(Dishes!$M:$R,B744)</f>
        <v>1</v>
      </c>
      <c r="E744" s="8" t="n">
        <f aca="false">COUNTIF(Drinks!$N:$S,B744)</f>
        <v>0</v>
      </c>
      <c r="F744" s="8" t="n">
        <f aca="false">D744+E744</f>
        <v>1</v>
      </c>
    </row>
    <row r="745" customFormat="false" ht="15" hidden="false" customHeight="false" outlineLevel="0" collapsed="false">
      <c r="A745" s="8" t="s">
        <v>9014</v>
      </c>
      <c r="B745" s="8" t="s">
        <v>5299</v>
      </c>
      <c r="C745" s="8" t="s">
        <v>8257</v>
      </c>
      <c r="D745" s="8" t="n">
        <f aca="false">COUNTIF(Dishes!$M:$R,B745)</f>
        <v>1</v>
      </c>
      <c r="E745" s="8" t="n">
        <f aca="false">COUNTIF(Drinks!$N:$S,B745)</f>
        <v>0</v>
      </c>
      <c r="F745" s="8" t="n">
        <f aca="false">D745+E745</f>
        <v>1</v>
      </c>
    </row>
    <row r="746" customFormat="false" ht="15" hidden="false" customHeight="false" outlineLevel="0" collapsed="false">
      <c r="A746" s="8" t="s">
        <v>9015</v>
      </c>
      <c r="B746" s="8" t="s">
        <v>3337</v>
      </c>
      <c r="C746" s="8" t="s">
        <v>8259</v>
      </c>
      <c r="D746" s="8" t="n">
        <f aca="false">COUNTIF(Dishes!$M:$R,B746)</f>
        <v>1</v>
      </c>
      <c r="E746" s="8" t="n">
        <f aca="false">COUNTIF(Drinks!$N:$S,B746)</f>
        <v>0</v>
      </c>
      <c r="F746" s="8" t="n">
        <f aca="false">D746+E746</f>
        <v>1</v>
      </c>
    </row>
    <row r="747" customFormat="false" ht="15" hidden="false" customHeight="false" outlineLevel="0" collapsed="false">
      <c r="A747" s="8" t="s">
        <v>9016</v>
      </c>
      <c r="B747" s="8" t="s">
        <v>1383</v>
      </c>
      <c r="C747" s="8" t="s">
        <v>8257</v>
      </c>
      <c r="D747" s="8" t="n">
        <f aca="false">COUNTIF(Dishes!$M:$R,B747)</f>
        <v>1</v>
      </c>
      <c r="E747" s="8" t="n">
        <f aca="false">COUNTIF(Drinks!$N:$S,B747)</f>
        <v>0</v>
      </c>
      <c r="F747" s="8" t="n">
        <f aca="false">D747+E747</f>
        <v>1</v>
      </c>
    </row>
    <row r="748" customFormat="false" ht="15" hidden="false" customHeight="false" outlineLevel="0" collapsed="false">
      <c r="A748" s="8" t="s">
        <v>9017</v>
      </c>
      <c r="B748" s="8" t="s">
        <v>2604</v>
      </c>
      <c r="C748" s="8" t="s">
        <v>8257</v>
      </c>
      <c r="D748" s="8" t="n">
        <f aca="false">COUNTIF(Dishes!$M:$R,B748)</f>
        <v>1</v>
      </c>
      <c r="E748" s="8" t="n">
        <f aca="false">COUNTIF(Drinks!$N:$S,B748)</f>
        <v>0</v>
      </c>
      <c r="F748" s="8" t="n">
        <f aca="false">D748+E748</f>
        <v>1</v>
      </c>
    </row>
    <row r="749" customFormat="false" ht="15" hidden="false" customHeight="false" outlineLevel="0" collapsed="false">
      <c r="A749" s="8" t="s">
        <v>9018</v>
      </c>
      <c r="B749" s="8" t="s">
        <v>5448</v>
      </c>
      <c r="C749" s="8" t="s">
        <v>8287</v>
      </c>
      <c r="D749" s="8" t="n">
        <f aca="false">COUNTIF(Dishes!$M:$R,B749)</f>
        <v>1</v>
      </c>
      <c r="E749" s="8" t="n">
        <f aca="false">COUNTIF(Drinks!$N:$S,B749)</f>
        <v>0</v>
      </c>
      <c r="F749" s="8" t="n">
        <f aca="false">D749+E749</f>
        <v>1</v>
      </c>
    </row>
    <row r="750" customFormat="false" ht="15" hidden="false" customHeight="false" outlineLevel="0" collapsed="false">
      <c r="A750" s="8" t="s">
        <v>9019</v>
      </c>
      <c r="B750" s="8" t="s">
        <v>5831</v>
      </c>
      <c r="C750" s="8" t="s">
        <v>8259</v>
      </c>
      <c r="D750" s="8" t="n">
        <f aca="false">COUNTIF(Dishes!$M:$R,B750)</f>
        <v>1</v>
      </c>
      <c r="E750" s="8" t="n">
        <f aca="false">COUNTIF(Drinks!$N:$S,B750)</f>
        <v>0</v>
      </c>
      <c r="F750" s="8" t="n">
        <f aca="false">D750+E750</f>
        <v>1</v>
      </c>
    </row>
    <row r="751" customFormat="false" ht="15" hidden="false" customHeight="false" outlineLevel="0" collapsed="false">
      <c r="A751" s="8" t="s">
        <v>9020</v>
      </c>
      <c r="B751" s="8" t="s">
        <v>5020</v>
      </c>
      <c r="C751" s="8" t="s">
        <v>8259</v>
      </c>
      <c r="D751" s="8" t="n">
        <f aca="false">COUNTIF(Dishes!$M:$R,B751)</f>
        <v>1</v>
      </c>
      <c r="E751" s="8" t="n">
        <f aca="false">COUNTIF(Drinks!$N:$S,B751)</f>
        <v>0</v>
      </c>
      <c r="F751" s="8" t="n">
        <f aca="false">D751+E751</f>
        <v>1</v>
      </c>
    </row>
    <row r="752" customFormat="false" ht="15" hidden="false" customHeight="false" outlineLevel="0" collapsed="false">
      <c r="A752" s="8" t="s">
        <v>9021</v>
      </c>
      <c r="B752" s="8" t="s">
        <v>3775</v>
      </c>
      <c r="C752" s="8" t="s">
        <v>8272</v>
      </c>
      <c r="D752" s="8" t="n">
        <f aca="false">COUNTIF(Dishes!$M:$R,B752)</f>
        <v>2</v>
      </c>
      <c r="E752" s="8" t="n">
        <f aca="false">COUNTIF(Drinks!$N:$S,B752)</f>
        <v>0</v>
      </c>
      <c r="F752" s="8" t="n">
        <f aca="false">D752+E752</f>
        <v>2</v>
      </c>
    </row>
    <row r="753" customFormat="false" ht="15" hidden="false" customHeight="false" outlineLevel="0" collapsed="false">
      <c r="A753" s="8" t="s">
        <v>9022</v>
      </c>
      <c r="B753" s="8" t="s">
        <v>7014</v>
      </c>
      <c r="C753" s="8" t="s">
        <v>8282</v>
      </c>
      <c r="D753" s="8" t="n">
        <f aca="false">COUNTIF(Dishes!$M:$R,B753)</f>
        <v>0</v>
      </c>
      <c r="E753" s="8" t="n">
        <f aca="false">COUNTIF(Drinks!$N:$S,B753)</f>
        <v>1</v>
      </c>
      <c r="F753" s="8" t="n">
        <f aca="false">D753+E753</f>
        <v>1</v>
      </c>
    </row>
    <row r="754" customFormat="false" ht="15" hidden="false" customHeight="false" outlineLevel="0" collapsed="false">
      <c r="A754" s="8" t="s">
        <v>9023</v>
      </c>
      <c r="B754" s="8" t="s">
        <v>3871</v>
      </c>
      <c r="C754" s="8" t="s">
        <v>8268</v>
      </c>
      <c r="D754" s="8" t="n">
        <f aca="false">COUNTIF(Dishes!$M:$R,B754)</f>
        <v>3</v>
      </c>
      <c r="E754" s="8" t="n">
        <f aca="false">COUNTIF(Drinks!$N:$S,B754)</f>
        <v>2</v>
      </c>
      <c r="F754" s="8" t="n">
        <f aca="false">D754+E754</f>
        <v>5</v>
      </c>
    </row>
    <row r="755" customFormat="false" ht="15" hidden="false" customHeight="false" outlineLevel="0" collapsed="false">
      <c r="A755" s="8" t="s">
        <v>9024</v>
      </c>
      <c r="B755" s="8" t="s">
        <v>4634</v>
      </c>
      <c r="C755" s="8" t="s">
        <v>8257</v>
      </c>
      <c r="D755" s="8" t="n">
        <f aca="false">COUNTIF(Dishes!$M:$R,B755)</f>
        <v>1</v>
      </c>
      <c r="E755" s="8" t="n">
        <f aca="false">COUNTIF(Drinks!$N:$S,B755)</f>
        <v>0</v>
      </c>
      <c r="F755" s="8" t="n">
        <f aca="false">D755+E755</f>
        <v>1</v>
      </c>
    </row>
    <row r="756" customFormat="false" ht="15" hidden="false" customHeight="false" outlineLevel="0" collapsed="false">
      <c r="A756" s="8" t="s">
        <v>9025</v>
      </c>
      <c r="B756" s="8" t="s">
        <v>531</v>
      </c>
      <c r="C756" s="8" t="s">
        <v>8265</v>
      </c>
      <c r="D756" s="8" t="n">
        <f aca="false">COUNTIF(Dishes!$M:$R,B756)</f>
        <v>2</v>
      </c>
      <c r="E756" s="8" t="n">
        <f aca="false">COUNTIF(Drinks!$N:$S,B756)</f>
        <v>0</v>
      </c>
      <c r="F756" s="8" t="n">
        <f aca="false">D756+E756</f>
        <v>2</v>
      </c>
    </row>
    <row r="757" customFormat="false" ht="15" hidden="false" customHeight="false" outlineLevel="0" collapsed="false">
      <c r="A757" s="8" t="s">
        <v>9026</v>
      </c>
      <c r="B757" s="8" t="s">
        <v>5385</v>
      </c>
      <c r="C757" s="8" t="s">
        <v>8298</v>
      </c>
      <c r="D757" s="8" t="n">
        <f aca="false">COUNTIF(Dishes!$M:$R,B757)</f>
        <v>1</v>
      </c>
      <c r="E757" s="8" t="n">
        <f aca="false">COUNTIF(Drinks!$N:$S,B757)</f>
        <v>0</v>
      </c>
      <c r="F757" s="8" t="n">
        <f aca="false">D757+E757</f>
        <v>1</v>
      </c>
    </row>
    <row r="758" customFormat="false" ht="15" hidden="false" customHeight="false" outlineLevel="0" collapsed="false">
      <c r="A758" s="8" t="s">
        <v>9027</v>
      </c>
      <c r="B758" s="8" t="s">
        <v>275</v>
      </c>
      <c r="C758" s="8" t="s">
        <v>8272</v>
      </c>
      <c r="D758" s="8" t="n">
        <f aca="false">COUNTIF(Dishes!$M:$R,B758)</f>
        <v>18</v>
      </c>
      <c r="E758" s="8" t="n">
        <f aca="false">COUNTIF(Drinks!$N:$S,B758)</f>
        <v>3</v>
      </c>
      <c r="F758" s="8" t="n">
        <f aca="false">D758+E758</f>
        <v>21</v>
      </c>
    </row>
    <row r="759" customFormat="false" ht="15" hidden="false" customHeight="false" outlineLevel="0" collapsed="false">
      <c r="A759" s="8" t="s">
        <v>9028</v>
      </c>
      <c r="B759" s="8" t="s">
        <v>3008</v>
      </c>
      <c r="C759" s="8" t="s">
        <v>8272</v>
      </c>
      <c r="D759" s="8" t="n">
        <f aca="false">COUNTIF(Dishes!$M:$R,B759)</f>
        <v>2</v>
      </c>
      <c r="E759" s="8" t="n">
        <f aca="false">COUNTIF(Drinks!$N:$S,B759)</f>
        <v>0</v>
      </c>
      <c r="F759" s="8" t="n">
        <f aca="false">D759+E759</f>
        <v>2</v>
      </c>
    </row>
    <row r="760" customFormat="false" ht="15" hidden="false" customHeight="false" outlineLevel="0" collapsed="false">
      <c r="A760" s="8" t="s">
        <v>9029</v>
      </c>
      <c r="B760" s="8" t="s">
        <v>1775</v>
      </c>
      <c r="C760" s="8" t="s">
        <v>8272</v>
      </c>
      <c r="D760" s="8" t="n">
        <f aca="false">COUNTIF(Dishes!$M:$R,B760)</f>
        <v>2</v>
      </c>
      <c r="E760" s="8" t="n">
        <f aca="false">COUNTIF(Drinks!$N:$S,B760)</f>
        <v>0</v>
      </c>
      <c r="F760" s="8" t="n">
        <f aca="false">D760+E760</f>
        <v>2</v>
      </c>
    </row>
    <row r="761" customFormat="false" ht="15" hidden="false" customHeight="false" outlineLevel="0" collapsed="false">
      <c r="A761" s="8" t="s">
        <v>9030</v>
      </c>
      <c r="B761" s="8" t="s">
        <v>1356</v>
      </c>
      <c r="C761" s="8" t="s">
        <v>8272</v>
      </c>
      <c r="D761" s="8" t="n">
        <f aca="false">COUNTIF(Dishes!$M:$R,B761)</f>
        <v>2</v>
      </c>
      <c r="E761" s="8" t="n">
        <f aca="false">COUNTIF(Drinks!$N:$S,B761)</f>
        <v>0</v>
      </c>
      <c r="F761" s="8" t="n">
        <f aca="false">D761+E761</f>
        <v>2</v>
      </c>
    </row>
    <row r="762" customFormat="false" ht="15" hidden="false" customHeight="false" outlineLevel="0" collapsed="false">
      <c r="A762" s="8" t="s">
        <v>9031</v>
      </c>
      <c r="B762" s="8" t="s">
        <v>861</v>
      </c>
      <c r="C762" s="8" t="s">
        <v>8272</v>
      </c>
      <c r="D762" s="8" t="n">
        <f aca="false">COUNTIF(Dishes!$M:$R,B762)</f>
        <v>11</v>
      </c>
      <c r="E762" s="8" t="n">
        <f aca="false">COUNTIF(Drinks!$N:$S,B762)</f>
        <v>0</v>
      </c>
      <c r="F762" s="8" t="n">
        <f aca="false">D762+E762</f>
        <v>11</v>
      </c>
    </row>
    <row r="763" customFormat="false" ht="15" hidden="false" customHeight="false" outlineLevel="0" collapsed="false">
      <c r="A763" s="8" t="s">
        <v>9032</v>
      </c>
      <c r="B763" s="8" t="s">
        <v>3501</v>
      </c>
      <c r="C763" s="8" t="s">
        <v>8272</v>
      </c>
      <c r="D763" s="8" t="n">
        <f aca="false">COUNTIF(Dishes!$M:$R,B763)</f>
        <v>1</v>
      </c>
      <c r="E763" s="8" t="n">
        <f aca="false">COUNTIF(Drinks!$N:$S,B763)</f>
        <v>0</v>
      </c>
      <c r="F763" s="8" t="n">
        <f aca="false">D763+E763</f>
        <v>1</v>
      </c>
    </row>
    <row r="764" customFormat="false" ht="15" hidden="false" customHeight="false" outlineLevel="0" collapsed="false">
      <c r="A764" s="8" t="s">
        <v>9033</v>
      </c>
      <c r="B764" s="8" t="s">
        <v>1277</v>
      </c>
      <c r="C764" s="8" t="s">
        <v>8272</v>
      </c>
      <c r="D764" s="8" t="n">
        <f aca="false">COUNTIF(Dishes!$M:$R,B764)</f>
        <v>1</v>
      </c>
      <c r="E764" s="8" t="n">
        <f aca="false">COUNTIF(Drinks!$N:$S,B764)</f>
        <v>0</v>
      </c>
      <c r="F764" s="8" t="n">
        <f aca="false">D764+E764</f>
        <v>1</v>
      </c>
    </row>
    <row r="765" customFormat="false" ht="15" hidden="false" customHeight="false" outlineLevel="0" collapsed="false">
      <c r="A765" s="8" t="s">
        <v>9034</v>
      </c>
      <c r="B765" s="8" t="s">
        <v>6904</v>
      </c>
      <c r="C765" s="8" t="s">
        <v>8272</v>
      </c>
      <c r="D765" s="8" t="n">
        <f aca="false">COUNTIF(Dishes!$M:$R,B765)</f>
        <v>0</v>
      </c>
      <c r="E765" s="8" t="n">
        <f aca="false">COUNTIF(Drinks!$N:$S,B765)</f>
        <v>1</v>
      </c>
      <c r="F765" s="8" t="n">
        <f aca="false">D765+E765</f>
        <v>1</v>
      </c>
    </row>
    <row r="766" customFormat="false" ht="15" hidden="false" customHeight="false" outlineLevel="0" collapsed="false">
      <c r="A766" s="8" t="s">
        <v>9035</v>
      </c>
      <c r="B766" s="8" t="s">
        <v>2851</v>
      </c>
      <c r="C766" s="8" t="s">
        <v>8272</v>
      </c>
      <c r="D766" s="8" t="n">
        <f aca="false">COUNTIF(Dishes!$M:$R,B766)</f>
        <v>1</v>
      </c>
      <c r="E766" s="8" t="n">
        <f aca="false">COUNTIF(Drinks!$N:$S,B766)</f>
        <v>0</v>
      </c>
      <c r="F766" s="8" t="n">
        <f aca="false">D766+E766</f>
        <v>1</v>
      </c>
    </row>
    <row r="767" customFormat="false" ht="15" hidden="false" customHeight="false" outlineLevel="0" collapsed="false">
      <c r="A767" s="8" t="s">
        <v>9036</v>
      </c>
      <c r="B767" s="8" t="s">
        <v>3310</v>
      </c>
      <c r="C767" s="8" t="s">
        <v>8272</v>
      </c>
      <c r="D767" s="8" t="n">
        <f aca="false">COUNTIF(Dishes!$M:$R,B767)</f>
        <v>3</v>
      </c>
      <c r="E767" s="8" t="n">
        <f aca="false">COUNTIF(Drinks!$N:$S,B767)</f>
        <v>0</v>
      </c>
      <c r="F767" s="8" t="n">
        <f aca="false">D767+E767</f>
        <v>3</v>
      </c>
    </row>
    <row r="768" customFormat="false" ht="15" hidden="false" customHeight="false" outlineLevel="0" collapsed="false">
      <c r="A768" s="8" t="s">
        <v>9037</v>
      </c>
      <c r="B768" s="8" t="s">
        <v>3465</v>
      </c>
      <c r="C768" s="8" t="s">
        <v>8272</v>
      </c>
      <c r="D768" s="8" t="n">
        <f aca="false">COUNTIF(Dishes!$M:$R,B768)</f>
        <v>2</v>
      </c>
      <c r="E768" s="8" t="n">
        <f aca="false">COUNTIF(Drinks!$N:$S,B768)</f>
        <v>0</v>
      </c>
      <c r="F768" s="8" t="n">
        <f aca="false">D768+E768</f>
        <v>2</v>
      </c>
    </row>
    <row r="769" customFormat="false" ht="15" hidden="false" customHeight="false" outlineLevel="0" collapsed="false">
      <c r="A769" s="8" t="s">
        <v>9038</v>
      </c>
      <c r="B769" s="8" t="s">
        <v>2727</v>
      </c>
      <c r="C769" s="8" t="s">
        <v>8272</v>
      </c>
      <c r="D769" s="8" t="n">
        <f aca="false">COUNTIF(Dishes!$M:$R,B769)</f>
        <v>1</v>
      </c>
      <c r="E769" s="8" t="n">
        <f aca="false">COUNTIF(Drinks!$N:$S,B769)</f>
        <v>0</v>
      </c>
      <c r="F769" s="8" t="n">
        <f aca="false">D769+E769</f>
        <v>1</v>
      </c>
    </row>
    <row r="770" customFormat="false" ht="15" hidden="false" customHeight="false" outlineLevel="0" collapsed="false">
      <c r="A770" s="8" t="s">
        <v>9039</v>
      </c>
      <c r="B770" s="8" t="s">
        <v>3239</v>
      </c>
      <c r="C770" s="8" t="s">
        <v>8272</v>
      </c>
      <c r="D770" s="8" t="n">
        <f aca="false">COUNTIF(Dishes!$M:$R,B770)</f>
        <v>1</v>
      </c>
      <c r="E770" s="8" t="n">
        <f aca="false">COUNTIF(Drinks!$N:$S,B770)</f>
        <v>0</v>
      </c>
      <c r="F770" s="8" t="n">
        <f aca="false">D770+E770</f>
        <v>1</v>
      </c>
    </row>
    <row r="771" customFormat="false" ht="15" hidden="false" customHeight="false" outlineLevel="0" collapsed="false">
      <c r="A771" s="8" t="s">
        <v>9040</v>
      </c>
      <c r="B771" s="8" t="s">
        <v>3454</v>
      </c>
      <c r="C771" s="8" t="s">
        <v>8272</v>
      </c>
      <c r="D771" s="8" t="n">
        <f aca="false">COUNTIF(Dishes!$M:$R,B771)</f>
        <v>2</v>
      </c>
      <c r="E771" s="8" t="n">
        <f aca="false">COUNTIF(Drinks!$N:$S,B771)</f>
        <v>0</v>
      </c>
      <c r="F771" s="8" t="n">
        <f aca="false">D771+E771</f>
        <v>2</v>
      </c>
    </row>
    <row r="772" customFormat="false" ht="15" hidden="false" customHeight="false" outlineLevel="0" collapsed="false">
      <c r="A772" s="8" t="s">
        <v>9041</v>
      </c>
      <c r="B772" s="8" t="s">
        <v>2860</v>
      </c>
      <c r="C772" s="8" t="s">
        <v>8257</v>
      </c>
      <c r="D772" s="8" t="n">
        <f aca="false">COUNTIF(Dishes!$M:$R,B772)</f>
        <v>1</v>
      </c>
      <c r="E772" s="8" t="n">
        <f aca="false">COUNTIF(Drinks!$N:$S,B772)</f>
        <v>0</v>
      </c>
      <c r="F772" s="8" t="n">
        <f aca="false">D772+E772</f>
        <v>1</v>
      </c>
    </row>
    <row r="773" customFormat="false" ht="15" hidden="false" customHeight="false" outlineLevel="0" collapsed="false">
      <c r="A773" s="8" t="s">
        <v>9042</v>
      </c>
      <c r="B773" s="8" t="s">
        <v>1428</v>
      </c>
      <c r="C773" s="8" t="s">
        <v>8272</v>
      </c>
      <c r="D773" s="8" t="n">
        <f aca="false">COUNTIF(Dishes!$M:$R,B773)</f>
        <v>1</v>
      </c>
      <c r="E773" s="8" t="n">
        <f aca="false">COUNTIF(Drinks!$N:$S,B773)</f>
        <v>0</v>
      </c>
      <c r="F773" s="8" t="n">
        <f aca="false">D773+E773</f>
        <v>1</v>
      </c>
    </row>
    <row r="774" customFormat="false" ht="15" hidden="false" customHeight="false" outlineLevel="0" collapsed="false">
      <c r="A774" s="8" t="s">
        <v>9043</v>
      </c>
      <c r="B774" s="8" t="s">
        <v>4061</v>
      </c>
      <c r="C774" s="8" t="s">
        <v>8265</v>
      </c>
      <c r="D774" s="8" t="n">
        <f aca="false">COUNTIF(Dishes!$M:$R,B774)</f>
        <v>1</v>
      </c>
      <c r="E774" s="8" t="n">
        <f aca="false">COUNTIF(Drinks!$N:$S,B774)</f>
        <v>0</v>
      </c>
      <c r="F774" s="8" t="n">
        <f aca="false">D774+E774</f>
        <v>1</v>
      </c>
    </row>
    <row r="775" customFormat="false" ht="15" hidden="false" customHeight="false" outlineLevel="0" collapsed="false">
      <c r="A775" s="8" t="s">
        <v>9044</v>
      </c>
      <c r="B775" s="8" t="s">
        <v>1464</v>
      </c>
      <c r="C775" s="8" t="s">
        <v>8261</v>
      </c>
      <c r="D775" s="8" t="n">
        <f aca="false">COUNTIF(Dishes!$M:$R,B775)</f>
        <v>1</v>
      </c>
      <c r="E775" s="8" t="n">
        <f aca="false">COUNTIF(Drinks!$N:$S,B775)</f>
        <v>0</v>
      </c>
      <c r="F775" s="8" t="n">
        <f aca="false">D775+E775</f>
        <v>1</v>
      </c>
    </row>
    <row r="776" customFormat="false" ht="15" hidden="false" customHeight="false" outlineLevel="0" collapsed="false">
      <c r="A776" s="8" t="s">
        <v>9045</v>
      </c>
      <c r="B776" s="8" t="s">
        <v>3394</v>
      </c>
      <c r="C776" s="8" t="s">
        <v>8261</v>
      </c>
      <c r="D776" s="8" t="n">
        <f aca="false">COUNTIF(Dishes!$M:$R,B776)</f>
        <v>1</v>
      </c>
      <c r="E776" s="8" t="n">
        <f aca="false">COUNTIF(Drinks!$N:$S,B776)</f>
        <v>0</v>
      </c>
      <c r="F776" s="8" t="n">
        <f aca="false">D776+E776</f>
        <v>1</v>
      </c>
    </row>
    <row r="777" customFormat="false" ht="15" hidden="false" customHeight="false" outlineLevel="0" collapsed="false">
      <c r="A777" s="8" t="s">
        <v>9046</v>
      </c>
      <c r="B777" s="8" t="s">
        <v>1348</v>
      </c>
      <c r="C777" s="8" t="s">
        <v>8261</v>
      </c>
      <c r="D777" s="8" t="n">
        <f aca="false">COUNTIF(Dishes!$M:$R,B777)</f>
        <v>1</v>
      </c>
      <c r="E777" s="8" t="n">
        <f aca="false">COUNTIF(Drinks!$N:$S,B777)</f>
        <v>0</v>
      </c>
      <c r="F777" s="8" t="n">
        <f aca="false">D777+E777</f>
        <v>1</v>
      </c>
    </row>
    <row r="778" customFormat="false" ht="15" hidden="false" customHeight="false" outlineLevel="0" collapsed="false">
      <c r="A778" s="8" t="s">
        <v>9047</v>
      </c>
      <c r="B778" s="8" t="s">
        <v>4483</v>
      </c>
      <c r="C778" s="8" t="s">
        <v>8276</v>
      </c>
      <c r="D778" s="8" t="n">
        <f aca="false">COUNTIF(Dishes!$M:$R,B778)</f>
        <v>1</v>
      </c>
      <c r="E778" s="8" t="n">
        <f aca="false">COUNTIF(Drinks!$N:$S,B778)</f>
        <v>0</v>
      </c>
      <c r="F778" s="8" t="n">
        <f aca="false">D778+E778</f>
        <v>1</v>
      </c>
    </row>
    <row r="779" customFormat="false" ht="15" hidden="false" customHeight="false" outlineLevel="0" collapsed="false">
      <c r="A779" s="8" t="s">
        <v>9048</v>
      </c>
      <c r="B779" s="8" t="s">
        <v>2539</v>
      </c>
      <c r="C779" s="8" t="s">
        <v>8276</v>
      </c>
      <c r="D779" s="8" t="n">
        <f aca="false">COUNTIF(Dishes!$M:$R,B779)</f>
        <v>1</v>
      </c>
      <c r="E779" s="8" t="n">
        <f aca="false">COUNTIF(Drinks!$N:$S,B779)</f>
        <v>0</v>
      </c>
      <c r="F779" s="8" t="n">
        <f aca="false">D779+E779</f>
        <v>1</v>
      </c>
    </row>
    <row r="780" customFormat="false" ht="15" hidden="false" customHeight="false" outlineLevel="0" collapsed="false">
      <c r="A780" s="8" t="s">
        <v>9049</v>
      </c>
      <c r="B780" s="8" t="s">
        <v>5437</v>
      </c>
      <c r="C780" s="8" t="s">
        <v>8276</v>
      </c>
      <c r="D780" s="8" t="n">
        <f aca="false">COUNTIF(Dishes!$M:$R,B780)</f>
        <v>1</v>
      </c>
      <c r="E780" s="8" t="n">
        <f aca="false">COUNTIF(Drinks!$N:$S,B780)</f>
        <v>0</v>
      </c>
      <c r="F780" s="8" t="n">
        <f aca="false">D780+E780</f>
        <v>1</v>
      </c>
    </row>
    <row r="781" customFormat="false" ht="15" hidden="false" customHeight="false" outlineLevel="0" collapsed="false">
      <c r="A781" s="8" t="s">
        <v>9050</v>
      </c>
      <c r="B781" s="8" t="s">
        <v>4482</v>
      </c>
      <c r="C781" s="8" t="s">
        <v>8287</v>
      </c>
      <c r="D781" s="8" t="n">
        <f aca="false">COUNTIF(Dishes!$M:$R,B781)</f>
        <v>1</v>
      </c>
      <c r="E781" s="8" t="n">
        <f aca="false">COUNTIF(Drinks!$N:$S,B781)</f>
        <v>0</v>
      </c>
      <c r="F781" s="8" t="n">
        <f aca="false">D781+E781</f>
        <v>1</v>
      </c>
    </row>
    <row r="782" customFormat="false" ht="15" hidden="false" customHeight="false" outlineLevel="0" collapsed="false">
      <c r="A782" s="8" t="s">
        <v>9051</v>
      </c>
      <c r="B782" s="8" t="s">
        <v>6658</v>
      </c>
      <c r="C782" s="8" t="s">
        <v>8272</v>
      </c>
      <c r="D782" s="8" t="n">
        <f aca="false">COUNTIF(Dishes!$M:$R,B782)</f>
        <v>0</v>
      </c>
      <c r="E782" s="8" t="n">
        <f aca="false">COUNTIF(Drinks!$N:$S,B782)</f>
        <v>1</v>
      </c>
      <c r="F782" s="8" t="n">
        <f aca="false">D782+E782</f>
        <v>1</v>
      </c>
    </row>
    <row r="783" customFormat="false" ht="15" hidden="false" customHeight="false" outlineLevel="0" collapsed="false">
      <c r="A783" s="8" t="s">
        <v>9052</v>
      </c>
      <c r="B783" s="8" t="s">
        <v>2451</v>
      </c>
      <c r="C783" s="8" t="s">
        <v>8298</v>
      </c>
      <c r="D783" s="8" t="n">
        <f aca="false">COUNTIF(Dishes!$M:$R,B783)</f>
        <v>1</v>
      </c>
      <c r="E783" s="8" t="n">
        <f aca="false">COUNTIF(Drinks!$N:$S,B783)</f>
        <v>0</v>
      </c>
      <c r="F783" s="8" t="n">
        <f aca="false">D783+E783</f>
        <v>1</v>
      </c>
    </row>
    <row r="784" customFormat="false" ht="15" hidden="false" customHeight="false" outlineLevel="0" collapsed="false">
      <c r="A784" s="8" t="s">
        <v>9053</v>
      </c>
      <c r="B784" s="8" t="s">
        <v>1015</v>
      </c>
      <c r="C784" s="8" t="s">
        <v>8261</v>
      </c>
      <c r="D784" s="8" t="n">
        <f aca="false">COUNTIF(Dishes!$M:$R,B784)</f>
        <v>2</v>
      </c>
      <c r="E784" s="8" t="n">
        <f aca="false">COUNTIF(Drinks!$N:$S,B784)</f>
        <v>0</v>
      </c>
      <c r="F784" s="8" t="n">
        <f aca="false">D784+E784</f>
        <v>2</v>
      </c>
    </row>
    <row r="785" customFormat="false" ht="15" hidden="false" customHeight="false" outlineLevel="0" collapsed="false">
      <c r="A785" s="8" t="s">
        <v>9054</v>
      </c>
      <c r="B785" s="8" t="s">
        <v>2046</v>
      </c>
      <c r="C785" s="8" t="s">
        <v>8259</v>
      </c>
      <c r="D785" s="8" t="n">
        <f aca="false">COUNTIF(Dishes!$M:$R,B785)</f>
        <v>2</v>
      </c>
      <c r="E785" s="8" t="n">
        <f aca="false">COUNTIF(Drinks!$N:$S,B785)</f>
        <v>3</v>
      </c>
      <c r="F785" s="8" t="n">
        <f aca="false">D785+E785</f>
        <v>5</v>
      </c>
    </row>
    <row r="786" customFormat="false" ht="15" hidden="false" customHeight="false" outlineLevel="0" collapsed="false">
      <c r="A786" s="8" t="s">
        <v>9055</v>
      </c>
      <c r="B786" s="8" t="s">
        <v>575</v>
      </c>
      <c r="C786" s="8" t="s">
        <v>8272</v>
      </c>
      <c r="D786" s="8" t="n">
        <f aca="false">COUNTIF(Dishes!$M:$R,B786)</f>
        <v>1</v>
      </c>
      <c r="E786" s="8" t="n">
        <f aca="false">COUNTIF(Drinks!$N:$S,B786)</f>
        <v>0</v>
      </c>
      <c r="F786" s="8" t="n">
        <f aca="false">D786+E786</f>
        <v>1</v>
      </c>
    </row>
    <row r="787" customFormat="false" ht="15" hidden="false" customHeight="false" outlineLevel="0" collapsed="false">
      <c r="A787" s="8" t="s">
        <v>9056</v>
      </c>
      <c r="B787" s="8" t="s">
        <v>2187</v>
      </c>
      <c r="C787" s="8" t="s">
        <v>8272</v>
      </c>
      <c r="D787" s="8" t="n">
        <f aca="false">COUNTIF(Dishes!$M:$R,B787)</f>
        <v>1</v>
      </c>
      <c r="E787" s="8" t="n">
        <f aca="false">COUNTIF(Drinks!$N:$S,B787)</f>
        <v>1</v>
      </c>
      <c r="F787" s="8" t="n">
        <f aca="false">D787+E787</f>
        <v>2</v>
      </c>
    </row>
    <row r="788" customFormat="false" ht="15" hidden="false" customHeight="false" outlineLevel="0" collapsed="false">
      <c r="A788" s="8" t="s">
        <v>9057</v>
      </c>
      <c r="B788" s="8" t="s">
        <v>1878</v>
      </c>
      <c r="C788" s="8" t="s">
        <v>8265</v>
      </c>
      <c r="D788" s="8" t="n">
        <f aca="false">COUNTIF(Dishes!$M:$R,B788)</f>
        <v>1</v>
      </c>
      <c r="E788" s="8" t="n">
        <f aca="false">COUNTIF(Drinks!$N:$S,B788)</f>
        <v>0</v>
      </c>
      <c r="F788" s="8" t="n">
        <f aca="false">D788+E788</f>
        <v>1</v>
      </c>
    </row>
    <row r="789" customFormat="false" ht="15" hidden="false" customHeight="false" outlineLevel="0" collapsed="false">
      <c r="A789" s="8" t="s">
        <v>9058</v>
      </c>
      <c r="B789" s="8" t="s">
        <v>2699</v>
      </c>
      <c r="C789" s="8" t="s">
        <v>8282</v>
      </c>
      <c r="D789" s="8" t="n">
        <f aca="false">COUNTIF(Dishes!$M:$R,B789)</f>
        <v>1</v>
      </c>
      <c r="E789" s="8" t="n">
        <f aca="false">COUNTIF(Drinks!$N:$S,B789)</f>
        <v>0</v>
      </c>
      <c r="F789" s="8" t="n">
        <f aca="false">D789+E789</f>
        <v>1</v>
      </c>
    </row>
    <row r="790" customFormat="false" ht="15" hidden="false" customHeight="false" outlineLevel="0" collapsed="false">
      <c r="A790" s="8" t="s">
        <v>9059</v>
      </c>
      <c r="B790" s="8" t="s">
        <v>1610</v>
      </c>
      <c r="C790" s="8" t="s">
        <v>8274</v>
      </c>
      <c r="D790" s="8" t="n">
        <f aca="false">COUNTIF(Dishes!$M:$R,B790)</f>
        <v>2</v>
      </c>
      <c r="E790" s="8" t="n">
        <f aca="false">COUNTIF(Drinks!$N:$S,B790)</f>
        <v>0</v>
      </c>
      <c r="F790" s="8" t="n">
        <f aca="false">D790+E790</f>
        <v>2</v>
      </c>
    </row>
    <row r="791" customFormat="false" ht="15" hidden="false" customHeight="false" outlineLevel="0" collapsed="false">
      <c r="A791" s="8" t="s">
        <v>9060</v>
      </c>
      <c r="B791" s="8" t="s">
        <v>5285</v>
      </c>
      <c r="C791" s="8" t="s">
        <v>8272</v>
      </c>
      <c r="D791" s="8" t="n">
        <f aca="false">COUNTIF(Dishes!$M:$R,B791)</f>
        <v>1</v>
      </c>
      <c r="E791" s="8" t="n">
        <f aca="false">COUNTIF(Drinks!$N:$S,B791)</f>
        <v>0</v>
      </c>
      <c r="F791" s="8" t="n">
        <f aca="false">D791+E791</f>
        <v>1</v>
      </c>
    </row>
    <row r="792" customFormat="false" ht="15" hidden="false" customHeight="false" outlineLevel="0" collapsed="false">
      <c r="A792" s="8" t="s">
        <v>9061</v>
      </c>
      <c r="B792" s="8" t="s">
        <v>5208</v>
      </c>
      <c r="C792" s="8" t="s">
        <v>8287</v>
      </c>
      <c r="D792" s="8" t="n">
        <f aca="false">COUNTIF(Dishes!$M:$R,B792)</f>
        <v>1</v>
      </c>
      <c r="E792" s="8" t="n">
        <f aca="false">COUNTIF(Drinks!$N:$S,B792)</f>
        <v>0</v>
      </c>
      <c r="F792" s="8" t="n">
        <f aca="false">D792+E792</f>
        <v>1</v>
      </c>
    </row>
    <row r="793" customFormat="false" ht="15" hidden="false" customHeight="false" outlineLevel="0" collapsed="false">
      <c r="A793" s="8" t="s">
        <v>9062</v>
      </c>
      <c r="B793" s="8" t="s">
        <v>6949</v>
      </c>
      <c r="C793" s="8" t="s">
        <v>8344</v>
      </c>
      <c r="D793" s="8" t="n">
        <f aca="false">COUNTIF(Dishes!$M:$R,B793)</f>
        <v>0</v>
      </c>
      <c r="E793" s="8" t="n">
        <f aca="false">COUNTIF(Drinks!$N:$S,B793)</f>
        <v>1</v>
      </c>
      <c r="F793" s="8" t="n">
        <f aca="false">D793+E793</f>
        <v>1</v>
      </c>
    </row>
    <row r="794" customFormat="false" ht="15" hidden="false" customHeight="false" outlineLevel="0" collapsed="false">
      <c r="A794" s="8" t="s">
        <v>9063</v>
      </c>
      <c r="B794" s="8" t="s">
        <v>7012</v>
      </c>
      <c r="C794" s="8" t="s">
        <v>8263</v>
      </c>
      <c r="D794" s="8" t="n">
        <f aca="false">COUNTIF(Dishes!$M:$R,B794)</f>
        <v>0</v>
      </c>
      <c r="E794" s="8" t="n">
        <f aca="false">COUNTIF(Drinks!$N:$S,B794)</f>
        <v>1</v>
      </c>
      <c r="F794" s="8" t="n">
        <f aca="false">D794+E794</f>
        <v>1</v>
      </c>
    </row>
    <row r="795" customFormat="false" ht="15" hidden="false" customHeight="false" outlineLevel="0" collapsed="false">
      <c r="A795" s="8" t="s">
        <v>9064</v>
      </c>
      <c r="B795" s="8" t="s">
        <v>7153</v>
      </c>
      <c r="C795" s="8" t="s">
        <v>8263</v>
      </c>
      <c r="D795" s="8" t="n">
        <f aca="false">COUNTIF(Dishes!$M:$R,B795)</f>
        <v>0</v>
      </c>
      <c r="E795" s="8" t="n">
        <f aca="false">COUNTIF(Drinks!$N:$S,B795)</f>
        <v>1</v>
      </c>
      <c r="F795" s="8" t="n">
        <f aca="false">D795+E795</f>
        <v>1</v>
      </c>
    </row>
    <row r="796" customFormat="false" ht="15" hidden="false" customHeight="false" outlineLevel="0" collapsed="false">
      <c r="A796" s="8" t="s">
        <v>9065</v>
      </c>
      <c r="B796" s="8" t="s">
        <v>2260</v>
      </c>
      <c r="C796" s="8" t="s">
        <v>8282</v>
      </c>
      <c r="D796" s="8" t="n">
        <f aca="false">COUNTIF(Dishes!$M:$R,B796)</f>
        <v>1</v>
      </c>
      <c r="E796" s="8" t="n">
        <f aca="false">COUNTIF(Drinks!$N:$S,B796)</f>
        <v>0</v>
      </c>
      <c r="F796" s="8" t="n">
        <f aca="false">D796+E796</f>
        <v>1</v>
      </c>
    </row>
    <row r="797" customFormat="false" ht="15" hidden="false" customHeight="false" outlineLevel="0" collapsed="false">
      <c r="A797" s="8" t="s">
        <v>9066</v>
      </c>
      <c r="B797" s="8" t="s">
        <v>2126</v>
      </c>
      <c r="C797" s="8" t="s">
        <v>8259</v>
      </c>
      <c r="D797" s="8" t="n">
        <f aca="false">COUNTIF(Dishes!$M:$R,B797)</f>
        <v>2</v>
      </c>
      <c r="E797" s="8" t="n">
        <f aca="false">COUNTIF(Drinks!$N:$S,B797)</f>
        <v>0</v>
      </c>
      <c r="F797" s="8" t="n">
        <f aca="false">D797+E797</f>
        <v>2</v>
      </c>
    </row>
    <row r="798" customFormat="false" ht="15" hidden="false" customHeight="false" outlineLevel="0" collapsed="false">
      <c r="A798" s="8" t="s">
        <v>9067</v>
      </c>
      <c r="B798" s="8" t="s">
        <v>4008</v>
      </c>
      <c r="C798" s="8" t="s">
        <v>8259</v>
      </c>
      <c r="D798" s="8" t="n">
        <f aca="false">COUNTIF(Dishes!$M:$R,B798)</f>
        <v>1</v>
      </c>
      <c r="E798" s="8" t="n">
        <f aca="false">COUNTIF(Drinks!$N:$S,B798)</f>
        <v>0</v>
      </c>
      <c r="F798" s="8" t="n">
        <f aca="false">D798+E798</f>
        <v>1</v>
      </c>
    </row>
    <row r="799" customFormat="false" ht="15" hidden="false" customHeight="false" outlineLevel="0" collapsed="false">
      <c r="A799" s="8" t="s">
        <v>9068</v>
      </c>
      <c r="B799" s="8" t="s">
        <v>5468</v>
      </c>
      <c r="C799" s="8" t="s">
        <v>8276</v>
      </c>
      <c r="D799" s="8" t="n">
        <f aca="false">COUNTIF(Dishes!$M:$R,B799)</f>
        <v>1</v>
      </c>
      <c r="E799" s="8" t="n">
        <f aca="false">COUNTIF(Drinks!$N:$S,B799)</f>
        <v>0</v>
      </c>
      <c r="F799" s="8" t="n">
        <f aca="false">D799+E799</f>
        <v>1</v>
      </c>
    </row>
    <row r="800" customFormat="false" ht="15" hidden="false" customHeight="false" outlineLevel="0" collapsed="false">
      <c r="A800" s="8" t="s">
        <v>9069</v>
      </c>
      <c r="B800" s="8" t="s">
        <v>4954</v>
      </c>
      <c r="C800" s="8" t="s">
        <v>8276</v>
      </c>
      <c r="D800" s="8" t="n">
        <f aca="false">COUNTIF(Dishes!$M:$R,B800)</f>
        <v>2</v>
      </c>
      <c r="E800" s="8" t="n">
        <f aca="false">COUNTIF(Drinks!$N:$S,B800)</f>
        <v>0</v>
      </c>
      <c r="F800" s="8" t="n">
        <f aca="false">D800+E800</f>
        <v>2</v>
      </c>
    </row>
    <row r="801" customFormat="false" ht="15" hidden="false" customHeight="false" outlineLevel="0" collapsed="false">
      <c r="A801" s="8" t="s">
        <v>9070</v>
      </c>
      <c r="B801" s="8" t="s">
        <v>4143</v>
      </c>
      <c r="C801" s="8" t="s">
        <v>8257</v>
      </c>
      <c r="D801" s="8" t="n">
        <f aca="false">COUNTIF(Dishes!$M:$R,B801)</f>
        <v>1</v>
      </c>
      <c r="E801" s="8" t="n">
        <f aca="false">COUNTIF(Drinks!$N:$S,B801)</f>
        <v>0</v>
      </c>
      <c r="F801" s="8" t="n">
        <f aca="false">D801+E801</f>
        <v>1</v>
      </c>
    </row>
    <row r="802" customFormat="false" ht="15" hidden="false" customHeight="false" outlineLevel="0" collapsed="false">
      <c r="A802" s="8" t="s">
        <v>9071</v>
      </c>
      <c r="B802" s="8" t="s">
        <v>5181</v>
      </c>
      <c r="C802" s="8" t="s">
        <v>8257</v>
      </c>
      <c r="D802" s="8" t="n">
        <f aca="false">COUNTIF(Dishes!$M:$R,B802)</f>
        <v>1</v>
      </c>
      <c r="E802" s="8" t="n">
        <f aca="false">COUNTIF(Drinks!$N:$S,B802)</f>
        <v>0</v>
      </c>
      <c r="F802" s="8" t="n">
        <f aca="false">D802+E802</f>
        <v>1</v>
      </c>
    </row>
    <row r="803" customFormat="false" ht="15" hidden="false" customHeight="false" outlineLevel="0" collapsed="false">
      <c r="A803" s="8" t="s">
        <v>9072</v>
      </c>
      <c r="B803" s="8" t="s">
        <v>6102</v>
      </c>
      <c r="C803" s="8" t="s">
        <v>8268</v>
      </c>
      <c r="D803" s="8" t="n">
        <f aca="false">COUNTIF(Dishes!$M:$R,B803)</f>
        <v>0</v>
      </c>
      <c r="E803" s="8" t="n">
        <f aca="false">COUNTIF(Drinks!$N:$S,B803)</f>
        <v>1</v>
      </c>
      <c r="F803" s="8" t="n">
        <f aca="false">D803+E803</f>
        <v>1</v>
      </c>
    </row>
    <row r="804" customFormat="false" ht="15" hidden="false" customHeight="false" outlineLevel="0" collapsed="false">
      <c r="A804" s="8" t="s">
        <v>9073</v>
      </c>
      <c r="B804" s="8" t="s">
        <v>5508</v>
      </c>
      <c r="C804" s="8" t="s">
        <v>8276</v>
      </c>
      <c r="D804" s="8" t="n">
        <f aca="false">COUNTIF(Dishes!$M:$R,B804)</f>
        <v>1</v>
      </c>
      <c r="E804" s="8" t="n">
        <f aca="false">COUNTIF(Drinks!$N:$S,B804)</f>
        <v>0</v>
      </c>
      <c r="F804" s="8" t="n">
        <f aca="false">D804+E804</f>
        <v>1</v>
      </c>
    </row>
    <row r="805" customFormat="false" ht="15" hidden="false" customHeight="false" outlineLevel="0" collapsed="false">
      <c r="A805" s="8" t="s">
        <v>9074</v>
      </c>
      <c r="B805" s="8" t="s">
        <v>4738</v>
      </c>
      <c r="C805" s="8" t="s">
        <v>8272</v>
      </c>
      <c r="D805" s="8" t="n">
        <f aca="false">COUNTIF(Dishes!$M:$R,B805)</f>
        <v>1</v>
      </c>
      <c r="E805" s="8" t="n">
        <f aca="false">COUNTIF(Drinks!$N:$S,B805)</f>
        <v>0</v>
      </c>
      <c r="F805" s="8" t="n">
        <f aca="false">D805+E805</f>
        <v>1</v>
      </c>
    </row>
    <row r="806" customFormat="false" ht="15" hidden="false" customHeight="false" outlineLevel="0" collapsed="false">
      <c r="A806" s="8" t="s">
        <v>9075</v>
      </c>
      <c r="B806" s="8" t="s">
        <v>6048</v>
      </c>
      <c r="C806" s="8" t="s">
        <v>8268</v>
      </c>
      <c r="D806" s="8" t="n">
        <f aca="false">COUNTIF(Dishes!$M:$R,B806)</f>
        <v>0</v>
      </c>
      <c r="E806" s="8" t="n">
        <f aca="false">COUNTIF(Drinks!$N:$S,B806)</f>
        <v>1</v>
      </c>
      <c r="F806" s="8" t="n">
        <f aca="false">D806+E806</f>
        <v>1</v>
      </c>
    </row>
    <row r="807" customFormat="false" ht="15" hidden="false" customHeight="false" outlineLevel="0" collapsed="false">
      <c r="A807" s="8" t="s">
        <v>9076</v>
      </c>
      <c r="B807" s="8" t="s">
        <v>347</v>
      </c>
      <c r="C807" s="8" t="s">
        <v>8259</v>
      </c>
      <c r="D807" s="8" t="n">
        <f aca="false">COUNTIF(Dishes!$M:$R,B807)</f>
        <v>18</v>
      </c>
      <c r="E807" s="8" t="n">
        <f aca="false">COUNTIF(Drinks!$N:$S,B807)</f>
        <v>2</v>
      </c>
      <c r="F807" s="8" t="n">
        <f aca="false">D807+E807</f>
        <v>20</v>
      </c>
    </row>
    <row r="808" customFormat="false" ht="15" hidden="false" customHeight="false" outlineLevel="0" collapsed="false">
      <c r="A808" s="8" t="s">
        <v>9077</v>
      </c>
      <c r="B808" s="8" t="s">
        <v>4060</v>
      </c>
      <c r="C808" s="8" t="s">
        <v>8259</v>
      </c>
      <c r="D808" s="8" t="n">
        <f aca="false">COUNTIF(Dishes!$M:$R,B808)</f>
        <v>1</v>
      </c>
      <c r="E808" s="8" t="n">
        <f aca="false">COUNTIF(Drinks!$N:$S,B808)</f>
        <v>0</v>
      </c>
      <c r="F808" s="8" t="n">
        <f aca="false">D808+E808</f>
        <v>1</v>
      </c>
    </row>
    <row r="809" customFormat="false" ht="15" hidden="false" customHeight="false" outlineLevel="0" collapsed="false">
      <c r="A809" s="8" t="s">
        <v>9078</v>
      </c>
      <c r="B809" s="8" t="s">
        <v>3930</v>
      </c>
      <c r="C809" s="8" t="s">
        <v>8265</v>
      </c>
      <c r="D809" s="8" t="n">
        <f aca="false">COUNTIF(Dishes!$M:$R,B809)</f>
        <v>1</v>
      </c>
      <c r="E809" s="8" t="n">
        <f aca="false">COUNTIF(Drinks!$N:$S,B809)</f>
        <v>0</v>
      </c>
      <c r="F809" s="8" t="n">
        <f aca="false">D809+E809</f>
        <v>1</v>
      </c>
    </row>
    <row r="810" customFormat="false" ht="15" hidden="false" customHeight="false" outlineLevel="0" collapsed="false">
      <c r="A810" s="8" t="s">
        <v>9079</v>
      </c>
      <c r="B810" s="8" t="s">
        <v>844</v>
      </c>
      <c r="C810" s="8" t="s">
        <v>8272</v>
      </c>
      <c r="D810" s="8" t="n">
        <f aca="false">COUNTIF(Dishes!$M:$R,B810)</f>
        <v>1</v>
      </c>
      <c r="E810" s="8" t="n">
        <f aca="false">COUNTIF(Drinks!$N:$S,B810)</f>
        <v>0</v>
      </c>
      <c r="F810" s="8" t="n">
        <f aca="false">D810+E810</f>
        <v>1</v>
      </c>
    </row>
    <row r="811" customFormat="false" ht="15" hidden="false" customHeight="false" outlineLevel="0" collapsed="false">
      <c r="A811" s="8" t="s">
        <v>9080</v>
      </c>
      <c r="B811" s="8" t="s">
        <v>2991</v>
      </c>
      <c r="C811" s="8" t="s">
        <v>8274</v>
      </c>
      <c r="D811" s="8" t="n">
        <f aca="false">COUNTIF(Dishes!$M:$R,B811)</f>
        <v>1</v>
      </c>
      <c r="E811" s="8" t="n">
        <f aca="false">COUNTIF(Drinks!$N:$S,B811)</f>
        <v>0</v>
      </c>
      <c r="F811" s="8" t="n">
        <f aca="false">D811+E811</f>
        <v>1</v>
      </c>
    </row>
    <row r="812" customFormat="false" ht="15" hidden="false" customHeight="false" outlineLevel="0" collapsed="false">
      <c r="A812" s="8" t="s">
        <v>9081</v>
      </c>
      <c r="B812" s="8" t="s">
        <v>1128</v>
      </c>
      <c r="C812" s="8" t="s">
        <v>8257</v>
      </c>
      <c r="D812" s="8" t="n">
        <f aca="false">COUNTIF(Dishes!$M:$R,B812)</f>
        <v>1</v>
      </c>
      <c r="E812" s="8" t="n">
        <f aca="false">COUNTIF(Drinks!$N:$S,B812)</f>
        <v>0</v>
      </c>
      <c r="F812" s="8" t="n">
        <f aca="false">D812+E812</f>
        <v>1</v>
      </c>
    </row>
    <row r="813" customFormat="false" ht="15" hidden="false" customHeight="false" outlineLevel="0" collapsed="false">
      <c r="A813" s="8" t="s">
        <v>9082</v>
      </c>
      <c r="B813" s="8" t="s">
        <v>5309</v>
      </c>
      <c r="C813" s="8" t="s">
        <v>8257</v>
      </c>
      <c r="D813" s="8" t="n">
        <f aca="false">COUNTIF(Dishes!$M:$R,B813)</f>
        <v>3</v>
      </c>
      <c r="E813" s="8" t="n">
        <f aca="false">COUNTIF(Drinks!$N:$S,B813)</f>
        <v>0</v>
      </c>
      <c r="F813" s="8" t="n">
        <f aca="false">D813+E813</f>
        <v>3</v>
      </c>
    </row>
    <row r="814" customFormat="false" ht="15" hidden="false" customHeight="false" outlineLevel="0" collapsed="false">
      <c r="A814" s="8" t="s">
        <v>9083</v>
      </c>
      <c r="B814" s="8" t="s">
        <v>6881</v>
      </c>
      <c r="C814" s="8" t="s">
        <v>8259</v>
      </c>
      <c r="D814" s="8" t="n">
        <f aca="false">COUNTIF(Dishes!$M:$R,B814)</f>
        <v>0</v>
      </c>
      <c r="E814" s="8" t="n">
        <f aca="false">COUNTIF(Drinks!$N:$S,B814)</f>
        <v>3</v>
      </c>
      <c r="F814" s="8" t="n">
        <f aca="false">D814+E814</f>
        <v>3</v>
      </c>
    </row>
    <row r="815" customFormat="false" ht="15" hidden="false" customHeight="false" outlineLevel="0" collapsed="false">
      <c r="A815" s="8" t="s">
        <v>9084</v>
      </c>
      <c r="B815" s="8" t="s">
        <v>4416</v>
      </c>
      <c r="C815" s="8" t="s">
        <v>8274</v>
      </c>
      <c r="D815" s="8" t="n">
        <f aca="false">COUNTIF(Dishes!$M:$R,B815)</f>
        <v>2</v>
      </c>
      <c r="E815" s="8" t="n">
        <f aca="false">COUNTIF(Drinks!$N:$S,B815)</f>
        <v>0</v>
      </c>
      <c r="F815" s="8" t="n">
        <f aca="false">D815+E815</f>
        <v>2</v>
      </c>
    </row>
    <row r="816" customFormat="false" ht="15" hidden="false" customHeight="false" outlineLevel="0" collapsed="false">
      <c r="A816" s="8" t="s">
        <v>9085</v>
      </c>
      <c r="B816" s="8" t="s">
        <v>2777</v>
      </c>
      <c r="C816" s="8" t="s">
        <v>8265</v>
      </c>
      <c r="D816" s="8" t="n">
        <f aca="false">COUNTIF(Dishes!$M:$R,B816)</f>
        <v>1</v>
      </c>
      <c r="E816" s="8" t="n">
        <f aca="false">COUNTIF(Drinks!$N:$S,B816)</f>
        <v>0</v>
      </c>
      <c r="F816" s="8" t="n">
        <f aca="false">D816+E816</f>
        <v>1</v>
      </c>
    </row>
    <row r="817" customFormat="false" ht="15" hidden="false" customHeight="false" outlineLevel="0" collapsed="false">
      <c r="A817" s="8" t="s">
        <v>9086</v>
      </c>
      <c r="B817" s="8" t="s">
        <v>3510</v>
      </c>
      <c r="C817" s="8" t="s">
        <v>8257</v>
      </c>
      <c r="D817" s="8" t="n">
        <f aca="false">COUNTIF(Dishes!$M:$R,B817)</f>
        <v>3</v>
      </c>
      <c r="E817" s="8" t="n">
        <f aca="false">COUNTIF(Drinks!$N:$S,B817)</f>
        <v>0</v>
      </c>
      <c r="F817" s="8" t="n">
        <f aca="false">D817+E817</f>
        <v>3</v>
      </c>
    </row>
    <row r="818" customFormat="false" ht="15" hidden="false" customHeight="false" outlineLevel="0" collapsed="false">
      <c r="A818" s="8" t="s">
        <v>9087</v>
      </c>
      <c r="B818" s="8" t="s">
        <v>1060</v>
      </c>
      <c r="C818" s="8" t="s">
        <v>8257</v>
      </c>
      <c r="D818" s="8" t="n">
        <f aca="false">COUNTIF(Dishes!$M:$R,B818)</f>
        <v>2</v>
      </c>
      <c r="E818" s="8" t="n">
        <f aca="false">COUNTIF(Drinks!$N:$S,B818)</f>
        <v>0</v>
      </c>
      <c r="F818" s="8" t="n">
        <f aca="false">D818+E818</f>
        <v>2</v>
      </c>
    </row>
    <row r="819" customFormat="false" ht="15" hidden="false" customHeight="false" outlineLevel="0" collapsed="false">
      <c r="A819" s="8" t="s">
        <v>9088</v>
      </c>
      <c r="B819" s="8" t="s">
        <v>1106</v>
      </c>
      <c r="C819" s="8" t="s">
        <v>8257</v>
      </c>
      <c r="D819" s="8" t="n">
        <f aca="false">COUNTIF(Dishes!$M:$R,B819)</f>
        <v>1</v>
      </c>
      <c r="E819" s="8" t="n">
        <f aca="false">COUNTIF(Drinks!$N:$S,B819)</f>
        <v>0</v>
      </c>
      <c r="F819" s="8" t="n">
        <f aca="false">D819+E819</f>
        <v>1</v>
      </c>
    </row>
    <row r="820" customFormat="false" ht="15" hidden="false" customHeight="false" outlineLevel="0" collapsed="false">
      <c r="A820" s="8" t="s">
        <v>9089</v>
      </c>
      <c r="B820" s="8" t="s">
        <v>3052</v>
      </c>
      <c r="C820" s="8" t="s">
        <v>8259</v>
      </c>
      <c r="D820" s="8" t="n">
        <f aca="false">COUNTIF(Dishes!$M:$R,B820)</f>
        <v>1</v>
      </c>
      <c r="E820" s="8" t="n">
        <f aca="false">COUNTIF(Drinks!$N:$S,B820)</f>
        <v>0</v>
      </c>
      <c r="F820" s="8" t="n">
        <f aca="false">D820+E820</f>
        <v>1</v>
      </c>
    </row>
    <row r="821" customFormat="false" ht="15" hidden="false" customHeight="false" outlineLevel="0" collapsed="false">
      <c r="A821" s="8" t="s">
        <v>9090</v>
      </c>
      <c r="B821" s="8" t="s">
        <v>6621</v>
      </c>
      <c r="C821" s="8" t="s">
        <v>8344</v>
      </c>
      <c r="D821" s="8" t="n">
        <f aca="false">COUNTIF(Dishes!$M:$R,B821)</f>
        <v>0</v>
      </c>
      <c r="E821" s="8" t="n">
        <f aca="false">COUNTIF(Drinks!$N:$S,B821)</f>
        <v>1</v>
      </c>
      <c r="F821" s="8" t="n">
        <f aca="false">D821+E821</f>
        <v>1</v>
      </c>
    </row>
    <row r="822" customFormat="false" ht="15" hidden="false" customHeight="false" outlineLevel="0" collapsed="false">
      <c r="A822" s="8" t="s">
        <v>9091</v>
      </c>
      <c r="B822" s="8" t="s">
        <v>576</v>
      </c>
      <c r="C822" s="8" t="s">
        <v>8298</v>
      </c>
      <c r="D822" s="8" t="n">
        <f aca="false">COUNTIF(Dishes!$M:$R,B822)</f>
        <v>1</v>
      </c>
      <c r="E822" s="8" t="n">
        <f aca="false">COUNTIF(Drinks!$N:$S,B822)</f>
        <v>0</v>
      </c>
      <c r="F822" s="8" t="n">
        <f aca="false">D822+E822</f>
        <v>1</v>
      </c>
    </row>
    <row r="823" customFormat="false" ht="15" hidden="false" customHeight="false" outlineLevel="0" collapsed="false">
      <c r="A823" s="8" t="s">
        <v>9092</v>
      </c>
      <c r="B823" s="8" t="s">
        <v>4645</v>
      </c>
      <c r="C823" s="8" t="s">
        <v>8257</v>
      </c>
      <c r="D823" s="8" t="n">
        <f aca="false">COUNTIF(Dishes!$M:$R,B823)</f>
        <v>2</v>
      </c>
      <c r="E823" s="8" t="n">
        <f aca="false">COUNTIF(Drinks!$N:$S,B823)</f>
        <v>0</v>
      </c>
      <c r="F823" s="8" t="n">
        <f aca="false">D823+E823</f>
        <v>2</v>
      </c>
    </row>
    <row r="824" customFormat="false" ht="15" hidden="false" customHeight="false" outlineLevel="0" collapsed="false">
      <c r="A824" s="8" t="s">
        <v>9093</v>
      </c>
      <c r="B824" s="8" t="s">
        <v>3277</v>
      </c>
      <c r="C824" s="8" t="s">
        <v>8276</v>
      </c>
      <c r="D824" s="8" t="n">
        <f aca="false">COUNTIF(Dishes!$M:$R,B824)</f>
        <v>8</v>
      </c>
      <c r="E824" s="8" t="n">
        <f aca="false">COUNTIF(Drinks!$N:$S,B824)</f>
        <v>0</v>
      </c>
      <c r="F824" s="8" t="n">
        <f aca="false">D824+E824</f>
        <v>8</v>
      </c>
    </row>
    <row r="825" customFormat="false" ht="15" hidden="false" customHeight="false" outlineLevel="0" collapsed="false">
      <c r="A825" s="8" t="s">
        <v>9094</v>
      </c>
      <c r="B825" s="8" t="s">
        <v>4519</v>
      </c>
      <c r="C825" s="8" t="s">
        <v>8276</v>
      </c>
      <c r="D825" s="8" t="n">
        <f aca="false">COUNTIF(Dishes!$M:$R,B825)</f>
        <v>1</v>
      </c>
      <c r="E825" s="8" t="n">
        <f aca="false">COUNTIF(Drinks!$N:$S,B825)</f>
        <v>0</v>
      </c>
      <c r="F825" s="8" t="n">
        <f aca="false">D825+E825</f>
        <v>1</v>
      </c>
    </row>
    <row r="826" customFormat="false" ht="15" hidden="false" customHeight="false" outlineLevel="0" collapsed="false">
      <c r="A826" s="8" t="s">
        <v>9095</v>
      </c>
      <c r="B826" s="8" t="s">
        <v>2355</v>
      </c>
      <c r="C826" s="8" t="s">
        <v>8257</v>
      </c>
      <c r="D826" s="8" t="n">
        <f aca="false">COUNTIF(Dishes!$M:$R,B826)</f>
        <v>1</v>
      </c>
      <c r="E826" s="8" t="n">
        <f aca="false">COUNTIF(Drinks!$N:$S,B826)</f>
        <v>0</v>
      </c>
      <c r="F826" s="8" t="n">
        <f aca="false">D826+E826</f>
        <v>1</v>
      </c>
    </row>
    <row r="827" customFormat="false" ht="15" hidden="false" customHeight="false" outlineLevel="0" collapsed="false">
      <c r="A827" s="8" t="s">
        <v>9096</v>
      </c>
      <c r="B827" s="8" t="s">
        <v>5407</v>
      </c>
      <c r="C827" s="8" t="s">
        <v>8259</v>
      </c>
      <c r="D827" s="8" t="n">
        <f aca="false">COUNTIF(Dishes!$M:$R,B827)</f>
        <v>3</v>
      </c>
      <c r="E827" s="8" t="n">
        <f aca="false">COUNTIF(Drinks!$N:$S,B827)</f>
        <v>0</v>
      </c>
      <c r="F827" s="8" t="n">
        <f aca="false">D827+E827</f>
        <v>3</v>
      </c>
    </row>
    <row r="828" customFormat="false" ht="15" hidden="false" customHeight="false" outlineLevel="0" collapsed="false">
      <c r="A828" s="8" t="s">
        <v>9097</v>
      </c>
      <c r="B828" s="8" t="s">
        <v>2384</v>
      </c>
      <c r="C828" s="8" t="s">
        <v>8265</v>
      </c>
      <c r="D828" s="8" t="n">
        <f aca="false">COUNTIF(Dishes!$M:$R,B828)</f>
        <v>1</v>
      </c>
      <c r="E828" s="8" t="n">
        <f aca="false">COUNTIF(Drinks!$N:$S,B828)</f>
        <v>0</v>
      </c>
      <c r="F828" s="8" t="n">
        <f aca="false">D828+E828</f>
        <v>1</v>
      </c>
    </row>
    <row r="829" customFormat="false" ht="15" hidden="false" customHeight="false" outlineLevel="0" collapsed="false">
      <c r="A829" s="8" t="s">
        <v>9098</v>
      </c>
      <c r="B829" s="8" t="s">
        <v>4007</v>
      </c>
      <c r="C829" s="8" t="s">
        <v>8259</v>
      </c>
      <c r="D829" s="8" t="n">
        <f aca="false">COUNTIF(Dishes!$M:$R,B829)</f>
        <v>1</v>
      </c>
      <c r="E829" s="8" t="n">
        <f aca="false">COUNTIF(Drinks!$N:$S,B829)</f>
        <v>0</v>
      </c>
      <c r="F829" s="8" t="n">
        <f aca="false">D829+E829</f>
        <v>1</v>
      </c>
    </row>
    <row r="830" customFormat="false" ht="15" hidden="false" customHeight="false" outlineLevel="0" collapsed="false">
      <c r="A830" s="8" t="s">
        <v>9099</v>
      </c>
      <c r="B830" s="8" t="s">
        <v>5950</v>
      </c>
      <c r="C830" s="8" t="s">
        <v>8287</v>
      </c>
      <c r="D830" s="8" t="n">
        <f aca="false">COUNTIF(Dishes!$M:$R,B830)</f>
        <v>1</v>
      </c>
      <c r="E830" s="8" t="n">
        <f aca="false">COUNTIF(Drinks!$N:$S,B830)</f>
        <v>0</v>
      </c>
      <c r="F830" s="8" t="n">
        <f aca="false">D830+E830</f>
        <v>1</v>
      </c>
    </row>
    <row r="831" customFormat="false" ht="15" hidden="false" customHeight="false" outlineLevel="0" collapsed="false">
      <c r="A831" s="8" t="s">
        <v>9100</v>
      </c>
      <c r="B831" s="8" t="s">
        <v>892</v>
      </c>
      <c r="C831" s="8" t="s">
        <v>8272</v>
      </c>
      <c r="D831" s="8" t="n">
        <f aca="false">COUNTIF(Dishes!$M:$R,B831)</f>
        <v>6</v>
      </c>
      <c r="E831" s="8" t="n">
        <f aca="false">COUNTIF(Drinks!$N:$S,B831)</f>
        <v>0</v>
      </c>
      <c r="F831" s="8" t="n">
        <f aca="false">D831+E831</f>
        <v>6</v>
      </c>
    </row>
    <row r="832" customFormat="false" ht="15" hidden="false" customHeight="false" outlineLevel="0" collapsed="false">
      <c r="A832" s="8" t="s">
        <v>9101</v>
      </c>
      <c r="B832" s="8" t="s">
        <v>686</v>
      </c>
      <c r="C832" s="8" t="s">
        <v>8259</v>
      </c>
      <c r="D832" s="8" t="n">
        <f aca="false">COUNTIF(Dishes!$M:$R,B832)</f>
        <v>14</v>
      </c>
      <c r="E832" s="8" t="n">
        <f aca="false">COUNTIF(Drinks!$N:$S,B832)</f>
        <v>0</v>
      </c>
      <c r="F832" s="8" t="n">
        <f aca="false">D832+E832</f>
        <v>14</v>
      </c>
    </row>
    <row r="833" customFormat="false" ht="15" hidden="false" customHeight="false" outlineLevel="0" collapsed="false">
      <c r="A833" s="8" t="s">
        <v>9102</v>
      </c>
      <c r="B833" s="8" t="s">
        <v>1167</v>
      </c>
      <c r="C833" s="8" t="s">
        <v>8257</v>
      </c>
      <c r="D833" s="8" t="n">
        <f aca="false">COUNTIF(Dishes!$M:$R,B833)</f>
        <v>6</v>
      </c>
      <c r="E833" s="8" t="n">
        <f aca="false">COUNTIF(Drinks!$N:$S,B833)</f>
        <v>0</v>
      </c>
      <c r="F833" s="8" t="n">
        <f aca="false">D833+E833</f>
        <v>6</v>
      </c>
    </row>
    <row r="834" customFormat="false" ht="15" hidden="false" customHeight="false" outlineLevel="0" collapsed="false">
      <c r="A834" s="8" t="s">
        <v>9103</v>
      </c>
      <c r="B834" s="8" t="s">
        <v>2650</v>
      </c>
      <c r="C834" s="8" t="s">
        <v>8257</v>
      </c>
      <c r="D834" s="8" t="n">
        <f aca="false">COUNTIF(Dishes!$M:$R,B834)</f>
        <v>1</v>
      </c>
      <c r="E834" s="8" t="n">
        <f aca="false">COUNTIF(Drinks!$N:$S,B834)</f>
        <v>0</v>
      </c>
      <c r="F834" s="8" t="n">
        <f aca="false">D834+E834</f>
        <v>1</v>
      </c>
    </row>
    <row r="835" customFormat="false" ht="15" hidden="false" customHeight="false" outlineLevel="0" collapsed="false">
      <c r="A835" s="8" t="s">
        <v>9104</v>
      </c>
      <c r="B835" s="8" t="s">
        <v>3025</v>
      </c>
      <c r="C835" s="8" t="s">
        <v>8257</v>
      </c>
      <c r="D835" s="8" t="n">
        <f aca="false">COUNTIF(Dishes!$M:$R,B835)</f>
        <v>1</v>
      </c>
      <c r="E835" s="8" t="n">
        <f aca="false">COUNTIF(Drinks!$N:$S,B835)</f>
        <v>0</v>
      </c>
      <c r="F835" s="8" t="n">
        <f aca="false">D835+E835</f>
        <v>1</v>
      </c>
    </row>
    <row r="836" customFormat="false" ht="15" hidden="false" customHeight="false" outlineLevel="0" collapsed="false">
      <c r="A836" s="8" t="s">
        <v>9105</v>
      </c>
      <c r="B836" s="8" t="s">
        <v>950</v>
      </c>
      <c r="C836" s="8" t="s">
        <v>8272</v>
      </c>
      <c r="D836" s="8" t="n">
        <f aca="false">COUNTIF(Dishes!$M:$R,B836)</f>
        <v>4</v>
      </c>
      <c r="E836" s="8" t="n">
        <f aca="false">COUNTIF(Drinks!$N:$S,B836)</f>
        <v>0</v>
      </c>
      <c r="F836" s="8" t="n">
        <f aca="false">D836+E836</f>
        <v>4</v>
      </c>
    </row>
    <row r="837" customFormat="false" ht="15" hidden="false" customHeight="false" outlineLevel="0" collapsed="false">
      <c r="A837" s="8" t="s">
        <v>9106</v>
      </c>
      <c r="B837" s="8" t="s">
        <v>1295</v>
      </c>
      <c r="C837" s="8" t="s">
        <v>8287</v>
      </c>
      <c r="D837" s="8" t="n">
        <f aca="false">COUNTIF(Dishes!$M:$R,B837)</f>
        <v>6</v>
      </c>
      <c r="E837" s="8" t="n">
        <f aca="false">COUNTIF(Drinks!$N:$S,B837)</f>
        <v>0</v>
      </c>
      <c r="F837" s="8" t="n">
        <f aca="false">D837+E837</f>
        <v>6</v>
      </c>
    </row>
    <row r="838" customFormat="false" ht="15" hidden="false" customHeight="false" outlineLevel="0" collapsed="false">
      <c r="A838" s="8" t="s">
        <v>9107</v>
      </c>
      <c r="B838" s="8" t="s">
        <v>2700</v>
      </c>
      <c r="C838" s="8" t="s">
        <v>8268</v>
      </c>
      <c r="D838" s="8" t="n">
        <f aca="false">COUNTIF(Dishes!$M:$R,B838)</f>
        <v>1</v>
      </c>
      <c r="E838" s="8" t="n">
        <f aca="false">COUNTIF(Drinks!$N:$S,B838)</f>
        <v>0</v>
      </c>
      <c r="F838" s="8" t="n">
        <f aca="false">D838+E838</f>
        <v>1</v>
      </c>
    </row>
    <row r="839" customFormat="false" ht="15" hidden="false" customHeight="false" outlineLevel="0" collapsed="false">
      <c r="A839" s="8" t="s">
        <v>9108</v>
      </c>
      <c r="B839" s="8" t="s">
        <v>7002</v>
      </c>
      <c r="C839" s="8" t="s">
        <v>8344</v>
      </c>
      <c r="D839" s="8" t="n">
        <f aca="false">COUNTIF(Dishes!$M:$R,B839)</f>
        <v>0</v>
      </c>
      <c r="E839" s="8" t="n">
        <f aca="false">COUNTIF(Drinks!$N:$S,B839)</f>
        <v>1</v>
      </c>
      <c r="F839" s="8" t="n">
        <f aca="false">D839+E839</f>
        <v>1</v>
      </c>
    </row>
    <row r="840" customFormat="false" ht="15" hidden="false" customHeight="false" outlineLevel="0" collapsed="false">
      <c r="A840" s="8" t="s">
        <v>9109</v>
      </c>
      <c r="B840" s="8" t="s">
        <v>3295</v>
      </c>
      <c r="C840" s="8" t="s">
        <v>8344</v>
      </c>
      <c r="D840" s="8" t="n">
        <f aca="false">COUNTIF(Dishes!$M:$R,B840)</f>
        <v>1</v>
      </c>
      <c r="E840" s="8" t="n">
        <f aca="false">COUNTIF(Drinks!$N:$S,B840)</f>
        <v>0</v>
      </c>
      <c r="F840" s="8" t="n">
        <f aca="false">D840+E840</f>
        <v>1</v>
      </c>
    </row>
    <row r="841" customFormat="false" ht="15" hidden="false" customHeight="false" outlineLevel="0" collapsed="false">
      <c r="A841" s="8" t="s">
        <v>9110</v>
      </c>
      <c r="B841" s="8" t="s">
        <v>4562</v>
      </c>
      <c r="C841" s="8" t="s">
        <v>8276</v>
      </c>
      <c r="D841" s="8" t="n">
        <f aca="false">COUNTIF(Dishes!$M:$R,B841)</f>
        <v>1</v>
      </c>
      <c r="E841" s="8" t="n">
        <f aca="false">COUNTIF(Drinks!$N:$S,B841)</f>
        <v>0</v>
      </c>
      <c r="F841" s="8" t="n">
        <f aca="false">D841+E841</f>
        <v>1</v>
      </c>
    </row>
    <row r="842" customFormat="false" ht="15" hidden="false" customHeight="false" outlineLevel="0" collapsed="false">
      <c r="A842" s="8" t="s">
        <v>9111</v>
      </c>
      <c r="B842" s="8" t="s">
        <v>3034</v>
      </c>
      <c r="C842" s="8" t="s">
        <v>8287</v>
      </c>
      <c r="D842" s="8" t="n">
        <f aca="false">COUNTIF(Dishes!$M:$R,B842)</f>
        <v>1</v>
      </c>
      <c r="E842" s="8" t="n">
        <f aca="false">COUNTIF(Drinks!$N:$S,B842)</f>
        <v>0</v>
      </c>
      <c r="F842" s="8" t="n">
        <f aca="false">D842+E842</f>
        <v>1</v>
      </c>
    </row>
    <row r="843" customFormat="false" ht="15" hidden="false" customHeight="false" outlineLevel="0" collapsed="false">
      <c r="A843" s="8" t="s">
        <v>9112</v>
      </c>
      <c r="B843" s="8" t="s">
        <v>2872</v>
      </c>
      <c r="C843" s="8" t="s">
        <v>8259</v>
      </c>
      <c r="D843" s="8" t="n">
        <f aca="false">COUNTIF(Dishes!$M:$R,B843)</f>
        <v>1</v>
      </c>
      <c r="E843" s="8" t="n">
        <f aca="false">COUNTIF(Drinks!$N:$S,B843)</f>
        <v>0</v>
      </c>
      <c r="F843" s="8" t="n">
        <f aca="false">D843+E843</f>
        <v>1</v>
      </c>
    </row>
    <row r="844" customFormat="false" ht="15" hidden="false" customHeight="false" outlineLevel="0" collapsed="false">
      <c r="A844" s="8" t="s">
        <v>9113</v>
      </c>
      <c r="B844" s="8" t="s">
        <v>5577</v>
      </c>
      <c r="C844" s="8" t="s">
        <v>8272</v>
      </c>
      <c r="D844" s="8" t="n">
        <f aca="false">COUNTIF(Dishes!$M:$R,B844)</f>
        <v>1</v>
      </c>
      <c r="E844" s="8" t="n">
        <f aca="false">COUNTIF(Drinks!$N:$S,B844)</f>
        <v>0</v>
      </c>
      <c r="F844" s="8" t="n">
        <f aca="false">D844+E844</f>
        <v>1</v>
      </c>
    </row>
    <row r="845" customFormat="false" ht="15" hidden="false" customHeight="false" outlineLevel="0" collapsed="false">
      <c r="A845" s="8" t="s">
        <v>9114</v>
      </c>
      <c r="B845" s="8" t="s">
        <v>5426</v>
      </c>
      <c r="C845" s="8" t="s">
        <v>8276</v>
      </c>
      <c r="D845" s="8" t="n">
        <f aca="false">COUNTIF(Dishes!$M:$R,B845)</f>
        <v>1</v>
      </c>
      <c r="E845" s="8" t="n">
        <f aca="false">COUNTIF(Drinks!$N:$S,B845)</f>
        <v>0</v>
      </c>
      <c r="F845" s="8" t="n">
        <f aca="false">D845+E845</f>
        <v>1</v>
      </c>
    </row>
    <row r="846" customFormat="false" ht="15" hidden="false" customHeight="false" outlineLevel="0" collapsed="false">
      <c r="A846" s="8" t="s">
        <v>9115</v>
      </c>
      <c r="B846" s="8" t="s">
        <v>4687</v>
      </c>
      <c r="C846" s="8" t="s">
        <v>8287</v>
      </c>
      <c r="D846" s="8" t="n">
        <f aca="false">COUNTIF(Dishes!$M:$R,B846)</f>
        <v>1</v>
      </c>
      <c r="E846" s="8" t="n">
        <f aca="false">COUNTIF(Drinks!$N:$S,B846)</f>
        <v>0</v>
      </c>
      <c r="F846" s="8" t="n">
        <f aca="false">D846+E846</f>
        <v>1</v>
      </c>
    </row>
    <row r="847" customFormat="false" ht="15" hidden="false" customHeight="false" outlineLevel="0" collapsed="false">
      <c r="A847" s="8" t="s">
        <v>9116</v>
      </c>
      <c r="B847" s="8" t="s">
        <v>5525</v>
      </c>
      <c r="C847" s="8" t="s">
        <v>8276</v>
      </c>
      <c r="D847" s="8" t="n">
        <f aca="false">COUNTIF(Dishes!$M:$R,B847)</f>
        <v>1</v>
      </c>
      <c r="E847" s="8" t="n">
        <f aca="false">COUNTIF(Drinks!$N:$S,B847)</f>
        <v>0</v>
      </c>
      <c r="F847" s="8" t="n">
        <f aca="false">D847+E847</f>
        <v>1</v>
      </c>
    </row>
    <row r="848" customFormat="false" ht="15" hidden="false" customHeight="false" outlineLevel="0" collapsed="false">
      <c r="A848" s="8" t="s">
        <v>9117</v>
      </c>
      <c r="B848" s="8" t="s">
        <v>2585</v>
      </c>
      <c r="C848" s="8" t="s">
        <v>8274</v>
      </c>
      <c r="D848" s="8" t="n">
        <f aca="false">COUNTIF(Dishes!$M:$R,B848)</f>
        <v>12</v>
      </c>
      <c r="E848" s="8" t="n">
        <f aca="false">COUNTIF(Drinks!$N:$S,B848)</f>
        <v>0</v>
      </c>
      <c r="F848" s="8" t="n">
        <f aca="false">D848+E848</f>
        <v>12</v>
      </c>
    </row>
    <row r="849" customFormat="false" ht="15" hidden="false" customHeight="false" outlineLevel="0" collapsed="false">
      <c r="A849" s="8" t="s">
        <v>9118</v>
      </c>
      <c r="B849" s="8" t="s">
        <v>2547</v>
      </c>
      <c r="C849" s="8" t="s">
        <v>8259</v>
      </c>
      <c r="D849" s="8" t="n">
        <f aca="false">COUNTIF(Dishes!$M:$R,B849)</f>
        <v>4</v>
      </c>
      <c r="E849" s="8" t="n">
        <f aca="false">COUNTIF(Drinks!$N:$S,B849)</f>
        <v>0</v>
      </c>
      <c r="F849" s="8" t="n">
        <f aca="false">D849+E849</f>
        <v>4</v>
      </c>
    </row>
    <row r="850" customFormat="false" ht="15" hidden="false" customHeight="false" outlineLevel="0" collapsed="false">
      <c r="A850" s="8" t="s">
        <v>9119</v>
      </c>
      <c r="B850" s="8" t="s">
        <v>2561</v>
      </c>
      <c r="C850" s="8" t="s">
        <v>8298</v>
      </c>
      <c r="D850" s="8" t="n">
        <f aca="false">COUNTIF(Dishes!$M:$R,B850)</f>
        <v>1</v>
      </c>
      <c r="E850" s="8" t="n">
        <f aca="false">COUNTIF(Drinks!$N:$S,B850)</f>
        <v>0</v>
      </c>
      <c r="F850" s="8" t="n">
        <f aca="false">D850+E850</f>
        <v>1</v>
      </c>
    </row>
    <row r="851" customFormat="false" ht="15" hidden="false" customHeight="false" outlineLevel="0" collapsed="false">
      <c r="A851" s="8" t="s">
        <v>9120</v>
      </c>
      <c r="B851" s="8" t="s">
        <v>2178</v>
      </c>
      <c r="C851" s="8" t="s">
        <v>8263</v>
      </c>
      <c r="D851" s="8" t="n">
        <f aca="false">COUNTIF(Dishes!$M:$R,B851)</f>
        <v>1</v>
      </c>
      <c r="E851" s="8" t="n">
        <f aca="false">COUNTIF(Drinks!$N:$S,B851)</f>
        <v>0</v>
      </c>
      <c r="F851" s="8" t="n">
        <f aca="false">D851+E851</f>
        <v>1</v>
      </c>
    </row>
    <row r="852" customFormat="false" ht="15" hidden="false" customHeight="false" outlineLevel="0" collapsed="false">
      <c r="A852" s="8" t="s">
        <v>9121</v>
      </c>
      <c r="B852" s="8" t="s">
        <v>4945</v>
      </c>
      <c r="C852" s="8" t="s">
        <v>8276</v>
      </c>
      <c r="D852" s="8" t="n">
        <f aca="false">COUNTIF(Dishes!$M:$R,B852)</f>
        <v>1</v>
      </c>
      <c r="E852" s="8" t="n">
        <f aca="false">COUNTIF(Drinks!$N:$S,B852)</f>
        <v>0</v>
      </c>
      <c r="F852" s="8" t="n">
        <f aca="false">D852+E852</f>
        <v>1</v>
      </c>
    </row>
    <row r="853" customFormat="false" ht="15" hidden="false" customHeight="false" outlineLevel="0" collapsed="false">
      <c r="A853" s="8" t="s">
        <v>9122</v>
      </c>
      <c r="B853" s="8" t="s">
        <v>2641</v>
      </c>
      <c r="C853" s="8" t="s">
        <v>8276</v>
      </c>
      <c r="D853" s="8" t="n">
        <f aca="false">COUNTIF(Dishes!$M:$R,B853)</f>
        <v>1</v>
      </c>
      <c r="E853" s="8" t="n">
        <f aca="false">COUNTIF(Drinks!$N:$S,B853)</f>
        <v>0</v>
      </c>
      <c r="F853" s="8" t="n">
        <f aca="false">D853+E853</f>
        <v>1</v>
      </c>
    </row>
    <row r="854" customFormat="false" ht="15" hidden="false" customHeight="false" outlineLevel="0" collapsed="false">
      <c r="A854" s="8" t="s">
        <v>9123</v>
      </c>
      <c r="B854" s="8" t="s">
        <v>4273</v>
      </c>
      <c r="C854" s="8" t="s">
        <v>8287</v>
      </c>
      <c r="D854" s="8" t="n">
        <f aca="false">COUNTIF(Dishes!$M:$R,B854)</f>
        <v>1</v>
      </c>
      <c r="E854" s="8" t="n">
        <f aca="false">COUNTIF(Drinks!$N:$S,B854)</f>
        <v>0</v>
      </c>
      <c r="F854" s="8" t="n">
        <f aca="false">D854+E854</f>
        <v>1</v>
      </c>
    </row>
    <row r="855" customFormat="false" ht="15" hidden="false" customHeight="false" outlineLevel="0" collapsed="false">
      <c r="A855" s="8" t="s">
        <v>9124</v>
      </c>
      <c r="B855" s="8" t="s">
        <v>2873</v>
      </c>
      <c r="C855" s="8" t="s">
        <v>8274</v>
      </c>
      <c r="D855" s="8" t="n">
        <f aca="false">COUNTIF(Dishes!$M:$R,B855)</f>
        <v>1</v>
      </c>
      <c r="E855" s="8" t="n">
        <f aca="false">COUNTIF(Drinks!$N:$S,B855)</f>
        <v>0</v>
      </c>
      <c r="F855" s="8" t="n">
        <f aca="false">D855+E855</f>
        <v>1</v>
      </c>
    </row>
    <row r="856" customFormat="false" ht="15" hidden="false" customHeight="false" outlineLevel="0" collapsed="false">
      <c r="A856" s="8" t="s">
        <v>9125</v>
      </c>
      <c r="B856" s="8" t="s">
        <v>4624</v>
      </c>
      <c r="C856" s="8" t="s">
        <v>8276</v>
      </c>
      <c r="D856" s="8" t="n">
        <f aca="false">COUNTIF(Dishes!$M:$R,B856)</f>
        <v>1</v>
      </c>
      <c r="E856" s="8" t="n">
        <f aca="false">COUNTIF(Drinks!$N:$S,B856)</f>
        <v>0</v>
      </c>
      <c r="F856" s="8" t="n">
        <f aca="false">D856+E856</f>
        <v>1</v>
      </c>
    </row>
    <row r="857" customFormat="false" ht="15" hidden="false" customHeight="false" outlineLevel="0" collapsed="false">
      <c r="A857" s="8" t="s">
        <v>9126</v>
      </c>
      <c r="B857" s="8" t="s">
        <v>3556</v>
      </c>
      <c r="C857" s="8" t="s">
        <v>8276</v>
      </c>
      <c r="D857" s="8" t="n">
        <f aca="false">COUNTIF(Dishes!$M:$R,B857)</f>
        <v>1</v>
      </c>
      <c r="E857" s="8" t="n">
        <f aca="false">COUNTIF(Drinks!$N:$S,B857)</f>
        <v>0</v>
      </c>
      <c r="F857" s="8" t="n">
        <f aca="false">D857+E857</f>
        <v>1</v>
      </c>
    </row>
    <row r="858" customFormat="false" ht="15" hidden="false" customHeight="false" outlineLevel="0" collapsed="false">
      <c r="A858" s="8" t="s">
        <v>9127</v>
      </c>
      <c r="B858" s="8" t="s">
        <v>401</v>
      </c>
      <c r="C858" s="8" t="s">
        <v>8276</v>
      </c>
      <c r="D858" s="8" t="n">
        <f aca="false">COUNTIF(Dishes!$M:$R,B858)</f>
        <v>1</v>
      </c>
      <c r="E858" s="8" t="n">
        <f aca="false">COUNTIF(Drinks!$N:$S,B858)</f>
        <v>0</v>
      </c>
      <c r="F858" s="8" t="n">
        <f aca="false">D858+E858</f>
        <v>1</v>
      </c>
    </row>
    <row r="859" customFormat="false" ht="15" hidden="false" customHeight="false" outlineLevel="0" collapsed="false">
      <c r="A859" s="8" t="s">
        <v>9128</v>
      </c>
      <c r="B859" s="8" t="s">
        <v>5347</v>
      </c>
      <c r="C859" s="8" t="s">
        <v>8276</v>
      </c>
      <c r="D859" s="8" t="n">
        <f aca="false">COUNTIF(Dishes!$M:$R,B859)</f>
        <v>1</v>
      </c>
      <c r="E859" s="8" t="n">
        <f aca="false">COUNTIF(Drinks!$N:$S,B859)</f>
        <v>0</v>
      </c>
      <c r="F859" s="8" t="n">
        <f aca="false">D859+E859</f>
        <v>1</v>
      </c>
    </row>
    <row r="860" customFormat="false" ht="15" hidden="false" customHeight="false" outlineLevel="0" collapsed="false">
      <c r="A860" s="8" t="s">
        <v>9129</v>
      </c>
      <c r="B860" s="8" t="s">
        <v>4020</v>
      </c>
      <c r="C860" s="8" t="s">
        <v>8272</v>
      </c>
      <c r="D860" s="8" t="n">
        <f aca="false">COUNTIF(Dishes!$M:$R,B860)</f>
        <v>1</v>
      </c>
      <c r="E860" s="8" t="n">
        <f aca="false">COUNTIF(Drinks!$N:$S,B860)</f>
        <v>0</v>
      </c>
      <c r="F860" s="8" t="n">
        <f aca="false">D860+E860</f>
        <v>1</v>
      </c>
    </row>
    <row r="861" customFormat="false" ht="15" hidden="false" customHeight="false" outlineLevel="0" collapsed="false">
      <c r="A861" s="8" t="s">
        <v>9130</v>
      </c>
      <c r="B861" s="8" t="s">
        <v>1960</v>
      </c>
      <c r="C861" s="8" t="s">
        <v>8287</v>
      </c>
      <c r="D861" s="8" t="n">
        <f aca="false">COUNTIF(Dishes!$M:$R,B861)</f>
        <v>1</v>
      </c>
      <c r="E861" s="8" t="n">
        <f aca="false">COUNTIF(Drinks!$N:$S,B861)</f>
        <v>0</v>
      </c>
      <c r="F861" s="8" t="n">
        <f aca="false">D861+E861</f>
        <v>1</v>
      </c>
    </row>
    <row r="862" customFormat="false" ht="15" hidden="false" customHeight="false" outlineLevel="0" collapsed="false">
      <c r="A862" s="8" t="s">
        <v>9131</v>
      </c>
      <c r="B862" s="8" t="s">
        <v>1814</v>
      </c>
      <c r="C862" s="8" t="s">
        <v>8276</v>
      </c>
      <c r="D862" s="8" t="n">
        <f aca="false">COUNTIF(Dishes!$M:$R,B862)</f>
        <v>1</v>
      </c>
      <c r="E862" s="8" t="n">
        <f aca="false">COUNTIF(Drinks!$N:$S,B862)</f>
        <v>0</v>
      </c>
      <c r="F862" s="8" t="n">
        <f aca="false">D862+E862</f>
        <v>1</v>
      </c>
    </row>
    <row r="863" customFormat="false" ht="15" hidden="false" customHeight="false" outlineLevel="0" collapsed="false">
      <c r="A863" s="8" t="s">
        <v>9132</v>
      </c>
      <c r="B863" s="8" t="s">
        <v>5663</v>
      </c>
      <c r="C863" s="8" t="s">
        <v>8287</v>
      </c>
      <c r="D863" s="8" t="n">
        <f aca="false">COUNTIF(Dishes!$M:$R,B863)</f>
        <v>1</v>
      </c>
      <c r="E863" s="8" t="n">
        <f aca="false">COUNTIF(Drinks!$N:$S,B863)</f>
        <v>0</v>
      </c>
      <c r="F863" s="8" t="n">
        <f aca="false">D863+E863</f>
        <v>1</v>
      </c>
    </row>
    <row r="864" customFormat="false" ht="15" hidden="false" customHeight="false" outlineLevel="0" collapsed="false">
      <c r="A864" s="8" t="s">
        <v>9133</v>
      </c>
      <c r="B864" s="8" t="s">
        <v>4177</v>
      </c>
      <c r="C864" s="8" t="s">
        <v>8274</v>
      </c>
      <c r="D864" s="8" t="n">
        <f aca="false">COUNTIF(Dishes!$M:$R,B864)</f>
        <v>1</v>
      </c>
      <c r="E864" s="8" t="n">
        <f aca="false">COUNTIF(Drinks!$N:$S,B864)</f>
        <v>0</v>
      </c>
      <c r="F864" s="8" t="n">
        <f aca="false">D864+E864</f>
        <v>1</v>
      </c>
    </row>
    <row r="865" customFormat="false" ht="15" hidden="false" customHeight="false" outlineLevel="0" collapsed="false">
      <c r="A865" s="8" t="s">
        <v>9134</v>
      </c>
      <c r="B865" s="8" t="s">
        <v>1392</v>
      </c>
      <c r="C865" s="8" t="s">
        <v>8272</v>
      </c>
      <c r="D865" s="8" t="n">
        <f aca="false">COUNTIF(Dishes!$M:$R,B865)</f>
        <v>1</v>
      </c>
      <c r="E865" s="8" t="n">
        <f aca="false">COUNTIF(Drinks!$N:$S,B865)</f>
        <v>0</v>
      </c>
      <c r="F865" s="8" t="n">
        <f aca="false">D865+E865</f>
        <v>1</v>
      </c>
    </row>
    <row r="866" customFormat="false" ht="15" hidden="false" customHeight="false" outlineLevel="0" collapsed="false">
      <c r="A866" s="8" t="s">
        <v>9135</v>
      </c>
      <c r="B866" s="8" t="s">
        <v>6979</v>
      </c>
      <c r="C866" s="8" t="s">
        <v>8344</v>
      </c>
      <c r="D866" s="8" t="n">
        <f aca="false">COUNTIF(Dishes!$M:$R,B866)</f>
        <v>0</v>
      </c>
      <c r="E866" s="8" t="n">
        <f aca="false">COUNTIF(Drinks!$N:$S,B866)</f>
        <v>3</v>
      </c>
      <c r="F866" s="8" t="n">
        <f aca="false">D866+E866</f>
        <v>3</v>
      </c>
    </row>
    <row r="867" customFormat="false" ht="15" hidden="false" customHeight="false" outlineLevel="0" collapsed="false">
      <c r="A867" s="8" t="s">
        <v>9136</v>
      </c>
      <c r="B867" s="8" t="s">
        <v>5964</v>
      </c>
      <c r="C867" s="8" t="s">
        <v>8344</v>
      </c>
      <c r="D867" s="8" t="n">
        <f aca="false">COUNTIF(Dishes!$M:$R,B867)</f>
        <v>0</v>
      </c>
      <c r="E867" s="8" t="n">
        <f aca="false">COUNTIF(Drinks!$N:$S,B867)</f>
        <v>3</v>
      </c>
      <c r="F867" s="8" t="n">
        <f aca="false">D867+E867</f>
        <v>3</v>
      </c>
    </row>
    <row r="868" customFormat="false" ht="15" hidden="false" customHeight="false" outlineLevel="0" collapsed="false">
      <c r="A868" s="8" t="s">
        <v>9137</v>
      </c>
      <c r="B868" s="8" t="s">
        <v>4665</v>
      </c>
      <c r="C868" s="8" t="s">
        <v>8272</v>
      </c>
      <c r="D868" s="8" t="n">
        <f aca="false">COUNTIF(Dishes!$M:$R,B868)</f>
        <v>1</v>
      </c>
      <c r="E868" s="8" t="n">
        <f aca="false">COUNTIF(Drinks!$N:$S,B868)</f>
        <v>0</v>
      </c>
      <c r="F868" s="8" t="n">
        <f aca="false">D868+E868</f>
        <v>1</v>
      </c>
    </row>
    <row r="869" customFormat="false" ht="15" hidden="false" customHeight="false" outlineLevel="0" collapsed="false">
      <c r="A869" s="8" t="s">
        <v>9138</v>
      </c>
      <c r="B869" s="8" t="s">
        <v>3213</v>
      </c>
      <c r="C869" s="8" t="s">
        <v>8298</v>
      </c>
      <c r="D869" s="8" t="n">
        <f aca="false">COUNTIF(Dishes!$M:$R,B869)</f>
        <v>1</v>
      </c>
      <c r="E869" s="8" t="n">
        <f aca="false">COUNTIF(Drinks!$N:$S,B869)</f>
        <v>0</v>
      </c>
      <c r="F869" s="8" t="n">
        <f aca="false">D869+E869</f>
        <v>1</v>
      </c>
    </row>
    <row r="870" customFormat="false" ht="15" hidden="false" customHeight="false" outlineLevel="0" collapsed="false">
      <c r="A870" s="8" t="s">
        <v>9139</v>
      </c>
      <c r="B870" s="8" t="s">
        <v>3622</v>
      </c>
      <c r="C870" s="8" t="s">
        <v>8265</v>
      </c>
      <c r="D870" s="8" t="n">
        <f aca="false">COUNTIF(Dishes!$M:$R,B870)</f>
        <v>1</v>
      </c>
      <c r="E870" s="8" t="n">
        <f aca="false">COUNTIF(Drinks!$N:$S,B870)</f>
        <v>0</v>
      </c>
      <c r="F870" s="8" t="n">
        <f aca="false">D870+E870</f>
        <v>1</v>
      </c>
    </row>
    <row r="871" customFormat="false" ht="15" hidden="false" customHeight="false" outlineLevel="0" collapsed="false">
      <c r="A871" s="8" t="s">
        <v>9140</v>
      </c>
      <c r="B871" s="8" t="s">
        <v>4871</v>
      </c>
      <c r="C871" s="8" t="s">
        <v>8272</v>
      </c>
      <c r="D871" s="8" t="n">
        <f aca="false">COUNTIF(Dishes!$M:$R,B871)</f>
        <v>1</v>
      </c>
      <c r="E871" s="8" t="n">
        <f aca="false">COUNTIF(Drinks!$N:$S,B871)</f>
        <v>0</v>
      </c>
      <c r="F871" s="8" t="n">
        <f aca="false">D871+E871</f>
        <v>1</v>
      </c>
    </row>
    <row r="872" customFormat="false" ht="15" hidden="false" customHeight="false" outlineLevel="0" collapsed="false">
      <c r="A872" s="8" t="s">
        <v>9141</v>
      </c>
      <c r="B872" s="8" t="s">
        <v>1409</v>
      </c>
      <c r="C872" s="8" t="s">
        <v>8287</v>
      </c>
      <c r="D872" s="8" t="n">
        <f aca="false">COUNTIF(Dishes!$M:$R,B872)</f>
        <v>1</v>
      </c>
      <c r="E872" s="8" t="n">
        <f aca="false">COUNTIF(Drinks!$N:$S,B872)</f>
        <v>0</v>
      </c>
      <c r="F872" s="8" t="n">
        <f aca="false">D872+E872</f>
        <v>1</v>
      </c>
    </row>
    <row r="873" customFormat="false" ht="15" hidden="false" customHeight="false" outlineLevel="0" collapsed="false">
      <c r="A873" s="8" t="s">
        <v>9142</v>
      </c>
      <c r="B873" s="8" t="s">
        <v>6404</v>
      </c>
      <c r="C873" s="8" t="s">
        <v>8272</v>
      </c>
      <c r="D873" s="8" t="n">
        <f aca="false">COUNTIF(Dishes!$M:$R,B873)</f>
        <v>0</v>
      </c>
      <c r="E873" s="8" t="n">
        <f aca="false">COUNTIF(Drinks!$N:$S,B873)</f>
        <v>1</v>
      </c>
      <c r="F873" s="8" t="n">
        <f aca="false">D873+E873</f>
        <v>1</v>
      </c>
    </row>
    <row r="874" customFormat="false" ht="15" hidden="false" customHeight="false" outlineLevel="0" collapsed="false">
      <c r="A874" s="8" t="s">
        <v>9143</v>
      </c>
      <c r="B874" s="8" t="s">
        <v>1542</v>
      </c>
      <c r="C874" s="8" t="s">
        <v>8287</v>
      </c>
      <c r="D874" s="8" t="n">
        <f aca="false">COUNTIF(Dishes!$M:$R,B874)</f>
        <v>2</v>
      </c>
      <c r="E874" s="8" t="n">
        <f aca="false">COUNTIF(Drinks!$N:$S,B874)</f>
        <v>0</v>
      </c>
      <c r="F874" s="8" t="n">
        <f aca="false">D874+E874</f>
        <v>2</v>
      </c>
    </row>
    <row r="875" customFormat="false" ht="15" hidden="false" customHeight="false" outlineLevel="0" collapsed="false">
      <c r="A875" s="8" t="s">
        <v>9144</v>
      </c>
      <c r="B875" s="8" t="s">
        <v>5803</v>
      </c>
      <c r="C875" s="8" t="s">
        <v>8257</v>
      </c>
      <c r="D875" s="8" t="n">
        <f aca="false">COUNTIF(Dishes!$M:$R,B875)</f>
        <v>2</v>
      </c>
      <c r="E875" s="8" t="n">
        <f aca="false">COUNTIF(Drinks!$N:$S,B875)</f>
        <v>0</v>
      </c>
      <c r="F875" s="8" t="n">
        <f aca="false">D875+E875</f>
        <v>2</v>
      </c>
    </row>
    <row r="876" customFormat="false" ht="15" hidden="false" customHeight="false" outlineLevel="0" collapsed="false">
      <c r="A876" s="8" t="s">
        <v>9145</v>
      </c>
      <c r="B876" s="8" t="s">
        <v>2572</v>
      </c>
      <c r="C876" s="8" t="s">
        <v>8272</v>
      </c>
      <c r="D876" s="8" t="n">
        <f aca="false">COUNTIF(Dishes!$M:$R,B876)</f>
        <v>1</v>
      </c>
      <c r="E876" s="8" t="n">
        <f aca="false">COUNTIF(Drinks!$N:$S,B876)</f>
        <v>0</v>
      </c>
      <c r="F876" s="8" t="n">
        <f aca="false">D876+E876</f>
        <v>1</v>
      </c>
    </row>
    <row r="877" customFormat="false" ht="15" hidden="false" customHeight="false" outlineLevel="0" collapsed="false">
      <c r="A877" s="8" t="s">
        <v>9146</v>
      </c>
      <c r="B877" s="8" t="s">
        <v>4776</v>
      </c>
      <c r="C877" s="8" t="s">
        <v>8265</v>
      </c>
      <c r="D877" s="8" t="n">
        <f aca="false">COUNTIF(Dishes!$M:$R,B877)</f>
        <v>8</v>
      </c>
      <c r="E877" s="8" t="n">
        <f aca="false">COUNTIF(Drinks!$N:$S,B877)</f>
        <v>0</v>
      </c>
      <c r="F877" s="8" t="n">
        <f aca="false">D877+E877</f>
        <v>8</v>
      </c>
    </row>
    <row r="878" customFormat="false" ht="15" hidden="false" customHeight="false" outlineLevel="0" collapsed="false">
      <c r="A878" s="8" t="s">
        <v>9147</v>
      </c>
      <c r="B878" s="8" t="s">
        <v>5346</v>
      </c>
      <c r="C878" s="8" t="s">
        <v>8261</v>
      </c>
      <c r="D878" s="8" t="n">
        <f aca="false">COUNTIF(Dishes!$M:$R,B878)</f>
        <v>1</v>
      </c>
      <c r="E878" s="8" t="n">
        <f aca="false">COUNTIF(Drinks!$N:$S,B878)</f>
        <v>0</v>
      </c>
      <c r="F878" s="8" t="n">
        <f aca="false">D878+E878</f>
        <v>1</v>
      </c>
    </row>
    <row r="879" customFormat="false" ht="15" hidden="false" customHeight="false" outlineLevel="0" collapsed="false">
      <c r="A879" s="8" t="s">
        <v>9148</v>
      </c>
      <c r="B879" s="8" t="s">
        <v>5820</v>
      </c>
      <c r="C879" s="8" t="s">
        <v>8272</v>
      </c>
      <c r="D879" s="8" t="n">
        <f aca="false">COUNTIF(Dishes!$M:$R,B879)</f>
        <v>1</v>
      </c>
      <c r="E879" s="8" t="n">
        <f aca="false">COUNTIF(Drinks!$N:$S,B879)</f>
        <v>0</v>
      </c>
      <c r="F879" s="8" t="n">
        <f aca="false">D879+E879</f>
        <v>1</v>
      </c>
    </row>
    <row r="880" customFormat="false" ht="15" hidden="false" customHeight="false" outlineLevel="0" collapsed="false">
      <c r="A880" s="8" t="s">
        <v>9149</v>
      </c>
      <c r="B880" s="8" t="s">
        <v>2317</v>
      </c>
      <c r="C880" s="8" t="s">
        <v>8257</v>
      </c>
      <c r="D880" s="8" t="n">
        <f aca="false">COUNTIF(Dishes!$M:$R,B880)</f>
        <v>19</v>
      </c>
      <c r="E880" s="8" t="n">
        <f aca="false">COUNTIF(Drinks!$N:$S,B880)</f>
        <v>0</v>
      </c>
      <c r="F880" s="8" t="n">
        <f aca="false">D880+E880</f>
        <v>19</v>
      </c>
    </row>
    <row r="881" customFormat="false" ht="15" hidden="false" customHeight="false" outlineLevel="0" collapsed="false">
      <c r="A881" s="8" t="s">
        <v>9150</v>
      </c>
      <c r="B881" s="8" t="s">
        <v>2661</v>
      </c>
      <c r="C881" s="8" t="s">
        <v>8298</v>
      </c>
      <c r="D881" s="8" t="n">
        <f aca="false">COUNTIF(Dishes!$M:$R,B881)</f>
        <v>1</v>
      </c>
      <c r="E881" s="8" t="n">
        <f aca="false">COUNTIF(Drinks!$N:$S,B881)</f>
        <v>0</v>
      </c>
      <c r="F881" s="8" t="n">
        <f aca="false">D881+E881</f>
        <v>1</v>
      </c>
    </row>
    <row r="882" customFormat="false" ht="15" hidden="false" customHeight="false" outlineLevel="0" collapsed="false">
      <c r="A882" s="8" t="s">
        <v>9151</v>
      </c>
      <c r="B882" s="8" t="s">
        <v>3843</v>
      </c>
      <c r="C882" s="8" t="s">
        <v>8272</v>
      </c>
      <c r="D882" s="8" t="n">
        <f aca="false">COUNTIF(Dishes!$M:$R,B882)</f>
        <v>2</v>
      </c>
      <c r="E882" s="8" t="n">
        <f aca="false">COUNTIF(Drinks!$N:$S,B882)</f>
        <v>0</v>
      </c>
      <c r="F882" s="8" t="n">
        <f aca="false">D882+E882</f>
        <v>2</v>
      </c>
    </row>
    <row r="883" customFormat="false" ht="15" hidden="false" customHeight="false" outlineLevel="0" collapsed="false">
      <c r="A883" s="8" t="s">
        <v>9152</v>
      </c>
      <c r="B883" s="8" t="s">
        <v>3276</v>
      </c>
      <c r="C883" s="8" t="s">
        <v>8276</v>
      </c>
      <c r="D883" s="8" t="n">
        <f aca="false">COUNTIF(Dishes!$M:$R,B883)</f>
        <v>1</v>
      </c>
      <c r="E883" s="8" t="n">
        <f aca="false">COUNTIF(Drinks!$N:$S,B883)</f>
        <v>0</v>
      </c>
      <c r="F883" s="8" t="n">
        <f aca="false">D883+E883</f>
        <v>1</v>
      </c>
    </row>
    <row r="884" customFormat="false" ht="15" hidden="false" customHeight="false" outlineLevel="0" collapsed="false">
      <c r="A884" s="8" t="s">
        <v>9153</v>
      </c>
      <c r="B884" s="8" t="s">
        <v>6198</v>
      </c>
      <c r="C884" s="8" t="s">
        <v>8268</v>
      </c>
      <c r="D884" s="8" t="n">
        <f aca="false">COUNTIF(Dishes!$M:$R,B884)</f>
        <v>0</v>
      </c>
      <c r="E884" s="8" t="n">
        <f aca="false">COUNTIF(Drinks!$N:$S,B884)</f>
        <v>3</v>
      </c>
      <c r="F884" s="8" t="n">
        <f aca="false">D884+E884</f>
        <v>3</v>
      </c>
    </row>
    <row r="885" customFormat="false" ht="15" hidden="false" customHeight="false" outlineLevel="0" collapsed="false">
      <c r="A885" s="8" t="s">
        <v>9154</v>
      </c>
      <c r="B885" s="8" t="s">
        <v>1296</v>
      </c>
      <c r="C885" s="8" t="s">
        <v>8259</v>
      </c>
      <c r="D885" s="8" t="n">
        <f aca="false">COUNTIF(Dishes!$M:$R,B885)</f>
        <v>1</v>
      </c>
      <c r="E885" s="8" t="n">
        <f aca="false">COUNTIF(Drinks!$N:$S,B885)</f>
        <v>0</v>
      </c>
      <c r="F885" s="8" t="n">
        <f aca="false">D885+E885</f>
        <v>1</v>
      </c>
    </row>
    <row r="886" customFormat="false" ht="15" hidden="false" customHeight="false" outlineLevel="0" collapsed="false">
      <c r="A886" s="8" t="s">
        <v>9155</v>
      </c>
      <c r="B886" s="8" t="s">
        <v>7145</v>
      </c>
      <c r="C886" s="8" t="s">
        <v>8344</v>
      </c>
      <c r="D886" s="8" t="n">
        <f aca="false">COUNTIF(Dishes!$M:$R,B886)</f>
        <v>0</v>
      </c>
      <c r="E886" s="8" t="n">
        <f aca="false">COUNTIF(Drinks!$N:$S,B886)</f>
        <v>1</v>
      </c>
      <c r="F886" s="8" t="n">
        <f aca="false">D886+E886</f>
        <v>1</v>
      </c>
    </row>
    <row r="887" customFormat="false" ht="15" hidden="false" customHeight="false" outlineLevel="0" collapsed="false">
      <c r="A887" s="8" t="s">
        <v>9156</v>
      </c>
      <c r="B887" s="8" t="s">
        <v>823</v>
      </c>
      <c r="C887" s="8" t="s">
        <v>8257</v>
      </c>
      <c r="D887" s="8" t="n">
        <f aca="false">COUNTIF(Dishes!$M:$R,B887)</f>
        <v>1</v>
      </c>
      <c r="E887" s="8" t="n">
        <f aca="false">COUNTIF(Drinks!$N:$S,B887)</f>
        <v>0</v>
      </c>
      <c r="F887" s="8" t="n">
        <f aca="false">D887+E887</f>
        <v>1</v>
      </c>
    </row>
    <row r="888" customFormat="false" ht="15" hidden="false" customHeight="false" outlineLevel="0" collapsed="false">
      <c r="A888" s="8" t="s">
        <v>9157</v>
      </c>
      <c r="B888" s="8" t="s">
        <v>4356</v>
      </c>
      <c r="C888" s="8" t="s">
        <v>8257</v>
      </c>
      <c r="D888" s="8" t="n">
        <f aca="false">COUNTIF(Dishes!$M:$R,B888)</f>
        <v>1</v>
      </c>
      <c r="E888" s="8" t="n">
        <f aca="false">COUNTIF(Drinks!$N:$S,B888)</f>
        <v>0</v>
      </c>
      <c r="F888" s="8" t="n">
        <f aca="false">D888+E888</f>
        <v>1</v>
      </c>
    </row>
    <row r="889" customFormat="false" ht="15" hidden="false" customHeight="false" outlineLevel="0" collapsed="false">
      <c r="A889" s="8" t="s">
        <v>9158</v>
      </c>
      <c r="B889" s="8" t="s">
        <v>1969</v>
      </c>
      <c r="C889" s="8" t="s">
        <v>8287</v>
      </c>
      <c r="D889" s="8" t="n">
        <f aca="false">COUNTIF(Dishes!$M:$R,B889)</f>
        <v>6</v>
      </c>
      <c r="E889" s="8" t="n">
        <f aca="false">COUNTIF(Drinks!$N:$S,B889)</f>
        <v>0</v>
      </c>
      <c r="F889" s="8" t="n">
        <f aca="false">D889+E889</f>
        <v>6</v>
      </c>
    </row>
    <row r="890" customFormat="false" ht="15" hidden="false" customHeight="false" outlineLevel="0" collapsed="false">
      <c r="A890" s="8" t="s">
        <v>9159</v>
      </c>
      <c r="B890" s="8" t="s">
        <v>5634</v>
      </c>
      <c r="C890" s="8" t="s">
        <v>8276</v>
      </c>
      <c r="D890" s="8" t="n">
        <f aca="false">COUNTIF(Dishes!$M:$R,B890)</f>
        <v>1</v>
      </c>
      <c r="E890" s="8" t="n">
        <f aca="false">COUNTIF(Drinks!$N:$S,B890)</f>
        <v>0</v>
      </c>
      <c r="F890" s="8" t="n">
        <f aca="false">D890+E890</f>
        <v>1</v>
      </c>
    </row>
    <row r="891" customFormat="false" ht="15" hidden="false" customHeight="false" outlineLevel="0" collapsed="false">
      <c r="A891" s="8" t="s">
        <v>9160</v>
      </c>
      <c r="B891" s="8" t="s">
        <v>5267</v>
      </c>
      <c r="C891" s="8" t="s">
        <v>8276</v>
      </c>
      <c r="D891" s="8" t="n">
        <f aca="false">COUNTIF(Dishes!$M:$R,B891)</f>
        <v>1</v>
      </c>
      <c r="E891" s="8" t="n">
        <f aca="false">COUNTIF(Drinks!$N:$S,B891)</f>
        <v>0</v>
      </c>
      <c r="F891" s="8" t="n">
        <f aca="false">D891+E891</f>
        <v>1</v>
      </c>
    </row>
    <row r="892" customFormat="false" ht="15" hidden="false" customHeight="false" outlineLevel="0" collapsed="false">
      <c r="A892" s="8" t="s">
        <v>9161</v>
      </c>
      <c r="B892" s="8" t="s">
        <v>5198</v>
      </c>
      <c r="C892" s="8" t="s">
        <v>8272</v>
      </c>
      <c r="D892" s="8" t="n">
        <f aca="false">COUNTIF(Dishes!$M:$R,B892)</f>
        <v>1</v>
      </c>
      <c r="E892" s="8" t="n">
        <f aca="false">COUNTIF(Drinks!$N:$S,B892)</f>
        <v>0</v>
      </c>
      <c r="F892" s="8" t="n">
        <f aca="false">D892+E892</f>
        <v>1</v>
      </c>
    </row>
    <row r="893" customFormat="false" ht="15" hidden="false" customHeight="false" outlineLevel="0" collapsed="false">
      <c r="A893" s="8" t="s">
        <v>9162</v>
      </c>
      <c r="B893" s="8" t="s">
        <v>4528</v>
      </c>
      <c r="C893" s="8" t="s">
        <v>8272</v>
      </c>
      <c r="D893" s="8" t="n">
        <f aca="false">COUNTIF(Dishes!$M:$R,B893)</f>
        <v>4</v>
      </c>
      <c r="E893" s="8" t="n">
        <f aca="false">COUNTIF(Drinks!$N:$S,B893)</f>
        <v>0</v>
      </c>
      <c r="F893" s="8" t="n">
        <f aca="false">D893+E893</f>
        <v>4</v>
      </c>
    </row>
    <row r="894" customFormat="false" ht="15" hidden="false" customHeight="false" outlineLevel="0" collapsed="false">
      <c r="A894" s="8" t="s">
        <v>9163</v>
      </c>
      <c r="B894" s="8" t="s">
        <v>1781</v>
      </c>
      <c r="C894" s="8" t="s">
        <v>8287</v>
      </c>
      <c r="D894" s="8" t="n">
        <f aca="false">COUNTIF(Dishes!$M:$R,B894)</f>
        <v>11</v>
      </c>
      <c r="E894" s="8" t="n">
        <f aca="false">COUNTIF(Drinks!$N:$S,B894)</f>
        <v>0</v>
      </c>
      <c r="F894" s="8" t="n">
        <f aca="false">D894+E894</f>
        <v>11</v>
      </c>
    </row>
    <row r="895" customFormat="false" ht="15" hidden="false" customHeight="false" outlineLevel="0" collapsed="false">
      <c r="A895" s="8" t="s">
        <v>9164</v>
      </c>
      <c r="B895" s="8" t="s">
        <v>3250</v>
      </c>
      <c r="C895" s="8" t="s">
        <v>8272</v>
      </c>
      <c r="D895" s="8" t="n">
        <f aca="false">COUNTIF(Dishes!$M:$R,B895)</f>
        <v>1</v>
      </c>
      <c r="E895" s="8" t="n">
        <f aca="false">COUNTIF(Drinks!$N:$S,B895)</f>
        <v>0</v>
      </c>
      <c r="F895" s="8" t="n">
        <f aca="false">D895+E895</f>
        <v>1</v>
      </c>
    </row>
    <row r="896" customFormat="false" ht="15" hidden="false" customHeight="false" outlineLevel="0" collapsed="false">
      <c r="A896" s="8" t="s">
        <v>9165</v>
      </c>
      <c r="B896" s="8" t="s">
        <v>3703</v>
      </c>
      <c r="C896" s="8" t="s">
        <v>8272</v>
      </c>
      <c r="D896" s="8" t="n">
        <f aca="false">COUNTIF(Dishes!$M:$R,B896)</f>
        <v>1</v>
      </c>
      <c r="E896" s="8" t="n">
        <f aca="false">COUNTIF(Drinks!$N:$S,B896)</f>
        <v>0</v>
      </c>
      <c r="F896" s="8" t="n">
        <f aca="false">D896+E896</f>
        <v>1</v>
      </c>
    </row>
    <row r="897" customFormat="false" ht="15" hidden="false" customHeight="false" outlineLevel="0" collapsed="false">
      <c r="A897" s="8" t="s">
        <v>9166</v>
      </c>
      <c r="B897" s="8" t="s">
        <v>824</v>
      </c>
      <c r="C897" s="8" t="s">
        <v>8298</v>
      </c>
      <c r="D897" s="8" t="n">
        <f aca="false">COUNTIF(Dishes!$M:$R,B897)</f>
        <v>1</v>
      </c>
      <c r="E897" s="8" t="n">
        <f aca="false">COUNTIF(Drinks!$N:$S,B897)</f>
        <v>0</v>
      </c>
      <c r="F897" s="8" t="n">
        <f aca="false">D897+E897</f>
        <v>1</v>
      </c>
    </row>
    <row r="898" customFormat="false" ht="15" hidden="false" customHeight="false" outlineLevel="0" collapsed="false">
      <c r="A898" s="8" t="s">
        <v>9167</v>
      </c>
      <c r="B898" s="8" t="s">
        <v>5256</v>
      </c>
      <c r="C898" s="8" t="s">
        <v>8265</v>
      </c>
      <c r="D898" s="8" t="n">
        <f aca="false">COUNTIF(Dishes!$M:$R,B898)</f>
        <v>1</v>
      </c>
      <c r="E898" s="8" t="n">
        <f aca="false">COUNTIF(Drinks!$N:$S,B898)</f>
        <v>0</v>
      </c>
      <c r="F898" s="8" t="n">
        <f aca="false">D898+E898</f>
        <v>1</v>
      </c>
    </row>
    <row r="899" customFormat="false" ht="15" hidden="false" customHeight="false" outlineLevel="0" collapsed="false">
      <c r="A899" s="8" t="s">
        <v>9168</v>
      </c>
      <c r="B899" s="8" t="s">
        <v>3200</v>
      </c>
      <c r="C899" s="8" t="s">
        <v>8257</v>
      </c>
      <c r="D899" s="8" t="n">
        <f aca="false">COUNTIF(Dishes!$M:$R,B899)</f>
        <v>1</v>
      </c>
      <c r="E899" s="8" t="n">
        <f aca="false">COUNTIF(Drinks!$N:$S,B899)</f>
        <v>0</v>
      </c>
      <c r="F899" s="8" t="n">
        <f aca="false">D899+E899</f>
        <v>1</v>
      </c>
    </row>
    <row r="900" customFormat="false" ht="15" hidden="false" customHeight="false" outlineLevel="0" collapsed="false">
      <c r="A900" s="8" t="s">
        <v>9169</v>
      </c>
      <c r="B900" s="8" t="s">
        <v>1014</v>
      </c>
      <c r="C900" s="8" t="s">
        <v>8259</v>
      </c>
      <c r="D900" s="8" t="n">
        <f aca="false">COUNTIF(Dishes!$M:$R,B900)</f>
        <v>3</v>
      </c>
      <c r="E900" s="8" t="n">
        <f aca="false">COUNTIF(Drinks!$N:$S,B900)</f>
        <v>2</v>
      </c>
      <c r="F900" s="8" t="n">
        <f aca="false">D900+E900</f>
        <v>5</v>
      </c>
    </row>
    <row r="901" customFormat="false" ht="15" hidden="false" customHeight="false" outlineLevel="0" collapsed="false">
      <c r="A901" s="8" t="s">
        <v>9170</v>
      </c>
      <c r="B901" s="8" t="s">
        <v>4216</v>
      </c>
      <c r="C901" s="8" t="s">
        <v>8276</v>
      </c>
      <c r="D901" s="8" t="n">
        <f aca="false">COUNTIF(Dishes!$M:$R,B901)</f>
        <v>2</v>
      </c>
      <c r="E901" s="8" t="n">
        <f aca="false">COUNTIF(Drinks!$N:$S,B901)</f>
        <v>0</v>
      </c>
      <c r="F901" s="8" t="n">
        <f aca="false">D901+E901</f>
        <v>2</v>
      </c>
    </row>
    <row r="902" customFormat="false" ht="15" hidden="false" customHeight="false" outlineLevel="0" collapsed="false">
      <c r="A902" s="8" t="s">
        <v>9171</v>
      </c>
      <c r="B902" s="8" t="s">
        <v>2716</v>
      </c>
      <c r="C902" s="8" t="s">
        <v>8272</v>
      </c>
      <c r="D902" s="8" t="n">
        <f aca="false">COUNTIF(Dishes!$M:$R,B902)</f>
        <v>1</v>
      </c>
      <c r="E902" s="8" t="n">
        <f aca="false">COUNTIF(Drinks!$N:$S,B902)</f>
        <v>0</v>
      </c>
      <c r="F902" s="8" t="n">
        <f aca="false">D902+E902</f>
        <v>1</v>
      </c>
    </row>
    <row r="903" customFormat="false" ht="15" hidden="false" customHeight="false" outlineLevel="0" collapsed="false">
      <c r="A903" s="8" t="s">
        <v>9172</v>
      </c>
      <c r="B903" s="8" t="s">
        <v>1257</v>
      </c>
      <c r="C903" s="8" t="s">
        <v>8272</v>
      </c>
      <c r="D903" s="8" t="n">
        <f aca="false">COUNTIF(Dishes!$M:$R,B903)</f>
        <v>1</v>
      </c>
      <c r="E903" s="8" t="n">
        <f aca="false">COUNTIF(Drinks!$N:$S,B903)</f>
        <v>0</v>
      </c>
      <c r="F903" s="8" t="n">
        <f aca="false">D903+E903</f>
        <v>1</v>
      </c>
    </row>
    <row r="904" customFormat="false" ht="15" hidden="false" customHeight="false" outlineLevel="0" collapsed="false">
      <c r="A904" s="8" t="s">
        <v>9173</v>
      </c>
      <c r="B904" s="8" t="s">
        <v>6681</v>
      </c>
      <c r="C904" s="8" t="s">
        <v>8265</v>
      </c>
      <c r="D904" s="8" t="n">
        <f aca="false">COUNTIF(Dishes!$M:$R,B904)</f>
        <v>0</v>
      </c>
      <c r="E904" s="8" t="n">
        <f aca="false">COUNTIF(Drinks!$N:$S,B904)</f>
        <v>5</v>
      </c>
      <c r="F904" s="8" t="n">
        <f aca="false">D904+E904</f>
        <v>5</v>
      </c>
    </row>
    <row r="905" customFormat="false" ht="15" hidden="false" customHeight="false" outlineLevel="0" collapsed="false">
      <c r="A905" s="8" t="s">
        <v>9174</v>
      </c>
      <c r="B905" s="8" t="s">
        <v>5794</v>
      </c>
      <c r="C905" s="8" t="s">
        <v>8272</v>
      </c>
      <c r="D905" s="8" t="n">
        <f aca="false">COUNTIF(Dishes!$M:$R,B905)</f>
        <v>1</v>
      </c>
      <c r="E905" s="8" t="n">
        <f aca="false">COUNTIF(Drinks!$N:$S,B905)</f>
        <v>0</v>
      </c>
      <c r="F905" s="8" t="n">
        <f aca="false">D905+E905</f>
        <v>1</v>
      </c>
    </row>
    <row r="906" customFormat="false" ht="15" hidden="false" customHeight="false" outlineLevel="0" collapsed="false">
      <c r="A906" s="8" t="s">
        <v>9175</v>
      </c>
      <c r="B906" s="8" t="s">
        <v>1860</v>
      </c>
      <c r="C906" s="8" t="s">
        <v>8272</v>
      </c>
      <c r="D906" s="8" t="n">
        <f aca="false">COUNTIF(Dishes!$M:$R,B906)</f>
        <v>1</v>
      </c>
      <c r="E906" s="8" t="n">
        <f aca="false">COUNTIF(Drinks!$N:$S,B906)</f>
        <v>0</v>
      </c>
      <c r="F906" s="8" t="n">
        <f aca="false">D906+E906</f>
        <v>1</v>
      </c>
    </row>
    <row r="907" customFormat="false" ht="15" hidden="false" customHeight="false" outlineLevel="0" collapsed="false">
      <c r="A907" s="8" t="s">
        <v>9176</v>
      </c>
      <c r="B907" s="8" t="s">
        <v>2624</v>
      </c>
      <c r="C907" s="8" t="s">
        <v>8272</v>
      </c>
      <c r="D907" s="8" t="n">
        <f aca="false">COUNTIF(Dishes!$M:$R,B907)</f>
        <v>3</v>
      </c>
      <c r="E907" s="8" t="n">
        <f aca="false">COUNTIF(Drinks!$N:$S,B907)</f>
        <v>0</v>
      </c>
      <c r="F907" s="8" t="n">
        <f aca="false">D907+E907</f>
        <v>3</v>
      </c>
    </row>
    <row r="908" customFormat="false" ht="15" hidden="false" customHeight="false" outlineLevel="0" collapsed="false">
      <c r="A908" s="8" t="s">
        <v>9177</v>
      </c>
      <c r="B908" s="8" t="s">
        <v>5842</v>
      </c>
      <c r="C908" s="8" t="s">
        <v>8274</v>
      </c>
      <c r="D908" s="8" t="n">
        <f aca="false">COUNTIF(Dishes!$M:$R,B908)</f>
        <v>1</v>
      </c>
      <c r="E908" s="8" t="n">
        <f aca="false">COUNTIF(Drinks!$N:$S,B908)</f>
        <v>0</v>
      </c>
      <c r="F908" s="8" t="n">
        <f aca="false">D908+E908</f>
        <v>1</v>
      </c>
    </row>
    <row r="909" customFormat="false" ht="15" hidden="false" customHeight="false" outlineLevel="0" collapsed="false">
      <c r="A909" s="8" t="s">
        <v>9178</v>
      </c>
      <c r="B909" s="8" t="s">
        <v>773</v>
      </c>
      <c r="C909" s="8" t="s">
        <v>8265</v>
      </c>
      <c r="D909" s="8" t="n">
        <f aca="false">COUNTIF(Dishes!$M:$R,B909)</f>
        <v>1</v>
      </c>
      <c r="E909" s="8" t="n">
        <f aca="false">COUNTIF(Drinks!$N:$S,B909)</f>
        <v>0</v>
      </c>
      <c r="F909" s="8" t="n">
        <f aca="false">D909+E909</f>
        <v>1</v>
      </c>
    </row>
    <row r="910" customFormat="false" ht="15" hidden="false" customHeight="false" outlineLevel="0" collapsed="false">
      <c r="A910" s="8" t="s">
        <v>9179</v>
      </c>
      <c r="B910" s="8" t="s">
        <v>4694</v>
      </c>
      <c r="C910" s="8" t="s">
        <v>8261</v>
      </c>
      <c r="D910" s="8" t="n">
        <f aca="false">COUNTIF(Dishes!$M:$R,B910)</f>
        <v>1</v>
      </c>
      <c r="E910" s="8" t="n">
        <f aca="false">COUNTIF(Drinks!$N:$S,B910)</f>
        <v>1</v>
      </c>
      <c r="F910" s="8" t="n">
        <f aca="false">D910+E910</f>
        <v>2</v>
      </c>
    </row>
    <row r="911" customFormat="false" ht="15" hidden="false" customHeight="false" outlineLevel="0" collapsed="false">
      <c r="A911" s="8" t="s">
        <v>9180</v>
      </c>
      <c r="B911" s="8" t="s">
        <v>5717</v>
      </c>
      <c r="C911" s="8" t="s">
        <v>8265</v>
      </c>
      <c r="D911" s="8" t="n">
        <f aca="false">COUNTIF(Dishes!$M:$R,B911)</f>
        <v>1</v>
      </c>
      <c r="E911" s="8" t="n">
        <f aca="false">COUNTIF(Drinks!$N:$S,B911)</f>
        <v>0</v>
      </c>
      <c r="F911" s="8" t="n">
        <f aca="false">D911+E911</f>
        <v>1</v>
      </c>
    </row>
    <row r="912" customFormat="false" ht="15" hidden="false" customHeight="false" outlineLevel="0" collapsed="false">
      <c r="A912" s="8" t="s">
        <v>9181</v>
      </c>
      <c r="B912" s="8" t="s">
        <v>6812</v>
      </c>
      <c r="C912" s="8" t="s">
        <v>8344</v>
      </c>
      <c r="D912" s="8" t="n">
        <f aca="false">COUNTIF(Dishes!$M:$R,B912)</f>
        <v>0</v>
      </c>
      <c r="E912" s="8" t="n">
        <f aca="false">COUNTIF(Drinks!$N:$S,B912)</f>
        <v>1</v>
      </c>
      <c r="F912" s="8" t="n">
        <f aca="false">D912+E912</f>
        <v>1</v>
      </c>
    </row>
    <row r="913" customFormat="false" ht="15" hidden="false" customHeight="false" outlineLevel="0" collapsed="false">
      <c r="A913" s="8" t="s">
        <v>9182</v>
      </c>
      <c r="B913" s="8" t="s">
        <v>6896</v>
      </c>
      <c r="C913" s="8" t="s">
        <v>8344</v>
      </c>
      <c r="D913" s="8" t="n">
        <f aca="false">COUNTIF(Dishes!$M:$R,B913)</f>
        <v>0</v>
      </c>
      <c r="E913" s="8" t="n">
        <f aca="false">COUNTIF(Drinks!$N:$S,B913)</f>
        <v>1</v>
      </c>
      <c r="F913" s="8" t="n">
        <f aca="false">D913+E913</f>
        <v>1</v>
      </c>
    </row>
    <row r="914" customFormat="false" ht="15" hidden="false" customHeight="false" outlineLevel="0" collapsed="false">
      <c r="A914" s="8" t="s">
        <v>9183</v>
      </c>
      <c r="B914" s="8" t="s">
        <v>1574</v>
      </c>
      <c r="C914" s="8" t="s">
        <v>8287</v>
      </c>
      <c r="D914" s="8" t="n">
        <f aca="false">COUNTIF(Dishes!$M:$R,B914)</f>
        <v>1</v>
      </c>
      <c r="E914" s="8" t="n">
        <f aca="false">COUNTIF(Drinks!$N:$S,B914)</f>
        <v>0</v>
      </c>
      <c r="F914" s="8" t="n">
        <f aca="false">D914+E914</f>
        <v>1</v>
      </c>
    </row>
    <row r="915" customFormat="false" ht="15" hidden="false" customHeight="false" outlineLevel="0" collapsed="false">
      <c r="A915" s="8" t="s">
        <v>9184</v>
      </c>
      <c r="B915" s="8" t="s">
        <v>2524</v>
      </c>
      <c r="C915" s="8" t="s">
        <v>8272</v>
      </c>
      <c r="D915" s="8" t="n">
        <f aca="false">COUNTIF(Dishes!$M:$R,B915)</f>
        <v>1</v>
      </c>
      <c r="E915" s="8" t="n">
        <f aca="false">COUNTIF(Drinks!$N:$S,B915)</f>
        <v>0</v>
      </c>
      <c r="F915" s="8" t="n">
        <f aca="false">D915+E915</f>
        <v>1</v>
      </c>
    </row>
    <row r="916" customFormat="false" ht="15" hidden="false" customHeight="false" outlineLevel="0" collapsed="false">
      <c r="A916" s="8" t="s">
        <v>9185</v>
      </c>
      <c r="B916" s="8" t="s">
        <v>3596</v>
      </c>
      <c r="C916" s="8" t="s">
        <v>8272</v>
      </c>
      <c r="D916" s="8" t="n">
        <f aca="false">COUNTIF(Dishes!$M:$R,B916)</f>
        <v>1</v>
      </c>
      <c r="E916" s="8" t="n">
        <f aca="false">COUNTIF(Drinks!$N:$S,B916)</f>
        <v>0</v>
      </c>
      <c r="F916" s="8" t="n">
        <f aca="false">D916+E916</f>
        <v>1</v>
      </c>
    </row>
    <row r="917" customFormat="false" ht="15" hidden="false" customHeight="false" outlineLevel="0" collapsed="false">
      <c r="A917" s="8" t="s">
        <v>9186</v>
      </c>
      <c r="B917" s="8" t="s">
        <v>911</v>
      </c>
      <c r="C917" s="8" t="s">
        <v>8287</v>
      </c>
      <c r="D917" s="8" t="n">
        <f aca="false">COUNTIF(Dishes!$M:$R,B917)</f>
        <v>1</v>
      </c>
      <c r="E917" s="8" t="n">
        <f aca="false">COUNTIF(Drinks!$N:$S,B917)</f>
        <v>0</v>
      </c>
      <c r="F917" s="8" t="n">
        <f aca="false">D917+E917</f>
        <v>1</v>
      </c>
    </row>
    <row r="918" customFormat="false" ht="15" hidden="false" customHeight="false" outlineLevel="0" collapsed="false">
      <c r="A918" s="8" t="s">
        <v>9187</v>
      </c>
      <c r="B918" s="8" t="s">
        <v>4561</v>
      </c>
      <c r="C918" s="8" t="s">
        <v>8276</v>
      </c>
      <c r="D918" s="8" t="n">
        <f aca="false">COUNTIF(Dishes!$M:$R,B918)</f>
        <v>1</v>
      </c>
      <c r="E918" s="8" t="n">
        <f aca="false">COUNTIF(Drinks!$N:$S,B918)</f>
        <v>0</v>
      </c>
      <c r="F918" s="8" t="n">
        <f aca="false">D918+E918</f>
        <v>1</v>
      </c>
    </row>
    <row r="919" customFormat="false" ht="15" hidden="false" customHeight="false" outlineLevel="0" collapsed="false">
      <c r="A919" s="8" t="s">
        <v>9188</v>
      </c>
      <c r="B919" s="8" t="s">
        <v>6038</v>
      </c>
      <c r="C919" s="8" t="s">
        <v>8282</v>
      </c>
      <c r="D919" s="8" t="n">
        <f aca="false">COUNTIF(Dishes!$M:$R,B919)</f>
        <v>0</v>
      </c>
      <c r="E919" s="8" t="n">
        <f aca="false">COUNTIF(Drinks!$N:$S,B919)</f>
        <v>11</v>
      </c>
      <c r="F919" s="8" t="n">
        <f aca="false">D919+E919</f>
        <v>11</v>
      </c>
    </row>
    <row r="920" customFormat="false" ht="15" hidden="false" customHeight="false" outlineLevel="0" collapsed="false">
      <c r="A920" s="8" t="s">
        <v>9189</v>
      </c>
      <c r="B920" s="8" t="s">
        <v>1877</v>
      </c>
      <c r="C920" s="8" t="s">
        <v>8282</v>
      </c>
      <c r="D920" s="8" t="n">
        <f aca="false">COUNTIF(Dishes!$M:$R,B920)</f>
        <v>1</v>
      </c>
      <c r="E920" s="8" t="n">
        <f aca="false">COUNTIF(Drinks!$N:$S,B920)</f>
        <v>0</v>
      </c>
      <c r="F920" s="8" t="n">
        <f aca="false">D920+E920</f>
        <v>1</v>
      </c>
    </row>
    <row r="921" customFormat="false" ht="15" hidden="false" customHeight="false" outlineLevel="0" collapsed="false">
      <c r="A921" s="8" t="s">
        <v>9190</v>
      </c>
      <c r="B921" s="8" t="s">
        <v>6581</v>
      </c>
      <c r="C921" s="8" t="s">
        <v>8263</v>
      </c>
      <c r="D921" s="8" t="n">
        <f aca="false">COUNTIF(Dishes!$M:$R,B921)</f>
        <v>0</v>
      </c>
      <c r="E921" s="8" t="n">
        <f aca="false">COUNTIF(Drinks!$N:$S,B921)</f>
        <v>1</v>
      </c>
      <c r="F921" s="8" t="n">
        <f aca="false">D921+E921</f>
        <v>1</v>
      </c>
    </row>
    <row r="922" customFormat="false" ht="15" hidden="false" customHeight="false" outlineLevel="0" collapsed="false">
      <c r="A922" s="8" t="s">
        <v>9191</v>
      </c>
      <c r="B922" s="8" t="s">
        <v>4903</v>
      </c>
      <c r="C922" s="8" t="s">
        <v>8265</v>
      </c>
      <c r="D922" s="8" t="n">
        <f aca="false">COUNTIF(Dishes!$M:$R,B922)</f>
        <v>1</v>
      </c>
      <c r="E922" s="8" t="n">
        <f aca="false">COUNTIF(Drinks!$N:$S,B922)</f>
        <v>0</v>
      </c>
      <c r="F922" s="8" t="n">
        <f aca="false">D922+E922</f>
        <v>1</v>
      </c>
    </row>
    <row r="923" customFormat="false" ht="15" hidden="false" customHeight="false" outlineLevel="0" collapsed="false">
      <c r="A923" s="8" t="s">
        <v>9192</v>
      </c>
      <c r="B923" s="8" t="s">
        <v>5655</v>
      </c>
      <c r="C923" s="8" t="s">
        <v>8259</v>
      </c>
      <c r="D923" s="8" t="n">
        <f aca="false">COUNTIF(Dishes!$M:$R,B923)</f>
        <v>2</v>
      </c>
      <c r="E923" s="8" t="n">
        <f aca="false">COUNTIF(Drinks!$N:$S,B923)</f>
        <v>0</v>
      </c>
      <c r="F923" s="8" t="n">
        <f aca="false">D923+E923</f>
        <v>2</v>
      </c>
    </row>
    <row r="924" customFormat="false" ht="15" hidden="false" customHeight="false" outlineLevel="0" collapsed="false">
      <c r="A924" s="8" t="s">
        <v>9193</v>
      </c>
      <c r="B924" s="8" t="s">
        <v>5018</v>
      </c>
      <c r="C924" s="8" t="s">
        <v>8259</v>
      </c>
      <c r="D924" s="8" t="n">
        <f aca="false">COUNTIF(Dishes!$M:$R,B924)</f>
        <v>1</v>
      </c>
      <c r="E924" s="8" t="n">
        <f aca="false">COUNTIF(Drinks!$N:$S,B924)</f>
        <v>0</v>
      </c>
      <c r="F924" s="8" t="n">
        <f aca="false">D924+E924</f>
        <v>1</v>
      </c>
    </row>
    <row r="925" customFormat="false" ht="15" hidden="false" customHeight="false" outlineLevel="0" collapsed="false">
      <c r="A925" s="8" t="s">
        <v>9194</v>
      </c>
      <c r="B925" s="8" t="s">
        <v>699</v>
      </c>
      <c r="C925" s="8" t="s">
        <v>8272</v>
      </c>
      <c r="D925" s="8" t="n">
        <f aca="false">COUNTIF(Dishes!$M:$R,B925)</f>
        <v>1</v>
      </c>
      <c r="E925" s="8" t="n">
        <f aca="false">COUNTIF(Drinks!$N:$S,B925)</f>
        <v>0</v>
      </c>
      <c r="F925" s="8" t="n">
        <f aca="false">D925+E925</f>
        <v>1</v>
      </c>
    </row>
    <row r="926" customFormat="false" ht="15" hidden="false" customHeight="false" outlineLevel="0" collapsed="false">
      <c r="A926" s="8" t="s">
        <v>9195</v>
      </c>
      <c r="B926" s="8" t="s">
        <v>4511</v>
      </c>
      <c r="C926" s="8" t="s">
        <v>8287</v>
      </c>
      <c r="D926" s="8" t="n">
        <f aca="false">COUNTIF(Dishes!$M:$R,B926)</f>
        <v>1</v>
      </c>
      <c r="E926" s="8" t="n">
        <f aca="false">COUNTIF(Drinks!$N:$S,B926)</f>
        <v>0</v>
      </c>
      <c r="F926" s="8" t="n">
        <f aca="false">D926+E926</f>
        <v>1</v>
      </c>
    </row>
    <row r="927" customFormat="false" ht="15" hidden="false" customHeight="false" outlineLevel="0" collapsed="false">
      <c r="A927" s="8" t="s">
        <v>9196</v>
      </c>
      <c r="B927" s="8" t="s">
        <v>3702</v>
      </c>
      <c r="C927" s="8" t="s">
        <v>8257</v>
      </c>
      <c r="D927" s="8" t="n">
        <f aca="false">COUNTIF(Dishes!$M:$R,B927)</f>
        <v>1</v>
      </c>
      <c r="E927" s="8" t="n">
        <f aca="false">COUNTIF(Drinks!$N:$S,B927)</f>
        <v>0</v>
      </c>
      <c r="F927" s="8" t="n">
        <f aca="false">D927+E927</f>
        <v>1</v>
      </c>
    </row>
    <row r="928" customFormat="false" ht="15" hidden="false" customHeight="false" outlineLevel="0" collapsed="false">
      <c r="A928" s="8" t="s">
        <v>9197</v>
      </c>
      <c r="B928" s="8" t="s">
        <v>2891</v>
      </c>
      <c r="C928" s="8" t="s">
        <v>8287</v>
      </c>
      <c r="D928" s="8" t="n">
        <f aca="false">COUNTIF(Dishes!$M:$R,B928)</f>
        <v>2</v>
      </c>
      <c r="E928" s="8" t="n">
        <f aca="false">COUNTIF(Drinks!$N:$S,B928)</f>
        <v>1</v>
      </c>
      <c r="F928" s="8" t="n">
        <f aca="false">D928+E928</f>
        <v>3</v>
      </c>
    </row>
    <row r="929" customFormat="false" ht="15" hidden="false" customHeight="false" outlineLevel="0" collapsed="false">
      <c r="A929" s="8" t="s">
        <v>9198</v>
      </c>
      <c r="B929" s="8" t="s">
        <v>3959</v>
      </c>
      <c r="C929" s="8" t="s">
        <v>8265</v>
      </c>
      <c r="D929" s="8" t="n">
        <f aca="false">COUNTIF(Dishes!$M:$R,B929)</f>
        <v>1</v>
      </c>
      <c r="E929" s="8" t="n">
        <f aca="false">COUNTIF(Drinks!$N:$S,B929)</f>
        <v>0</v>
      </c>
      <c r="F929" s="8" t="n">
        <f aca="false">D929+E929</f>
        <v>1</v>
      </c>
    </row>
    <row r="930" customFormat="false" ht="15" hidden="false" customHeight="false" outlineLevel="0" collapsed="false">
      <c r="A930" s="8" t="s">
        <v>9199</v>
      </c>
      <c r="B930" s="8" t="s">
        <v>3053</v>
      </c>
      <c r="C930" s="8" t="s">
        <v>8257</v>
      </c>
      <c r="D930" s="8" t="n">
        <f aca="false">COUNTIF(Dishes!$M:$R,B930)</f>
        <v>1</v>
      </c>
      <c r="E930" s="8" t="n">
        <f aca="false">COUNTIF(Drinks!$N:$S,B930)</f>
        <v>0</v>
      </c>
      <c r="F930" s="8" t="n">
        <f aca="false">D930+E930</f>
        <v>1</v>
      </c>
    </row>
    <row r="931" customFormat="false" ht="15" hidden="false" customHeight="false" outlineLevel="0" collapsed="false">
      <c r="A931" s="8" t="s">
        <v>9200</v>
      </c>
      <c r="B931" s="8" t="s">
        <v>6017</v>
      </c>
      <c r="C931" s="8" t="s">
        <v>8268</v>
      </c>
      <c r="D931" s="8" t="n">
        <f aca="false">COUNTIF(Dishes!$M:$R,B931)</f>
        <v>0</v>
      </c>
      <c r="E931" s="8" t="n">
        <f aca="false">COUNTIF(Drinks!$N:$S,B931)</f>
        <v>2</v>
      </c>
      <c r="F931" s="8" t="n">
        <f aca="false">D931+E931</f>
        <v>2</v>
      </c>
    </row>
    <row r="932" customFormat="false" ht="15" hidden="false" customHeight="false" outlineLevel="0" collapsed="false">
      <c r="A932" s="8" t="s">
        <v>9201</v>
      </c>
      <c r="B932" s="8" t="s">
        <v>5436</v>
      </c>
      <c r="C932" s="8" t="s">
        <v>8265</v>
      </c>
      <c r="D932" s="8" t="n">
        <f aca="false">COUNTIF(Dishes!$M:$R,B932)</f>
        <v>1</v>
      </c>
      <c r="E932" s="8" t="n">
        <f aca="false">COUNTIF(Drinks!$N:$S,B932)</f>
        <v>0</v>
      </c>
      <c r="F932" s="8" t="n">
        <f aca="false">D932+E932</f>
        <v>1</v>
      </c>
    </row>
    <row r="933" customFormat="false" ht="15" hidden="false" customHeight="false" outlineLevel="0" collapsed="false">
      <c r="A933" s="8" t="s">
        <v>9202</v>
      </c>
      <c r="B933" s="8" t="s">
        <v>4988</v>
      </c>
      <c r="C933" s="8" t="s">
        <v>8282</v>
      </c>
      <c r="D933" s="8" t="n">
        <f aca="false">COUNTIF(Dishes!$M:$R,B933)</f>
        <v>1</v>
      </c>
      <c r="E933" s="8" t="n">
        <f aca="false">COUNTIF(Drinks!$N:$S,B933)</f>
        <v>0</v>
      </c>
      <c r="F933" s="8" t="n">
        <f aca="false">D933+E933</f>
        <v>1</v>
      </c>
    </row>
    <row r="934" customFormat="false" ht="15" hidden="false" customHeight="false" outlineLevel="0" collapsed="false">
      <c r="A934" s="8" t="s">
        <v>9203</v>
      </c>
      <c r="B934" s="8" t="s">
        <v>6058</v>
      </c>
      <c r="C934" s="8" t="s">
        <v>8257</v>
      </c>
      <c r="D934" s="8" t="n">
        <f aca="false">COUNTIF(Dishes!$M:$R,B934)</f>
        <v>0</v>
      </c>
      <c r="E934" s="8" t="n">
        <f aca="false">COUNTIF(Drinks!$N:$S,B934)</f>
        <v>1</v>
      </c>
      <c r="F934" s="8" t="n">
        <f aca="false">D934+E934</f>
        <v>1</v>
      </c>
    </row>
    <row r="935" customFormat="false" ht="15" hidden="false" customHeight="false" outlineLevel="0" collapsed="false">
      <c r="A935" s="8" t="s">
        <v>9204</v>
      </c>
      <c r="B935" s="8" t="s">
        <v>5610</v>
      </c>
      <c r="C935" s="8" t="s">
        <v>8257</v>
      </c>
      <c r="D935" s="8" t="n">
        <f aca="false">COUNTIF(Dishes!$M:$R,B935)</f>
        <v>4</v>
      </c>
      <c r="E935" s="8" t="n">
        <f aca="false">COUNTIF(Drinks!$N:$S,B935)</f>
        <v>0</v>
      </c>
      <c r="F935" s="8" t="n">
        <f aca="false">D935+E935</f>
        <v>4</v>
      </c>
    </row>
    <row r="936" customFormat="false" ht="15" hidden="false" customHeight="false" outlineLevel="0" collapsed="false">
      <c r="A936" s="8" t="s">
        <v>9205</v>
      </c>
      <c r="B936" s="8" t="s">
        <v>4038</v>
      </c>
      <c r="C936" s="8" t="s">
        <v>8272</v>
      </c>
      <c r="D936" s="8" t="n">
        <f aca="false">COUNTIF(Dishes!$M:$R,B936)</f>
        <v>1</v>
      </c>
      <c r="E936" s="8" t="n">
        <f aca="false">COUNTIF(Drinks!$N:$S,B936)</f>
        <v>0</v>
      </c>
      <c r="F936" s="8" t="n">
        <f aca="false">D936+E936</f>
        <v>1</v>
      </c>
    </row>
    <row r="937" customFormat="false" ht="15" hidden="false" customHeight="false" outlineLevel="0" collapsed="false">
      <c r="A937" s="8" t="s">
        <v>9206</v>
      </c>
      <c r="B937" s="8" t="s">
        <v>443</v>
      </c>
      <c r="C937" s="8" t="s">
        <v>8261</v>
      </c>
      <c r="D937" s="8" t="n">
        <f aca="false">COUNTIF(Dishes!$M:$R,B937)</f>
        <v>11</v>
      </c>
      <c r="E937" s="8" t="n">
        <f aca="false">COUNTIF(Drinks!$N:$S,B937)</f>
        <v>1</v>
      </c>
      <c r="F937" s="8" t="n">
        <f aca="false">D937+E937</f>
        <v>12</v>
      </c>
    </row>
    <row r="938" customFormat="false" ht="15" hidden="false" customHeight="false" outlineLevel="0" collapsed="false">
      <c r="A938" s="8" t="s">
        <v>9207</v>
      </c>
      <c r="B938" s="8" t="s">
        <v>3664</v>
      </c>
      <c r="C938" s="8" t="s">
        <v>8257</v>
      </c>
      <c r="D938" s="8" t="n">
        <f aca="false">COUNTIF(Dishes!$M:$R,B938)</f>
        <v>1</v>
      </c>
      <c r="E938" s="8" t="n">
        <f aca="false">COUNTIF(Drinks!$N:$S,B938)</f>
        <v>0</v>
      </c>
      <c r="F938" s="8" t="n">
        <f aca="false">D938+E938</f>
        <v>1</v>
      </c>
    </row>
    <row r="939" customFormat="false" ht="15" hidden="false" customHeight="false" outlineLevel="0" collapsed="false">
      <c r="A939" s="8" t="s">
        <v>9208</v>
      </c>
      <c r="B939" s="8" t="s">
        <v>411</v>
      </c>
      <c r="C939" s="8" t="s">
        <v>8257</v>
      </c>
      <c r="D939" s="8" t="n">
        <f aca="false">COUNTIF(Dishes!$M:$R,B939)</f>
        <v>5</v>
      </c>
      <c r="E939" s="8" t="n">
        <f aca="false">COUNTIF(Drinks!$N:$S,B939)</f>
        <v>0</v>
      </c>
      <c r="F939" s="8" t="n">
        <f aca="false">D939+E939</f>
        <v>5</v>
      </c>
    </row>
    <row r="940" customFormat="false" ht="15" hidden="false" customHeight="false" outlineLevel="0" collapsed="false">
      <c r="A940" s="8" t="s">
        <v>9209</v>
      </c>
      <c r="B940" s="8" t="s">
        <v>284</v>
      </c>
      <c r="C940" s="8" t="s">
        <v>8259</v>
      </c>
      <c r="D940" s="8" t="n">
        <f aca="false">COUNTIF(Dishes!$M:$R,B940)</f>
        <v>1</v>
      </c>
      <c r="E940" s="8" t="n">
        <f aca="false">COUNTIF(Drinks!$N:$S,B940)</f>
        <v>0</v>
      </c>
      <c r="F940" s="8" t="n">
        <f aca="false">D940+E940</f>
        <v>1</v>
      </c>
    </row>
    <row r="941" customFormat="false" ht="15" hidden="false" customHeight="false" outlineLevel="0" collapsed="false">
      <c r="A941" s="8" t="s">
        <v>9210</v>
      </c>
      <c r="B941" s="8" t="s">
        <v>1380</v>
      </c>
      <c r="C941" s="8" t="s">
        <v>8272</v>
      </c>
      <c r="D941" s="8" t="n">
        <f aca="false">COUNTIF(Dishes!$M:$R,B941)</f>
        <v>1</v>
      </c>
      <c r="E941" s="8" t="n">
        <f aca="false">COUNTIF(Drinks!$N:$S,B941)</f>
        <v>0</v>
      </c>
      <c r="F941" s="8" t="n">
        <f aca="false">D941+E941</f>
        <v>1</v>
      </c>
    </row>
    <row r="942" customFormat="false" ht="15" hidden="false" customHeight="false" outlineLevel="0" collapsed="false">
      <c r="A942" s="8" t="s">
        <v>9211</v>
      </c>
      <c r="B942" s="8" t="s">
        <v>6801</v>
      </c>
      <c r="C942" s="8" t="s">
        <v>8272</v>
      </c>
      <c r="D942" s="8" t="n">
        <f aca="false">COUNTIF(Dishes!$M:$R,B942)</f>
        <v>0</v>
      </c>
      <c r="E942" s="8" t="n">
        <f aca="false">COUNTIF(Drinks!$N:$S,B942)</f>
        <v>1</v>
      </c>
      <c r="F942" s="8" t="n">
        <f aca="false">D942+E942</f>
        <v>1</v>
      </c>
    </row>
    <row r="943" customFormat="false" ht="15" hidden="false" customHeight="false" outlineLevel="0" collapsed="false">
      <c r="A943" s="8" t="s">
        <v>9212</v>
      </c>
      <c r="B943" s="8" t="s">
        <v>2961</v>
      </c>
      <c r="C943" s="8" t="s">
        <v>8257</v>
      </c>
      <c r="D943" s="8" t="n">
        <f aca="false">COUNTIF(Dishes!$M:$R,B943)</f>
        <v>1</v>
      </c>
      <c r="E943" s="8" t="n">
        <f aca="false">COUNTIF(Drinks!$N:$S,B943)</f>
        <v>0</v>
      </c>
      <c r="F943" s="8" t="n">
        <f aca="false">D943+E943</f>
        <v>1</v>
      </c>
    </row>
    <row r="944" customFormat="false" ht="15" hidden="false" customHeight="false" outlineLevel="0" collapsed="false">
      <c r="A944" s="8" t="s">
        <v>9213</v>
      </c>
      <c r="B944" s="8" t="s">
        <v>6640</v>
      </c>
      <c r="C944" s="8" t="s">
        <v>8344</v>
      </c>
      <c r="D944" s="8" t="n">
        <f aca="false">COUNTIF(Dishes!$M:$R,B944)</f>
        <v>0</v>
      </c>
      <c r="E944" s="8" t="n">
        <f aca="false">COUNTIF(Drinks!$N:$S,B944)</f>
        <v>1</v>
      </c>
      <c r="F944" s="8" t="n">
        <f aca="false">D944+E944</f>
        <v>1</v>
      </c>
    </row>
    <row r="945" customFormat="false" ht="15" hidden="false" customHeight="false" outlineLevel="0" collapsed="false">
      <c r="A945" s="8" t="s">
        <v>9214</v>
      </c>
      <c r="B945" s="8" t="s">
        <v>7101</v>
      </c>
      <c r="C945" s="8" t="s">
        <v>8344</v>
      </c>
      <c r="D945" s="8" t="n">
        <f aca="false">COUNTIF(Dishes!$M:$R,B945)</f>
        <v>0</v>
      </c>
      <c r="E945" s="8" t="n">
        <f aca="false">COUNTIF(Drinks!$N:$S,B945)</f>
        <v>1</v>
      </c>
      <c r="F945" s="8" t="n">
        <f aca="false">D945+E945</f>
        <v>1</v>
      </c>
    </row>
    <row r="946" customFormat="false" ht="15" hidden="false" customHeight="false" outlineLevel="0" collapsed="false">
      <c r="A946" s="8" t="s">
        <v>9215</v>
      </c>
      <c r="B946" s="8" t="s">
        <v>3582</v>
      </c>
      <c r="C946" s="8" t="s">
        <v>8298</v>
      </c>
      <c r="D946" s="8" t="n">
        <f aca="false">COUNTIF(Dishes!$M:$R,B946)</f>
        <v>1</v>
      </c>
      <c r="E946" s="8" t="n">
        <f aca="false">COUNTIF(Drinks!$N:$S,B946)</f>
        <v>0</v>
      </c>
      <c r="F946" s="8" t="n">
        <f aca="false">D946+E946</f>
        <v>1</v>
      </c>
    </row>
    <row r="947" customFormat="false" ht="15" hidden="false" customHeight="false" outlineLevel="0" collapsed="false">
      <c r="A947" s="8" t="s">
        <v>9216</v>
      </c>
      <c r="B947" s="8" t="s">
        <v>5978</v>
      </c>
      <c r="C947" s="8" t="s">
        <v>8268</v>
      </c>
      <c r="D947" s="8" t="n">
        <f aca="false">COUNTIF(Dishes!$M:$R,B947)</f>
        <v>0</v>
      </c>
      <c r="E947" s="8" t="n">
        <f aca="false">COUNTIF(Drinks!$N:$S,B947)</f>
        <v>4</v>
      </c>
      <c r="F947" s="8" t="n">
        <f aca="false">D947+E947</f>
        <v>4</v>
      </c>
    </row>
    <row r="948" customFormat="false" ht="15" hidden="false" customHeight="false" outlineLevel="0" collapsed="false">
      <c r="A948" s="8" t="s">
        <v>9217</v>
      </c>
      <c r="B948" s="8" t="s">
        <v>3329</v>
      </c>
      <c r="C948" s="8" t="s">
        <v>8259</v>
      </c>
      <c r="D948" s="8" t="n">
        <f aca="false">COUNTIF(Dishes!$M:$R,B948)</f>
        <v>3</v>
      </c>
      <c r="E948" s="8" t="n">
        <f aca="false">COUNTIF(Drinks!$N:$S,B948)</f>
        <v>0</v>
      </c>
      <c r="F948" s="8" t="n">
        <f aca="false">D948+E948</f>
        <v>3</v>
      </c>
    </row>
    <row r="949" customFormat="false" ht="15" hidden="false" customHeight="false" outlineLevel="0" collapsed="false">
      <c r="A949" s="8" t="s">
        <v>9218</v>
      </c>
      <c r="B949" s="8" t="s">
        <v>3330</v>
      </c>
      <c r="C949" s="8" t="s">
        <v>8287</v>
      </c>
      <c r="D949" s="8" t="n">
        <f aca="false">COUNTIF(Dishes!$M:$R,B949)</f>
        <v>1</v>
      </c>
      <c r="E949" s="8" t="n">
        <f aca="false">COUNTIF(Drinks!$N:$S,B949)</f>
        <v>0</v>
      </c>
      <c r="F949" s="8" t="n">
        <f aca="false">D949+E949</f>
        <v>1</v>
      </c>
    </row>
    <row r="950" customFormat="false" ht="15" hidden="false" customHeight="false" outlineLevel="0" collapsed="false">
      <c r="A950" s="8" t="s">
        <v>9219</v>
      </c>
      <c r="B950" s="8" t="s">
        <v>3351</v>
      </c>
      <c r="C950" s="8" t="s">
        <v>8261</v>
      </c>
      <c r="D950" s="8" t="n">
        <f aca="false">COUNTIF(Dishes!$M:$R,B950)</f>
        <v>1</v>
      </c>
      <c r="E950" s="8" t="n">
        <f aca="false">COUNTIF(Drinks!$N:$S,B950)</f>
        <v>0</v>
      </c>
      <c r="F950" s="8" t="n">
        <f aca="false">D950+E950</f>
        <v>1</v>
      </c>
    </row>
    <row r="951" customFormat="false" ht="15" hidden="false" customHeight="false" outlineLevel="0" collapsed="false">
      <c r="A951" s="8" t="s">
        <v>9220</v>
      </c>
      <c r="B951" s="8" t="s">
        <v>4335</v>
      </c>
      <c r="C951" s="8" t="s">
        <v>8265</v>
      </c>
      <c r="D951" s="8" t="n">
        <f aca="false">COUNTIF(Dishes!$M:$R,B951)</f>
        <v>1</v>
      </c>
      <c r="E951" s="8" t="n">
        <f aca="false">COUNTIF(Drinks!$N:$S,B951)</f>
        <v>0</v>
      </c>
      <c r="F951" s="8" t="n">
        <f aca="false">D951+E951</f>
        <v>1</v>
      </c>
    </row>
    <row r="952" customFormat="false" ht="15" hidden="false" customHeight="false" outlineLevel="0" collapsed="false">
      <c r="A952" s="8" t="s">
        <v>9221</v>
      </c>
      <c r="B952" s="8" t="s">
        <v>1139</v>
      </c>
      <c r="C952" s="8" t="s">
        <v>8272</v>
      </c>
      <c r="D952" s="8" t="n">
        <f aca="false">COUNTIF(Dishes!$M:$R,B952)</f>
        <v>1</v>
      </c>
      <c r="E952" s="8" t="n">
        <f aca="false">COUNTIF(Drinks!$N:$S,B952)</f>
        <v>0</v>
      </c>
      <c r="F952" s="8" t="n">
        <f aca="false">D952+E952</f>
        <v>1</v>
      </c>
    </row>
    <row r="953" customFormat="false" ht="15" hidden="false" customHeight="false" outlineLevel="0" collapsed="false">
      <c r="A953" s="8" t="s">
        <v>9222</v>
      </c>
      <c r="B953" s="8" t="s">
        <v>2915</v>
      </c>
      <c r="C953" s="8" t="s">
        <v>8272</v>
      </c>
      <c r="D953" s="8" t="n">
        <f aca="false">COUNTIF(Dishes!$M:$R,B953)</f>
        <v>1</v>
      </c>
      <c r="E953" s="8" t="n">
        <f aca="false">COUNTIF(Drinks!$N:$S,B953)</f>
        <v>0</v>
      </c>
      <c r="F953" s="8" t="n">
        <f aca="false">D953+E953</f>
        <v>1</v>
      </c>
    </row>
    <row r="954" customFormat="false" ht="15" hidden="false" customHeight="false" outlineLevel="0" collapsed="false">
      <c r="A954" s="8" t="s">
        <v>9223</v>
      </c>
      <c r="B954" s="8" t="s">
        <v>2135</v>
      </c>
      <c r="C954" s="8" t="s">
        <v>8265</v>
      </c>
      <c r="D954" s="8" t="n">
        <f aca="false">COUNTIF(Dishes!$M:$R,B954)</f>
        <v>1</v>
      </c>
      <c r="E954" s="8" t="n">
        <f aca="false">COUNTIF(Drinks!$N:$S,B954)</f>
        <v>0</v>
      </c>
      <c r="F954" s="8" t="n">
        <f aca="false">D954+E954</f>
        <v>1</v>
      </c>
    </row>
    <row r="955" customFormat="false" ht="15" hidden="false" customHeight="false" outlineLevel="0" collapsed="false">
      <c r="A955" s="8" t="s">
        <v>9224</v>
      </c>
      <c r="B955" s="8" t="s">
        <v>3027</v>
      </c>
      <c r="C955" s="8" t="s">
        <v>8276</v>
      </c>
      <c r="D955" s="8" t="n">
        <f aca="false">COUNTIF(Dishes!$M:$R,B955)</f>
        <v>1</v>
      </c>
      <c r="E955" s="8" t="n">
        <f aca="false">COUNTIF(Drinks!$N:$S,B955)</f>
        <v>0</v>
      </c>
      <c r="F955" s="8" t="n">
        <f aca="false">D955+E955</f>
        <v>1</v>
      </c>
    </row>
    <row r="956" customFormat="false" ht="15" hidden="false" customHeight="false" outlineLevel="0" collapsed="false">
      <c r="A956" s="8" t="s">
        <v>9225</v>
      </c>
      <c r="B956" s="8" t="s">
        <v>5027</v>
      </c>
      <c r="C956" s="8" t="s">
        <v>8272</v>
      </c>
      <c r="D956" s="8" t="n">
        <f aca="false">COUNTIF(Dishes!$M:$R,B956)</f>
        <v>1</v>
      </c>
      <c r="E956" s="8" t="n">
        <f aca="false">COUNTIF(Drinks!$N:$S,B956)</f>
        <v>0</v>
      </c>
      <c r="F956" s="8" t="n">
        <f aca="false">D956+E956</f>
        <v>1</v>
      </c>
    </row>
    <row r="957" customFormat="false" ht="15" hidden="false" customHeight="false" outlineLevel="0" collapsed="false">
      <c r="A957" s="8" t="s">
        <v>9226</v>
      </c>
      <c r="B957" s="8" t="s">
        <v>2535</v>
      </c>
      <c r="C957" s="8" t="s">
        <v>8272</v>
      </c>
      <c r="D957" s="8" t="n">
        <f aca="false">COUNTIF(Dishes!$M:$R,B957)</f>
        <v>3</v>
      </c>
      <c r="E957" s="8" t="n">
        <f aca="false">COUNTIF(Drinks!$N:$S,B957)</f>
        <v>0</v>
      </c>
      <c r="F957" s="8" t="n">
        <f aca="false">D957+E957</f>
        <v>3</v>
      </c>
    </row>
    <row r="958" customFormat="false" ht="15" hidden="false" customHeight="false" outlineLevel="0" collapsed="false">
      <c r="A958" s="8" t="s">
        <v>9227</v>
      </c>
      <c r="B958" s="8" t="s">
        <v>4593</v>
      </c>
      <c r="C958" s="8" t="s">
        <v>8272</v>
      </c>
      <c r="D958" s="8" t="n">
        <f aca="false">COUNTIF(Dishes!$M:$R,B958)</f>
        <v>1</v>
      </c>
      <c r="E958" s="8" t="n">
        <f aca="false">COUNTIF(Drinks!$N:$S,B958)</f>
        <v>0</v>
      </c>
      <c r="F958" s="8" t="n">
        <f aca="false">D958+E958</f>
        <v>1</v>
      </c>
    </row>
    <row r="959" customFormat="false" ht="15" hidden="false" customHeight="false" outlineLevel="0" collapsed="false">
      <c r="A959" s="8" t="s">
        <v>9228</v>
      </c>
      <c r="B959" s="8" t="s">
        <v>4702</v>
      </c>
      <c r="C959" s="8" t="s">
        <v>8272</v>
      </c>
      <c r="D959" s="8" t="n">
        <f aca="false">COUNTIF(Dishes!$M:$R,B959)</f>
        <v>1</v>
      </c>
      <c r="E959" s="8" t="n">
        <f aca="false">COUNTIF(Drinks!$N:$S,B959)</f>
        <v>0</v>
      </c>
      <c r="F959" s="8" t="n">
        <f aca="false">D959+E959</f>
        <v>1</v>
      </c>
    </row>
    <row r="960" customFormat="false" ht="15" hidden="false" customHeight="false" outlineLevel="0" collapsed="false">
      <c r="A960" s="8" t="s">
        <v>9229</v>
      </c>
      <c r="B960" s="8" t="s">
        <v>5116</v>
      </c>
      <c r="C960" s="8" t="s">
        <v>8276</v>
      </c>
      <c r="D960" s="8" t="n">
        <f aca="false">COUNTIF(Dishes!$M:$R,B960)</f>
        <v>1</v>
      </c>
      <c r="E960" s="8" t="n">
        <f aca="false">COUNTIF(Drinks!$N:$S,B960)</f>
        <v>0</v>
      </c>
      <c r="F960" s="8" t="n">
        <f aca="false">D960+E960</f>
        <v>1</v>
      </c>
    </row>
    <row r="961" customFormat="false" ht="15" hidden="false" customHeight="false" outlineLevel="0" collapsed="false">
      <c r="A961" s="8" t="s">
        <v>9230</v>
      </c>
      <c r="B961" s="8" t="s">
        <v>4104</v>
      </c>
      <c r="C961" s="8" t="s">
        <v>8259</v>
      </c>
      <c r="D961" s="8" t="n">
        <f aca="false">COUNTIF(Dishes!$M:$R,B961)</f>
        <v>5</v>
      </c>
      <c r="E961" s="8" t="n">
        <f aca="false">COUNTIF(Drinks!$N:$S,B961)</f>
        <v>0</v>
      </c>
      <c r="F961" s="8" t="n">
        <f aca="false">D961+E961</f>
        <v>5</v>
      </c>
    </row>
    <row r="962" customFormat="false" ht="15" hidden="false" customHeight="false" outlineLevel="0" collapsed="false">
      <c r="A962" s="8" t="s">
        <v>9231</v>
      </c>
      <c r="B962" s="8" t="s">
        <v>3626</v>
      </c>
      <c r="C962" s="8" t="s">
        <v>8272</v>
      </c>
      <c r="D962" s="8" t="n">
        <f aca="false">COUNTIF(Dishes!$M:$R,B962)</f>
        <v>2</v>
      </c>
      <c r="E962" s="8" t="n">
        <f aca="false">COUNTIF(Drinks!$N:$S,B962)</f>
        <v>0</v>
      </c>
      <c r="F962" s="8" t="n">
        <f aca="false">D962+E962</f>
        <v>2</v>
      </c>
    </row>
    <row r="963" customFormat="false" ht="15" hidden="false" customHeight="false" outlineLevel="0" collapsed="false">
      <c r="A963" s="8" t="s">
        <v>9232</v>
      </c>
      <c r="B963" s="8" t="s">
        <v>3981</v>
      </c>
      <c r="C963" s="8" t="s">
        <v>8272</v>
      </c>
      <c r="D963" s="8" t="n">
        <f aca="false">COUNTIF(Dishes!$M:$R,B963)</f>
        <v>1</v>
      </c>
      <c r="E963" s="8" t="n">
        <f aca="false">COUNTIF(Drinks!$N:$S,B963)</f>
        <v>0</v>
      </c>
      <c r="F963" s="8" t="n">
        <f aca="false">D963+E963</f>
        <v>1</v>
      </c>
    </row>
    <row r="964" customFormat="false" ht="15" hidden="false" customHeight="false" outlineLevel="0" collapsed="false">
      <c r="A964" s="8" t="s">
        <v>9233</v>
      </c>
      <c r="B964" s="8" t="s">
        <v>3415</v>
      </c>
      <c r="C964" s="8" t="s">
        <v>8272</v>
      </c>
      <c r="D964" s="8" t="n">
        <f aca="false">COUNTIF(Dishes!$M:$R,B964)</f>
        <v>1</v>
      </c>
      <c r="E964" s="8" t="n">
        <f aca="false">COUNTIF(Drinks!$N:$S,B964)</f>
        <v>0</v>
      </c>
      <c r="F964" s="8" t="n">
        <f aca="false">D964+E964</f>
        <v>1</v>
      </c>
    </row>
    <row r="965" customFormat="false" ht="15" hidden="false" customHeight="false" outlineLevel="0" collapsed="false">
      <c r="A965" s="8" t="s">
        <v>9234</v>
      </c>
      <c r="B965" s="8" t="s">
        <v>4166</v>
      </c>
      <c r="C965" s="8" t="s">
        <v>8272</v>
      </c>
      <c r="D965" s="8" t="n">
        <f aca="false">COUNTIF(Dishes!$M:$R,B965)</f>
        <v>1</v>
      </c>
      <c r="E965" s="8" t="n">
        <f aca="false">COUNTIF(Drinks!$N:$S,B965)</f>
        <v>0</v>
      </c>
      <c r="F965" s="8" t="n">
        <f aca="false">D965+E965</f>
        <v>1</v>
      </c>
    </row>
    <row r="966" customFormat="false" ht="15" hidden="false" customHeight="false" outlineLevel="0" collapsed="false">
      <c r="A966" s="8" t="s">
        <v>9235</v>
      </c>
      <c r="B966" s="8" t="s">
        <v>4530</v>
      </c>
      <c r="C966" s="8" t="s">
        <v>8257</v>
      </c>
      <c r="D966" s="8" t="n">
        <f aca="false">COUNTIF(Dishes!$M:$R,B966)</f>
        <v>1</v>
      </c>
      <c r="E966" s="8" t="n">
        <f aca="false">COUNTIF(Drinks!$N:$S,B966)</f>
        <v>0</v>
      </c>
      <c r="F966" s="8" t="n">
        <f aca="false">D966+E966</f>
        <v>1</v>
      </c>
    </row>
    <row r="967" customFormat="false" ht="15" hidden="false" customHeight="false" outlineLevel="0" collapsed="false">
      <c r="A967" s="8" t="s">
        <v>9236</v>
      </c>
      <c r="B967" s="8" t="s">
        <v>2979</v>
      </c>
      <c r="C967" s="8" t="s">
        <v>8298</v>
      </c>
      <c r="D967" s="8" t="n">
        <f aca="false">COUNTIF(Dishes!$M:$R,B967)</f>
        <v>5</v>
      </c>
      <c r="E967" s="8" t="n">
        <f aca="false">COUNTIF(Drinks!$N:$S,B967)</f>
        <v>0</v>
      </c>
      <c r="F967" s="8" t="n">
        <f aca="false">D967+E967</f>
        <v>5</v>
      </c>
    </row>
    <row r="968" customFormat="false" ht="15" hidden="false" customHeight="false" outlineLevel="0" collapsed="false">
      <c r="A968" s="8" t="s">
        <v>9237</v>
      </c>
      <c r="B968" s="8" t="s">
        <v>3530</v>
      </c>
      <c r="C968" s="8" t="s">
        <v>8298</v>
      </c>
      <c r="D968" s="8" t="n">
        <f aca="false">COUNTIF(Dishes!$M:$R,B968)</f>
        <v>1</v>
      </c>
      <c r="E968" s="8" t="n">
        <f aca="false">COUNTIF(Drinks!$N:$S,B968)</f>
        <v>0</v>
      </c>
      <c r="F968" s="8" t="n">
        <f aca="false">D968+E968</f>
        <v>1</v>
      </c>
    </row>
    <row r="969" customFormat="false" ht="15" hidden="false" customHeight="false" outlineLevel="0" collapsed="false">
      <c r="A969" s="8" t="s">
        <v>9238</v>
      </c>
      <c r="B969" s="8" t="s">
        <v>274</v>
      </c>
      <c r="C969" s="8" t="s">
        <v>8287</v>
      </c>
      <c r="D969" s="8" t="n">
        <f aca="false">COUNTIF(Dishes!$M:$R,B969)</f>
        <v>35</v>
      </c>
      <c r="E969" s="8" t="n">
        <f aca="false">COUNTIF(Drinks!$N:$S,B969)</f>
        <v>0</v>
      </c>
      <c r="F969" s="8" t="n">
        <f aca="false">D969+E969</f>
        <v>35</v>
      </c>
    </row>
    <row r="970" customFormat="false" ht="15" hidden="false" customHeight="false" outlineLevel="0" collapsed="false">
      <c r="A970" s="8" t="s">
        <v>9239</v>
      </c>
      <c r="B970" s="8" t="s">
        <v>6060</v>
      </c>
      <c r="C970" s="8" t="s">
        <v>8344</v>
      </c>
      <c r="D970" s="8" t="n">
        <f aca="false">COUNTIF(Dishes!$M:$R,B970)</f>
        <v>0</v>
      </c>
      <c r="E970" s="8" t="n">
        <f aca="false">COUNTIF(Drinks!$N:$S,B970)</f>
        <v>2</v>
      </c>
      <c r="F970" s="8" t="n">
        <f aca="false">D970+E970</f>
        <v>2</v>
      </c>
    </row>
    <row r="971" customFormat="false" ht="15" hidden="false" customHeight="false" outlineLevel="0" collapsed="false">
      <c r="A971" s="8" t="s">
        <v>9240</v>
      </c>
      <c r="B971" s="8" t="s">
        <v>5386</v>
      </c>
      <c r="C971" s="8" t="s">
        <v>8257</v>
      </c>
      <c r="D971" s="8" t="n">
        <f aca="false">COUNTIF(Dishes!$M:$R,B971)</f>
        <v>1</v>
      </c>
      <c r="E971" s="8" t="n">
        <f aca="false">COUNTIF(Drinks!$N:$S,B971)</f>
        <v>0</v>
      </c>
      <c r="F971" s="8" t="n">
        <f aca="false">D971+E971</f>
        <v>1</v>
      </c>
    </row>
    <row r="972" customFormat="false" ht="15" hidden="false" customHeight="false" outlineLevel="0" collapsed="false">
      <c r="A972" s="8" t="s">
        <v>9241</v>
      </c>
      <c r="B972" s="8" t="s">
        <v>5006</v>
      </c>
      <c r="C972" s="8" t="s">
        <v>8257</v>
      </c>
      <c r="D972" s="8" t="n">
        <f aca="false">COUNTIF(Dishes!$M:$R,B972)</f>
        <v>4</v>
      </c>
      <c r="E972" s="8" t="n">
        <f aca="false">COUNTIF(Drinks!$N:$S,B972)</f>
        <v>0</v>
      </c>
      <c r="F972" s="8" t="n">
        <f aca="false">D972+E972</f>
        <v>4</v>
      </c>
    </row>
    <row r="973" customFormat="false" ht="15" hidden="false" customHeight="false" outlineLevel="0" collapsed="false">
      <c r="A973" s="8" t="s">
        <v>9242</v>
      </c>
      <c r="B973" s="8" t="s">
        <v>6155</v>
      </c>
      <c r="C973" s="8" t="s">
        <v>8344</v>
      </c>
      <c r="D973" s="8" t="n">
        <f aca="false">COUNTIF(Dishes!$M:$R,B973)</f>
        <v>0</v>
      </c>
      <c r="E973" s="8" t="n">
        <f aca="false">COUNTIF(Drinks!$N:$S,B973)</f>
        <v>1</v>
      </c>
      <c r="F973" s="8" t="n">
        <f aca="false">D973+E973</f>
        <v>1</v>
      </c>
    </row>
    <row r="974" customFormat="false" ht="15" hidden="false" customHeight="false" outlineLevel="0" collapsed="false">
      <c r="A974" s="8" t="s">
        <v>9243</v>
      </c>
      <c r="B974" s="8" t="s">
        <v>2904</v>
      </c>
      <c r="C974" s="8" t="s">
        <v>8257</v>
      </c>
      <c r="D974" s="8" t="n">
        <f aca="false">COUNTIF(Dishes!$M:$R,B974)</f>
        <v>1</v>
      </c>
      <c r="E974" s="8" t="n">
        <f aca="false">COUNTIF(Drinks!$N:$S,B974)</f>
        <v>0</v>
      </c>
      <c r="F974" s="8" t="n">
        <f aca="false">D974+E974</f>
        <v>1</v>
      </c>
    </row>
    <row r="975" customFormat="false" ht="15" hidden="false" customHeight="false" outlineLevel="0" collapsed="false">
      <c r="A975" s="8" t="s">
        <v>9244</v>
      </c>
      <c r="B975" s="8" t="s">
        <v>3890</v>
      </c>
      <c r="C975" s="8" t="s">
        <v>8272</v>
      </c>
      <c r="D975" s="8" t="n">
        <f aca="false">COUNTIF(Dishes!$M:$R,B975)</f>
        <v>1</v>
      </c>
      <c r="E975" s="8" t="n">
        <f aca="false">COUNTIF(Drinks!$N:$S,B975)</f>
        <v>0</v>
      </c>
      <c r="F975" s="8" t="n">
        <f aca="false">D975+E975</f>
        <v>1</v>
      </c>
    </row>
    <row r="976" customFormat="false" ht="15" hidden="false" customHeight="false" outlineLevel="0" collapsed="false">
      <c r="A976" s="8" t="s">
        <v>9245</v>
      </c>
      <c r="B976" s="8" t="s">
        <v>794</v>
      </c>
      <c r="C976" s="8" t="s">
        <v>8298</v>
      </c>
      <c r="D976" s="8" t="n">
        <f aca="false">COUNTIF(Dishes!$M:$R,B976)</f>
        <v>4</v>
      </c>
      <c r="E976" s="8" t="n">
        <f aca="false">COUNTIF(Drinks!$N:$S,B976)</f>
        <v>0</v>
      </c>
      <c r="F976" s="8" t="n">
        <f aca="false">D976+E976</f>
        <v>4</v>
      </c>
    </row>
    <row r="977" customFormat="false" ht="15" hidden="false" customHeight="false" outlineLevel="0" collapsed="false">
      <c r="A977" s="8" t="s">
        <v>9246</v>
      </c>
      <c r="B977" s="8" t="s">
        <v>5977</v>
      </c>
      <c r="C977" s="8" t="s">
        <v>8268</v>
      </c>
      <c r="D977" s="8" t="n">
        <f aca="false">COUNTIF(Dishes!$M:$R,B977)</f>
        <v>0</v>
      </c>
      <c r="E977" s="8" t="n">
        <f aca="false">COUNTIF(Drinks!$N:$S,B977)</f>
        <v>3</v>
      </c>
      <c r="F977" s="8" t="n">
        <f aca="false">D977+E977</f>
        <v>3</v>
      </c>
    </row>
    <row r="978" customFormat="false" ht="15" hidden="false" customHeight="false" outlineLevel="0" collapsed="false">
      <c r="A978" s="8" t="s">
        <v>9247</v>
      </c>
      <c r="B978" s="8" t="s">
        <v>4205</v>
      </c>
      <c r="C978" s="8" t="s">
        <v>8274</v>
      </c>
      <c r="D978" s="8" t="n">
        <f aca="false">COUNTIF(Dishes!$M:$R,B978)</f>
        <v>1</v>
      </c>
      <c r="E978" s="8" t="n">
        <f aca="false">COUNTIF(Drinks!$N:$S,B978)</f>
        <v>0</v>
      </c>
      <c r="F978" s="8" t="n">
        <f aca="false">D978+E978</f>
        <v>1</v>
      </c>
    </row>
    <row r="979" customFormat="false" ht="15" hidden="false" customHeight="false" outlineLevel="0" collapsed="false">
      <c r="A979" s="8" t="s">
        <v>9248</v>
      </c>
      <c r="B979" s="8" t="s">
        <v>5291</v>
      </c>
      <c r="C979" s="8" t="s">
        <v>8276</v>
      </c>
      <c r="D979" s="8" t="n">
        <f aca="false">COUNTIF(Dishes!$M:$R,B979)</f>
        <v>1</v>
      </c>
      <c r="E979" s="8" t="n">
        <f aca="false">COUNTIF(Drinks!$N:$S,B979)</f>
        <v>0</v>
      </c>
      <c r="F979" s="8" t="n">
        <f aca="false">D979+E979</f>
        <v>1</v>
      </c>
    </row>
    <row r="980" customFormat="false" ht="15" hidden="false" customHeight="false" outlineLevel="0" collapsed="false">
      <c r="A980" s="8" t="s">
        <v>9249</v>
      </c>
      <c r="B980" s="8" t="s">
        <v>3589</v>
      </c>
      <c r="C980" s="8" t="s">
        <v>8257</v>
      </c>
      <c r="D980" s="8" t="n">
        <f aca="false">COUNTIF(Dishes!$M:$R,B980)</f>
        <v>1</v>
      </c>
      <c r="E980" s="8" t="n">
        <f aca="false">COUNTIF(Drinks!$N:$S,B980)</f>
        <v>0</v>
      </c>
      <c r="F980" s="8" t="n">
        <f aca="false">D980+E980</f>
        <v>1</v>
      </c>
    </row>
    <row r="981" customFormat="false" ht="15" hidden="false" customHeight="false" outlineLevel="0" collapsed="false">
      <c r="A981" s="8" t="s">
        <v>9250</v>
      </c>
      <c r="B981" s="8" t="s">
        <v>5793</v>
      </c>
      <c r="C981" s="8" t="s">
        <v>8287</v>
      </c>
      <c r="D981" s="8" t="n">
        <f aca="false">COUNTIF(Dishes!$M:$R,B981)</f>
        <v>1</v>
      </c>
      <c r="E981" s="8" t="n">
        <f aca="false">COUNTIF(Drinks!$N:$S,B981)</f>
        <v>0</v>
      </c>
      <c r="F981" s="8" t="n">
        <f aca="false">D981+E981</f>
        <v>1</v>
      </c>
    </row>
    <row r="982" customFormat="false" ht="15" hidden="false" customHeight="false" outlineLevel="0" collapsed="false">
      <c r="A982" s="8" t="s">
        <v>9251</v>
      </c>
      <c r="B982" s="8" t="s">
        <v>4943</v>
      </c>
      <c r="C982" s="8" t="s">
        <v>8265</v>
      </c>
      <c r="D982" s="8" t="n">
        <f aca="false">COUNTIF(Dishes!$M:$R,B982)</f>
        <v>2</v>
      </c>
      <c r="E982" s="8" t="n">
        <f aca="false">COUNTIF(Drinks!$N:$S,B982)</f>
        <v>0</v>
      </c>
      <c r="F982" s="8" t="n">
        <f aca="false">D982+E982</f>
        <v>2</v>
      </c>
    </row>
    <row r="983" customFormat="false" ht="15" hidden="false" customHeight="false" outlineLevel="0" collapsed="false">
      <c r="A983" s="8" t="s">
        <v>9252</v>
      </c>
      <c r="B983" s="8" t="s">
        <v>5905</v>
      </c>
      <c r="C983" s="8" t="s">
        <v>8272</v>
      </c>
      <c r="D983" s="8" t="n">
        <f aca="false">COUNTIF(Dishes!$M:$R,B983)</f>
        <v>1</v>
      </c>
      <c r="E983" s="8" t="n">
        <f aca="false">COUNTIF(Drinks!$N:$S,B983)</f>
        <v>0</v>
      </c>
      <c r="F983" s="8" t="n">
        <f aca="false">D983+E983</f>
        <v>1</v>
      </c>
    </row>
    <row r="984" customFormat="false" ht="15" hidden="false" customHeight="false" outlineLevel="0" collapsed="false">
      <c r="A984" s="8" t="s">
        <v>9253</v>
      </c>
      <c r="B984" s="8" t="s">
        <v>2990</v>
      </c>
      <c r="C984" s="8" t="s">
        <v>8261</v>
      </c>
      <c r="D984" s="8" t="n">
        <f aca="false">COUNTIF(Dishes!$M:$R,B984)</f>
        <v>1</v>
      </c>
      <c r="E984" s="8" t="n">
        <f aca="false">COUNTIF(Drinks!$N:$S,B984)</f>
        <v>0</v>
      </c>
      <c r="F984" s="8" t="n">
        <f aca="false">D984+E984</f>
        <v>1</v>
      </c>
    </row>
    <row r="985" customFormat="false" ht="15" hidden="false" customHeight="false" outlineLevel="0" collapsed="false">
      <c r="A985" s="8" t="s">
        <v>9254</v>
      </c>
      <c r="B985" s="8" t="s">
        <v>1531</v>
      </c>
      <c r="C985" s="8" t="s">
        <v>8272</v>
      </c>
      <c r="D985" s="8" t="n">
        <f aca="false">COUNTIF(Dishes!$M:$R,B985)</f>
        <v>1</v>
      </c>
      <c r="E985" s="8" t="n">
        <f aca="false">COUNTIF(Drinks!$N:$S,B985)</f>
        <v>0</v>
      </c>
      <c r="F985" s="8" t="n">
        <f aca="false">D985+E985</f>
        <v>1</v>
      </c>
    </row>
    <row r="986" customFormat="false" ht="15" hidden="false" customHeight="false" outlineLevel="0" collapsed="false">
      <c r="A986" s="8" t="s">
        <v>9255</v>
      </c>
      <c r="B986" s="8" t="s">
        <v>432</v>
      </c>
      <c r="C986" s="8" t="s">
        <v>8298</v>
      </c>
      <c r="D986" s="8" t="n">
        <f aca="false">COUNTIF(Dishes!$M:$R,B986)</f>
        <v>5</v>
      </c>
      <c r="E986" s="8" t="n">
        <f aca="false">COUNTIF(Drinks!$N:$S,B986)</f>
        <v>0</v>
      </c>
      <c r="F986" s="8" t="n">
        <f aca="false">D986+E986</f>
        <v>5</v>
      </c>
    </row>
    <row r="987" customFormat="false" ht="15" hidden="false" customHeight="false" outlineLevel="0" collapsed="false">
      <c r="A987" s="8" t="s">
        <v>9256</v>
      </c>
      <c r="B987" s="8" t="s">
        <v>544</v>
      </c>
      <c r="C987" s="8" t="s">
        <v>8298</v>
      </c>
      <c r="D987" s="8" t="n">
        <f aca="false">COUNTIF(Dishes!$M:$R,B987)</f>
        <v>1</v>
      </c>
      <c r="E987" s="8" t="n">
        <f aca="false">COUNTIF(Drinks!$N:$S,B987)</f>
        <v>0</v>
      </c>
      <c r="F987" s="8" t="n">
        <f aca="false">D987+E987</f>
        <v>1</v>
      </c>
    </row>
    <row r="988" customFormat="false" ht="15" hidden="false" customHeight="false" outlineLevel="0" collapsed="false">
      <c r="A988" s="8" t="s">
        <v>9257</v>
      </c>
      <c r="B988" s="8" t="s">
        <v>3949</v>
      </c>
      <c r="C988" s="8" t="s">
        <v>8259</v>
      </c>
      <c r="D988" s="8" t="n">
        <f aca="false">COUNTIF(Dishes!$M:$R,B988)</f>
        <v>5</v>
      </c>
      <c r="E988" s="8" t="n">
        <f aca="false">COUNTIF(Drinks!$N:$S,B988)</f>
        <v>2</v>
      </c>
      <c r="F988" s="8" t="n">
        <f aca="false">D988+E988</f>
        <v>7</v>
      </c>
    </row>
    <row r="989" customFormat="false" ht="15" hidden="false" customHeight="false" outlineLevel="0" collapsed="false">
      <c r="A989" s="8" t="s">
        <v>9258</v>
      </c>
      <c r="B989" s="8" t="s">
        <v>6947</v>
      </c>
      <c r="C989" s="8" t="s">
        <v>8265</v>
      </c>
      <c r="D989" s="8" t="n">
        <f aca="false">COUNTIF(Dishes!$M:$R,B989)</f>
        <v>0</v>
      </c>
      <c r="E989" s="8" t="n">
        <f aca="false">COUNTIF(Drinks!$N:$S,B989)</f>
        <v>1</v>
      </c>
      <c r="F989" s="8" t="n">
        <f aca="false">D989+E989</f>
        <v>1</v>
      </c>
    </row>
    <row r="990" customFormat="false" ht="15" hidden="false" customHeight="false" outlineLevel="0" collapsed="false">
      <c r="A990" s="8" t="s">
        <v>9259</v>
      </c>
      <c r="B990" s="8" t="s">
        <v>4586</v>
      </c>
      <c r="C990" s="8" t="s">
        <v>8276</v>
      </c>
      <c r="D990" s="8" t="n">
        <f aca="false">COUNTIF(Dishes!$M:$R,B990)</f>
        <v>1</v>
      </c>
      <c r="E990" s="8" t="n">
        <f aca="false">COUNTIF(Drinks!$N:$S,B990)</f>
        <v>0</v>
      </c>
      <c r="F990" s="8" t="n">
        <f aca="false">D990+E990</f>
        <v>1</v>
      </c>
    </row>
    <row r="991" customFormat="false" ht="15" hidden="false" customHeight="false" outlineLevel="0" collapsed="false">
      <c r="A991" s="8" t="s">
        <v>9260</v>
      </c>
      <c r="B991" s="8" t="s">
        <v>3924</v>
      </c>
      <c r="C991" s="8" t="s">
        <v>8276</v>
      </c>
      <c r="D991" s="8" t="n">
        <f aca="false">COUNTIF(Dishes!$M:$R,B991)</f>
        <v>1</v>
      </c>
      <c r="E991" s="8" t="n">
        <f aca="false">COUNTIF(Drinks!$N:$S,B991)</f>
        <v>0</v>
      </c>
      <c r="F991" s="8" t="n">
        <f aca="false">D991+E991</f>
        <v>1</v>
      </c>
    </row>
    <row r="992" customFormat="false" ht="15" hidden="false" customHeight="false" outlineLevel="0" collapsed="false">
      <c r="A992" s="8" t="s">
        <v>9261</v>
      </c>
      <c r="B992" s="8" t="s">
        <v>2340</v>
      </c>
      <c r="C992" s="8" t="s">
        <v>8287</v>
      </c>
      <c r="D992" s="8" t="n">
        <f aca="false">COUNTIF(Dishes!$M:$R,B992)</f>
        <v>1</v>
      </c>
      <c r="E992" s="8" t="n">
        <f aca="false">COUNTIF(Drinks!$N:$S,B992)</f>
        <v>0</v>
      </c>
      <c r="F992" s="8" t="n">
        <f aca="false">D992+E992</f>
        <v>1</v>
      </c>
    </row>
    <row r="993" customFormat="false" ht="15" hidden="false" customHeight="false" outlineLevel="0" collapsed="false">
      <c r="A993" s="8" t="s">
        <v>9262</v>
      </c>
      <c r="B993" s="8" t="s">
        <v>3765</v>
      </c>
      <c r="C993" s="8" t="s">
        <v>8257</v>
      </c>
      <c r="D993" s="8" t="n">
        <f aca="false">COUNTIF(Dishes!$M:$R,B993)</f>
        <v>1</v>
      </c>
      <c r="E993" s="8" t="n">
        <f aca="false">COUNTIF(Drinks!$N:$S,B993)</f>
        <v>0</v>
      </c>
      <c r="F993" s="8" t="n">
        <f aca="false">D993+E993</f>
        <v>1</v>
      </c>
    </row>
    <row r="994" customFormat="false" ht="15" hidden="false" customHeight="false" outlineLevel="0" collapsed="false">
      <c r="A994" s="8" t="s">
        <v>9263</v>
      </c>
      <c r="B994" s="8" t="s">
        <v>1104</v>
      </c>
      <c r="C994" s="8" t="s">
        <v>8287</v>
      </c>
      <c r="D994" s="8" t="n">
        <f aca="false">COUNTIF(Dishes!$M:$R,B994)</f>
        <v>4</v>
      </c>
      <c r="E994" s="8" t="n">
        <f aca="false">COUNTIF(Drinks!$N:$S,B994)</f>
        <v>0</v>
      </c>
      <c r="F994" s="8" t="n">
        <f aca="false">D994+E994</f>
        <v>4</v>
      </c>
    </row>
    <row r="995" customFormat="false" ht="15" hidden="false" customHeight="false" outlineLevel="0" collapsed="false">
      <c r="A995" s="8" t="s">
        <v>9264</v>
      </c>
      <c r="B995" s="8" t="s">
        <v>2240</v>
      </c>
      <c r="C995" s="8" t="s">
        <v>8272</v>
      </c>
      <c r="D995" s="8" t="n">
        <f aca="false">COUNTIF(Dishes!$M:$R,B995)</f>
        <v>3</v>
      </c>
      <c r="E995" s="8" t="n">
        <f aca="false">COUNTIF(Drinks!$N:$S,B995)</f>
        <v>0</v>
      </c>
      <c r="F995" s="8" t="n">
        <f aca="false">D995+E995</f>
        <v>3</v>
      </c>
    </row>
    <row r="996" customFormat="false" ht="15" hidden="false" customHeight="false" outlineLevel="0" collapsed="false">
      <c r="A996" s="8" t="s">
        <v>9265</v>
      </c>
      <c r="B996" s="8" t="s">
        <v>4977</v>
      </c>
      <c r="C996" s="8" t="s">
        <v>8287</v>
      </c>
      <c r="D996" s="8" t="n">
        <f aca="false">COUNTIF(Dishes!$M:$R,B996)</f>
        <v>1</v>
      </c>
      <c r="E996" s="8" t="n">
        <f aca="false">COUNTIF(Drinks!$N:$S,B996)</f>
        <v>0</v>
      </c>
      <c r="F996" s="8" t="n">
        <f aca="false">D996+E996</f>
        <v>1</v>
      </c>
    </row>
    <row r="997" customFormat="false" ht="15" hidden="false" customHeight="false" outlineLevel="0" collapsed="false">
      <c r="A997" s="8" t="s">
        <v>9266</v>
      </c>
      <c r="B997" s="8" t="s">
        <v>1004</v>
      </c>
      <c r="C997" s="8" t="s">
        <v>8257</v>
      </c>
      <c r="D997" s="8" t="n">
        <f aca="false">COUNTIF(Dishes!$M:$R,B997)</f>
        <v>6</v>
      </c>
      <c r="E997" s="8" t="n">
        <f aca="false">COUNTIF(Drinks!$N:$S,B997)</f>
        <v>0</v>
      </c>
      <c r="F997" s="8" t="n">
        <f aca="false">D997+E997</f>
        <v>6</v>
      </c>
    </row>
    <row r="998" customFormat="false" ht="15" hidden="false" customHeight="false" outlineLevel="0" collapsed="false">
      <c r="A998" s="8" t="s">
        <v>9267</v>
      </c>
      <c r="B998" s="8" t="s">
        <v>6059</v>
      </c>
      <c r="C998" s="8" t="s">
        <v>8268</v>
      </c>
      <c r="D998" s="8" t="n">
        <f aca="false">COUNTIF(Dishes!$M:$R,B998)</f>
        <v>0</v>
      </c>
      <c r="E998" s="8" t="n">
        <f aca="false">COUNTIF(Drinks!$N:$S,B998)</f>
        <v>8</v>
      </c>
      <c r="F998" s="8" t="n">
        <f aca="false">D998+E998</f>
        <v>8</v>
      </c>
    </row>
    <row r="999" customFormat="false" ht="15" hidden="false" customHeight="false" outlineLevel="0" collapsed="false">
      <c r="A999" s="8" t="s">
        <v>9268</v>
      </c>
      <c r="B999" s="8" t="s">
        <v>5239</v>
      </c>
      <c r="C999" s="8" t="s">
        <v>8272</v>
      </c>
      <c r="D999" s="8" t="n">
        <f aca="false">COUNTIF(Dishes!$M:$R,B999)</f>
        <v>1</v>
      </c>
      <c r="E999" s="8" t="n">
        <f aca="false">COUNTIF(Drinks!$N:$S,B999)</f>
        <v>0</v>
      </c>
      <c r="F999" s="8" t="n">
        <f aca="false">D999+E999</f>
        <v>1</v>
      </c>
    </row>
    <row r="1000" customFormat="false" ht="15" hidden="false" customHeight="false" outlineLevel="0" collapsed="false">
      <c r="A1000" s="8" t="s">
        <v>9269</v>
      </c>
      <c r="B1000" s="8" t="s">
        <v>2978</v>
      </c>
      <c r="C1000" s="8" t="s">
        <v>8287</v>
      </c>
      <c r="D1000" s="8" t="n">
        <f aca="false">COUNTIF(Dishes!$M:$R,B1000)</f>
        <v>1</v>
      </c>
      <c r="E1000" s="8" t="n">
        <f aca="false">COUNTIF(Drinks!$N:$S,B1000)</f>
        <v>0</v>
      </c>
      <c r="F1000" s="8" t="n">
        <f aca="false">D1000+E1000</f>
        <v>1</v>
      </c>
    </row>
    <row r="1001" customFormat="false" ht="15" hidden="false" customHeight="false" outlineLevel="0" collapsed="false">
      <c r="A1001" s="8" t="s">
        <v>9270</v>
      </c>
      <c r="B1001" s="8" t="s">
        <v>1859</v>
      </c>
      <c r="C1001" s="8" t="s">
        <v>8261</v>
      </c>
      <c r="D1001" s="8" t="n">
        <f aca="false">COUNTIF(Dishes!$M:$R,B1001)</f>
        <v>1</v>
      </c>
      <c r="E1001" s="8" t="n">
        <f aca="false">COUNTIF(Drinks!$N:$S,B1001)</f>
        <v>0</v>
      </c>
      <c r="F1001" s="8" t="n">
        <f aca="false">D1001+E1001</f>
        <v>1</v>
      </c>
    </row>
    <row r="1002" customFormat="false" ht="15" hidden="false" customHeight="false" outlineLevel="0" collapsed="false">
      <c r="A1002" s="8" t="s">
        <v>9271</v>
      </c>
      <c r="B1002" s="8" t="s">
        <v>6745</v>
      </c>
      <c r="C1002" s="8" t="s">
        <v>8265</v>
      </c>
      <c r="D1002" s="8" t="n">
        <f aca="false">COUNTIF(Dishes!$M:$R,B1002)</f>
        <v>0</v>
      </c>
      <c r="E1002" s="8" t="n">
        <f aca="false">COUNTIF(Drinks!$N:$S,B1002)</f>
        <v>1</v>
      </c>
      <c r="F1002" s="8" t="n">
        <f aca="false">D1002+E1002</f>
        <v>1</v>
      </c>
    </row>
    <row r="1003" customFormat="false" ht="15" hidden="false" customHeight="false" outlineLevel="0" collapsed="false">
      <c r="A1003" s="8" t="s">
        <v>9272</v>
      </c>
      <c r="B1003" s="8" t="s">
        <v>5809</v>
      </c>
      <c r="C1003" s="8" t="s">
        <v>8272</v>
      </c>
      <c r="D1003" s="8" t="n">
        <f aca="false">COUNTIF(Dishes!$M:$R,B1003)</f>
        <v>1</v>
      </c>
      <c r="E1003" s="8" t="n">
        <f aca="false">COUNTIF(Drinks!$N:$S,B1003)</f>
        <v>0</v>
      </c>
      <c r="F1003" s="8" t="n">
        <f aca="false">D1003+E1003</f>
        <v>1</v>
      </c>
    </row>
    <row r="1004" customFormat="false" ht="15" hidden="false" customHeight="false" outlineLevel="0" collapsed="false">
      <c r="A1004" s="8" t="s">
        <v>9273</v>
      </c>
      <c r="B1004" s="8" t="s">
        <v>2861</v>
      </c>
      <c r="C1004" s="8" t="s">
        <v>8259</v>
      </c>
      <c r="D1004" s="8" t="n">
        <f aca="false">COUNTIF(Dishes!$M:$R,B1004)</f>
        <v>3</v>
      </c>
      <c r="E1004" s="8" t="n">
        <f aca="false">COUNTIF(Drinks!$N:$S,B1004)</f>
        <v>0</v>
      </c>
      <c r="F1004" s="8" t="n">
        <f aca="false">D1004+E1004</f>
        <v>3</v>
      </c>
    </row>
    <row r="1005" customFormat="false" ht="15" hidden="false" customHeight="false" outlineLevel="0" collapsed="false">
      <c r="A1005" s="8" t="s">
        <v>9274</v>
      </c>
      <c r="B1005" s="8" t="s">
        <v>1491</v>
      </c>
      <c r="C1005" s="8" t="s">
        <v>8272</v>
      </c>
      <c r="D1005" s="8" t="n">
        <f aca="false">COUNTIF(Dishes!$M:$R,B1005)</f>
        <v>1</v>
      </c>
      <c r="E1005" s="8" t="n">
        <f aca="false">COUNTIF(Drinks!$N:$S,B1005)</f>
        <v>0</v>
      </c>
      <c r="F1005" s="8" t="n">
        <f aca="false">D1005+E1005</f>
        <v>1</v>
      </c>
    </row>
    <row r="1006" customFormat="false" ht="15" hidden="false" customHeight="false" outlineLevel="0" collapsed="false">
      <c r="A1006" s="8" t="s">
        <v>9275</v>
      </c>
      <c r="B1006" s="8" t="s">
        <v>543</v>
      </c>
      <c r="C1006" s="8" t="s">
        <v>8272</v>
      </c>
      <c r="D1006" s="8" t="n">
        <f aca="false">COUNTIF(Dishes!$M:$R,B1006)</f>
        <v>2</v>
      </c>
      <c r="E1006" s="8" t="n">
        <f aca="false">COUNTIF(Drinks!$N:$S,B1006)</f>
        <v>0</v>
      </c>
      <c r="F1006" s="8" t="n">
        <f aca="false">D1006+E1006</f>
        <v>2</v>
      </c>
    </row>
    <row r="1007" customFormat="false" ht="15" hidden="false" customHeight="false" outlineLevel="0" collapsed="false">
      <c r="A1007" s="8" t="s">
        <v>9276</v>
      </c>
      <c r="B1007" s="8" t="s">
        <v>2662</v>
      </c>
      <c r="C1007" s="8" t="s">
        <v>8272</v>
      </c>
      <c r="D1007" s="8" t="n">
        <f aca="false">COUNTIF(Dishes!$M:$R,B1007)</f>
        <v>2</v>
      </c>
      <c r="E1007" s="8" t="n">
        <f aca="false">COUNTIF(Drinks!$N:$S,B1007)</f>
        <v>0</v>
      </c>
      <c r="F1007" s="8" t="n">
        <f aca="false">D1007+E1007</f>
        <v>2</v>
      </c>
    </row>
    <row r="1008" customFormat="false" ht="15" hidden="false" customHeight="false" outlineLevel="0" collapsed="false">
      <c r="A1008" s="8" t="s">
        <v>9277</v>
      </c>
      <c r="B1008" s="8" t="s">
        <v>2583</v>
      </c>
      <c r="C1008" s="8" t="s">
        <v>8272</v>
      </c>
      <c r="D1008" s="8" t="n">
        <f aca="false">COUNTIF(Dishes!$M:$R,B1008)</f>
        <v>1</v>
      </c>
      <c r="E1008" s="8" t="n">
        <f aca="false">COUNTIF(Drinks!$N:$S,B1008)</f>
        <v>0</v>
      </c>
      <c r="F1008" s="8" t="n">
        <f aca="false">D1008+E1008</f>
        <v>1</v>
      </c>
    </row>
    <row r="1009" customFormat="false" ht="15" hidden="false" customHeight="false" outlineLevel="0" collapsed="false">
      <c r="A1009" s="8" t="s">
        <v>9278</v>
      </c>
      <c r="B1009" s="8" t="s">
        <v>5219</v>
      </c>
      <c r="C1009" s="8" t="s">
        <v>8265</v>
      </c>
      <c r="D1009" s="8" t="n">
        <f aca="false">COUNTIF(Dishes!$M:$R,B1009)</f>
        <v>2</v>
      </c>
      <c r="E1009" s="8" t="n">
        <f aca="false">COUNTIF(Drinks!$N:$S,B1009)</f>
        <v>4</v>
      </c>
      <c r="F1009" s="8" t="n">
        <f aca="false">D1009+E1009</f>
        <v>6</v>
      </c>
    </row>
    <row r="1010" customFormat="false" ht="15" hidden="false" customHeight="false" outlineLevel="0" collapsed="false">
      <c r="A1010" s="8" t="s">
        <v>9279</v>
      </c>
      <c r="B1010" s="8" t="s">
        <v>6081</v>
      </c>
      <c r="C1010" s="8" t="s">
        <v>8268</v>
      </c>
      <c r="D1010" s="8" t="n">
        <f aca="false">COUNTIF(Dishes!$M:$R,B1010)</f>
        <v>0</v>
      </c>
      <c r="E1010" s="8" t="n">
        <f aca="false">COUNTIF(Drinks!$N:$S,B1010)</f>
        <v>2</v>
      </c>
      <c r="F1010" s="8" t="n">
        <f aca="false">D1010+E1010</f>
        <v>2</v>
      </c>
    </row>
    <row r="1011" customFormat="false" ht="15" hidden="false" customHeight="false" outlineLevel="0" collapsed="false">
      <c r="A1011" s="8" t="s">
        <v>9280</v>
      </c>
      <c r="B1011" s="8" t="s">
        <v>4196</v>
      </c>
      <c r="C1011" s="8" t="s">
        <v>8298</v>
      </c>
      <c r="D1011" s="8" t="n">
        <f aca="false">COUNTIF(Dishes!$M:$R,B1011)</f>
        <v>1</v>
      </c>
      <c r="E1011" s="8" t="n">
        <f aca="false">COUNTIF(Drinks!$N:$S,B1011)</f>
        <v>0</v>
      </c>
      <c r="F1011" s="8" t="n">
        <f aca="false">D1011+E1011</f>
        <v>1</v>
      </c>
    </row>
    <row r="1012" customFormat="false" ht="15" hidden="false" customHeight="false" outlineLevel="0" collapsed="false">
      <c r="A1012" s="8" t="s">
        <v>9281</v>
      </c>
      <c r="B1012" s="8" t="s">
        <v>921</v>
      </c>
      <c r="C1012" s="8" t="s">
        <v>8272</v>
      </c>
      <c r="D1012" s="8" t="n">
        <f aca="false">COUNTIF(Dishes!$M:$R,B1012)</f>
        <v>2</v>
      </c>
      <c r="E1012" s="8" t="n">
        <f aca="false">COUNTIF(Drinks!$N:$S,B1012)</f>
        <v>0</v>
      </c>
      <c r="F1012" s="8" t="n">
        <f aca="false">D1012+E1012</f>
        <v>2</v>
      </c>
    </row>
    <row r="1013" customFormat="false" ht="15" hidden="false" customHeight="false" outlineLevel="0" collapsed="false">
      <c r="A1013" s="8" t="s">
        <v>9282</v>
      </c>
      <c r="B1013" s="8" t="s">
        <v>5886</v>
      </c>
      <c r="C1013" s="8" t="s">
        <v>8272</v>
      </c>
      <c r="D1013" s="8" t="n">
        <f aca="false">COUNTIF(Dishes!$M:$R,B1013)</f>
        <v>1</v>
      </c>
      <c r="E1013" s="8" t="n">
        <f aca="false">COUNTIF(Drinks!$N:$S,B1013)</f>
        <v>0</v>
      </c>
      <c r="F1013" s="8" t="n">
        <f aca="false">D1013+E1013</f>
        <v>1</v>
      </c>
    </row>
    <row r="1014" customFormat="false" ht="15" hidden="false" customHeight="false" outlineLevel="0" collapsed="false">
      <c r="A1014" s="8" t="s">
        <v>9283</v>
      </c>
      <c r="B1014" s="8" t="s">
        <v>4892</v>
      </c>
      <c r="C1014" s="8" t="s">
        <v>8265</v>
      </c>
      <c r="D1014" s="8" t="n">
        <f aca="false">COUNTIF(Dishes!$M:$R,B1014)</f>
        <v>1</v>
      </c>
      <c r="E1014" s="8" t="n">
        <f aca="false">COUNTIF(Drinks!$N:$S,B1014)</f>
        <v>0</v>
      </c>
      <c r="F1014" s="8" t="n">
        <f aca="false">D1014+E1014</f>
        <v>1</v>
      </c>
    </row>
    <row r="1015" customFormat="false" ht="15" hidden="false" customHeight="false" outlineLevel="0" collapsed="false">
      <c r="A1015" s="8" t="s">
        <v>9284</v>
      </c>
      <c r="B1015" s="8" t="s">
        <v>6189</v>
      </c>
      <c r="C1015" s="8" t="s">
        <v>8261</v>
      </c>
      <c r="D1015" s="8" t="n">
        <f aca="false">COUNTIF(Dishes!$M:$R,B1015)</f>
        <v>0</v>
      </c>
      <c r="E1015" s="8" t="n">
        <f aca="false">COUNTIF(Drinks!$N:$S,B1015)</f>
        <v>1</v>
      </c>
      <c r="F1015" s="8" t="n">
        <f aca="false">D1015+E1015</f>
        <v>1</v>
      </c>
    </row>
    <row r="1016" customFormat="false" ht="15" hidden="false" customHeight="false" outlineLevel="0" collapsed="false">
      <c r="A1016" s="8" t="s">
        <v>9285</v>
      </c>
      <c r="B1016" s="8" t="s">
        <v>951</v>
      </c>
      <c r="C1016" s="8" t="s">
        <v>8298</v>
      </c>
      <c r="D1016" s="8" t="n">
        <f aca="false">COUNTIF(Dishes!$M:$R,B1016)</f>
        <v>1</v>
      </c>
      <c r="E1016" s="8" t="n">
        <f aca="false">COUNTIF(Drinks!$N:$S,B1016)</f>
        <v>0</v>
      </c>
      <c r="F1016" s="8" t="n">
        <f aca="false">D1016+E1016</f>
        <v>1</v>
      </c>
    </row>
    <row r="1017" customFormat="false" ht="15" hidden="false" customHeight="false" outlineLevel="0" collapsed="false">
      <c r="A1017" s="8" t="s">
        <v>9286</v>
      </c>
      <c r="B1017" s="8" t="s">
        <v>5965</v>
      </c>
      <c r="C1017" s="8" t="s">
        <v>8268</v>
      </c>
      <c r="D1017" s="8" t="n">
        <f aca="false">COUNTIF(Dishes!$M:$R,B1017)</f>
        <v>0</v>
      </c>
      <c r="E1017" s="8" t="n">
        <f aca="false">COUNTIF(Drinks!$N:$S,B1017)</f>
        <v>3</v>
      </c>
      <c r="F1017" s="8" t="n">
        <f aca="false">D1017+E1017</f>
        <v>3</v>
      </c>
    </row>
    <row r="1018" customFormat="false" ht="15" hidden="false" customHeight="false" outlineLevel="0" collapsed="false">
      <c r="A1018" s="8" t="s">
        <v>9287</v>
      </c>
      <c r="B1018" s="8" t="s">
        <v>3860</v>
      </c>
      <c r="C1018" s="8" t="s">
        <v>8268</v>
      </c>
      <c r="D1018" s="8" t="n">
        <f aca="false">COUNTIF(Dishes!$M:$R,B1018)</f>
        <v>5</v>
      </c>
      <c r="E1018" s="8" t="n">
        <f aca="false">COUNTIF(Drinks!$N:$S,B1018)</f>
        <v>1</v>
      </c>
      <c r="F1018" s="8" t="n">
        <f aca="false">D1018+E1018</f>
        <v>6</v>
      </c>
    </row>
    <row r="1019" customFormat="false" ht="15" hidden="false" customHeight="false" outlineLevel="0" collapsed="false">
      <c r="A1019" s="8" t="s">
        <v>9288</v>
      </c>
      <c r="B1019" s="8" t="s">
        <v>267</v>
      </c>
      <c r="C1019" s="8" t="s">
        <v>8298</v>
      </c>
      <c r="D1019" s="8" t="n">
        <f aca="false">COUNTIF(Dishes!$M:$R,B1019)</f>
        <v>1</v>
      </c>
      <c r="E1019" s="8" t="n">
        <f aca="false">COUNTIF(Drinks!$N:$S,B1019)</f>
        <v>0</v>
      </c>
      <c r="F1019" s="8" t="n">
        <f aca="false">D1019+E1019</f>
        <v>1</v>
      </c>
    </row>
    <row r="1020" customFormat="false" ht="15" hidden="false" customHeight="false" outlineLevel="0" collapsed="false">
      <c r="A1020" s="8" t="s">
        <v>9289</v>
      </c>
      <c r="B1020" s="8" t="s">
        <v>2833</v>
      </c>
      <c r="C1020" s="8" t="s">
        <v>8274</v>
      </c>
      <c r="D1020" s="8" t="n">
        <f aca="false">COUNTIF(Dishes!$M:$R,B1020)</f>
        <v>1</v>
      </c>
      <c r="E1020" s="8" t="n">
        <f aca="false">COUNTIF(Drinks!$N:$S,B1020)</f>
        <v>0</v>
      </c>
      <c r="F1020" s="8" t="n">
        <f aca="false">D1020+E1020</f>
        <v>1</v>
      </c>
    </row>
    <row r="1021" customFormat="false" ht="15" hidden="false" customHeight="false" outlineLevel="0" collapsed="false">
      <c r="A1021" s="8" t="s">
        <v>9290</v>
      </c>
      <c r="B1021" s="8" t="s">
        <v>3675</v>
      </c>
      <c r="C1021" s="8" t="s">
        <v>8276</v>
      </c>
      <c r="D1021" s="8" t="n">
        <f aca="false">COUNTIF(Dishes!$M:$R,B1021)</f>
        <v>1</v>
      </c>
      <c r="E1021" s="8" t="n">
        <f aca="false">COUNTIF(Drinks!$N:$S,B1021)</f>
        <v>0</v>
      </c>
      <c r="F1021" s="8" t="n">
        <f aca="false">D1021+E1021</f>
        <v>1</v>
      </c>
    </row>
    <row r="1022" customFormat="false" ht="15" hidden="false" customHeight="false" outlineLevel="0" collapsed="false">
      <c r="A1022" s="8" t="s">
        <v>9291</v>
      </c>
      <c r="B1022" s="8" t="s">
        <v>1322</v>
      </c>
      <c r="C1022" s="8" t="s">
        <v>8259</v>
      </c>
      <c r="D1022" s="8" t="n">
        <f aca="false">COUNTIF(Dishes!$M:$R,B1022)</f>
        <v>2</v>
      </c>
      <c r="E1022" s="8" t="n">
        <f aca="false">COUNTIF(Drinks!$N:$S,B1022)</f>
        <v>0</v>
      </c>
      <c r="F1022" s="8" t="n">
        <f aca="false">D1022+E1022</f>
        <v>2</v>
      </c>
    </row>
    <row r="1023" customFormat="false" ht="15" hidden="false" customHeight="false" outlineLevel="0" collapsed="false">
      <c r="A1023" s="8" t="s">
        <v>9292</v>
      </c>
      <c r="B1023" s="8" t="s">
        <v>1897</v>
      </c>
      <c r="C1023" s="8" t="s">
        <v>8272</v>
      </c>
      <c r="D1023" s="8" t="n">
        <f aca="false">COUNTIF(Dishes!$M:$R,B1023)</f>
        <v>1</v>
      </c>
      <c r="E1023" s="8" t="n">
        <f aca="false">COUNTIF(Drinks!$N:$S,B1023)</f>
        <v>0</v>
      </c>
      <c r="F1023" s="8" t="n">
        <f aca="false">D1023+E1023</f>
        <v>1</v>
      </c>
    </row>
    <row r="1024" customFormat="false" ht="15" hidden="false" customHeight="false" outlineLevel="0" collapsed="false">
      <c r="A1024" s="8" t="s">
        <v>9293</v>
      </c>
      <c r="B1024" s="8" t="s">
        <v>3229</v>
      </c>
      <c r="C1024" s="8" t="s">
        <v>8276</v>
      </c>
      <c r="D1024" s="8" t="n">
        <f aca="false">COUNTIF(Dishes!$M:$R,B1024)</f>
        <v>1</v>
      </c>
      <c r="E1024" s="8" t="n">
        <f aca="false">COUNTIF(Drinks!$N:$S,B1024)</f>
        <v>0</v>
      </c>
      <c r="F1024" s="8" t="n">
        <f aca="false">D1024+E1024</f>
        <v>1</v>
      </c>
    </row>
    <row r="1025" customFormat="false" ht="15" hidden="false" customHeight="false" outlineLevel="0" collapsed="false">
      <c r="A1025" s="8" t="s">
        <v>9294</v>
      </c>
      <c r="B1025" s="8" t="s">
        <v>3426</v>
      </c>
      <c r="C1025" s="8" t="s">
        <v>8272</v>
      </c>
      <c r="D1025" s="8" t="n">
        <f aca="false">COUNTIF(Dishes!$M:$R,B1025)</f>
        <v>1</v>
      </c>
      <c r="E1025" s="8" t="n">
        <f aca="false">COUNTIF(Drinks!$N:$S,B1025)</f>
        <v>0</v>
      </c>
      <c r="F1025" s="8" t="n">
        <f aca="false">D1025+E1025</f>
        <v>1</v>
      </c>
    </row>
    <row r="1026" customFormat="false" ht="15" hidden="false" customHeight="false" outlineLevel="0" collapsed="false">
      <c r="A1026" s="8" t="s">
        <v>9295</v>
      </c>
      <c r="B1026" s="8" t="s">
        <v>6620</v>
      </c>
      <c r="C1026" s="8" t="s">
        <v>8344</v>
      </c>
      <c r="D1026" s="8" t="n">
        <f aca="false">COUNTIF(Dishes!$M:$R,B1026)</f>
        <v>0</v>
      </c>
      <c r="E1026" s="8" t="n">
        <f aca="false">COUNTIF(Drinks!$N:$S,B1026)</f>
        <v>1</v>
      </c>
      <c r="F1026" s="8" t="n">
        <f aca="false">D1026+E1026</f>
        <v>1</v>
      </c>
    </row>
    <row r="1027" customFormat="false" ht="15" hidden="false" customHeight="false" outlineLevel="0" collapsed="false">
      <c r="A1027" s="8" t="s">
        <v>9296</v>
      </c>
      <c r="B1027" s="8" t="s">
        <v>2735</v>
      </c>
      <c r="C1027" s="8" t="s">
        <v>8272</v>
      </c>
      <c r="D1027" s="8" t="n">
        <f aca="false">COUNTIF(Dishes!$M:$R,B1027)</f>
        <v>1</v>
      </c>
      <c r="E1027" s="8" t="n">
        <f aca="false">COUNTIF(Drinks!$N:$S,B1027)</f>
        <v>0</v>
      </c>
      <c r="F1027" s="8" t="n">
        <f aca="false">D1027+E1027</f>
        <v>1</v>
      </c>
    </row>
    <row r="1028" customFormat="false" ht="15" hidden="false" customHeight="false" outlineLevel="0" collapsed="false">
      <c r="A1028" s="8" t="s">
        <v>9297</v>
      </c>
      <c r="B1028" s="8" t="s">
        <v>3476</v>
      </c>
      <c r="C1028" s="8" t="s">
        <v>8287</v>
      </c>
      <c r="D1028" s="8" t="n">
        <f aca="false">COUNTIF(Dishes!$M:$R,B1028)</f>
        <v>1</v>
      </c>
      <c r="E1028" s="8" t="n">
        <f aca="false">COUNTIF(Drinks!$N:$S,B1028)</f>
        <v>0</v>
      </c>
      <c r="F1028" s="8" t="n">
        <f aca="false">D1028+E1028</f>
        <v>1</v>
      </c>
    </row>
    <row r="1029" customFormat="false" ht="15" hidden="false" customHeight="false" outlineLevel="0" collapsed="false">
      <c r="A1029" s="8" t="s">
        <v>9298</v>
      </c>
      <c r="B1029" s="8" t="s">
        <v>9299</v>
      </c>
      <c r="C1029" s="8" t="s">
        <v>8257</v>
      </c>
      <c r="D1029" s="8" t="n">
        <f aca="false">COUNTIF(Dishes!$M:$R,B1029)</f>
        <v>0</v>
      </c>
      <c r="E1029" s="8" t="n">
        <f aca="false">COUNTIF(Drinks!$N:$S,B1029)</f>
        <v>2</v>
      </c>
      <c r="F1029" s="8" t="n">
        <f aca="false">D1029+E1029</f>
        <v>2</v>
      </c>
    </row>
    <row r="1030" customFormat="false" ht="15" hidden="false" customHeight="false" outlineLevel="0" collapsed="false">
      <c r="A1030" s="8" t="s">
        <v>9300</v>
      </c>
      <c r="B1030" s="8" t="s">
        <v>6491</v>
      </c>
      <c r="C1030" s="8" t="s">
        <v>8259</v>
      </c>
      <c r="D1030" s="8" t="n">
        <f aca="false">COUNTIF(Dishes!$M:$R,B1030)</f>
        <v>0</v>
      </c>
      <c r="E1030" s="8" t="n">
        <f aca="false">COUNTIF(Drinks!$N:$S,B1030)</f>
        <v>1</v>
      </c>
      <c r="F1030" s="8" t="n">
        <f aca="false">D1030+E1030</f>
        <v>1</v>
      </c>
    </row>
    <row r="1031" customFormat="false" ht="15" hidden="false" customHeight="false" outlineLevel="0" collapsed="false">
      <c r="A1031" s="8" t="s">
        <v>9301</v>
      </c>
      <c r="B1031" s="8" t="s">
        <v>3130</v>
      </c>
      <c r="C1031" s="8" t="s">
        <v>8257</v>
      </c>
      <c r="D1031" s="8" t="n">
        <f aca="false">COUNTIF(Dishes!$M:$R,B1031)</f>
        <v>1</v>
      </c>
      <c r="E1031" s="8" t="n">
        <f aca="false">COUNTIF(Drinks!$N:$S,B1031)</f>
        <v>0</v>
      </c>
      <c r="F1031" s="8" t="n">
        <f aca="false">D1031+E1031</f>
        <v>1</v>
      </c>
    </row>
    <row r="1032" customFormat="false" ht="15" hidden="false" customHeight="false" outlineLevel="0" collapsed="false">
      <c r="A1032" s="8" t="s">
        <v>9302</v>
      </c>
      <c r="B1032" s="8" t="s">
        <v>2715</v>
      </c>
      <c r="C1032" s="8" t="s">
        <v>8272</v>
      </c>
      <c r="D1032" s="8" t="n">
        <f aca="false">COUNTIF(Dishes!$M:$R,B1032)</f>
        <v>5</v>
      </c>
      <c r="E1032" s="8" t="n">
        <f aca="false">COUNTIF(Drinks!$N:$S,B1032)</f>
        <v>0</v>
      </c>
      <c r="F1032" s="8" t="n">
        <f aca="false">D1032+E1032</f>
        <v>5</v>
      </c>
    </row>
    <row r="1033" customFormat="false" ht="15" hidden="false" customHeight="false" outlineLevel="0" collapsed="false">
      <c r="A1033" s="8" t="s">
        <v>9303</v>
      </c>
      <c r="B1033" s="8" t="s">
        <v>5942</v>
      </c>
      <c r="C1033" s="8" t="s">
        <v>8257</v>
      </c>
      <c r="D1033" s="8" t="n">
        <f aca="false">COUNTIF(Dishes!$M:$R,B1033)</f>
        <v>1</v>
      </c>
      <c r="E1033" s="8" t="n">
        <f aca="false">COUNTIF(Drinks!$N:$S,B1033)</f>
        <v>0</v>
      </c>
      <c r="F1033" s="8" t="n">
        <f aca="false">D1033+E1033</f>
        <v>1</v>
      </c>
    </row>
    <row r="1034" customFormat="false" ht="15" hidden="false" customHeight="false" outlineLevel="0" collapsed="false">
      <c r="A1034" s="8" t="s">
        <v>9304</v>
      </c>
      <c r="B1034" s="8" t="s">
        <v>3814</v>
      </c>
      <c r="C1034" s="8" t="s">
        <v>8287</v>
      </c>
      <c r="D1034" s="8" t="n">
        <f aca="false">COUNTIF(Dishes!$M:$R,B1034)</f>
        <v>1</v>
      </c>
      <c r="E1034" s="8" t="n">
        <f aca="false">COUNTIF(Drinks!$N:$S,B1034)</f>
        <v>0</v>
      </c>
      <c r="F1034" s="8" t="n">
        <f aca="false">D1034+E1034</f>
        <v>1</v>
      </c>
    </row>
    <row r="1035" customFormat="false" ht="15" hidden="false" customHeight="false" outlineLevel="0" collapsed="false">
      <c r="A1035" s="8" t="s">
        <v>9305</v>
      </c>
      <c r="B1035" s="8" t="s">
        <v>1996</v>
      </c>
      <c r="C1035" s="8" t="s">
        <v>8298</v>
      </c>
      <c r="D1035" s="8" t="n">
        <f aca="false">COUNTIF(Dishes!$M:$R,B1035)</f>
        <v>1</v>
      </c>
      <c r="E1035" s="8" t="n">
        <f aca="false">COUNTIF(Drinks!$N:$S,B1035)</f>
        <v>0</v>
      </c>
      <c r="F1035" s="8" t="n">
        <f aca="false">D1035+E1035</f>
        <v>1</v>
      </c>
    </row>
    <row r="1036" customFormat="false" ht="15" hidden="false" customHeight="false" outlineLevel="0" collapsed="false">
      <c r="A1036" s="8" t="s">
        <v>9306</v>
      </c>
      <c r="B1036" s="8" t="s">
        <v>3645</v>
      </c>
      <c r="C1036" s="8" t="s">
        <v>8272</v>
      </c>
      <c r="D1036" s="8" t="n">
        <f aca="false">COUNTIF(Dishes!$M:$R,B1036)</f>
        <v>1</v>
      </c>
      <c r="E1036" s="8" t="n">
        <f aca="false">COUNTIF(Drinks!$N:$S,B1036)</f>
        <v>0</v>
      </c>
      <c r="F1036" s="8" t="n">
        <f aca="false">D1036+E1036</f>
        <v>1</v>
      </c>
    </row>
    <row r="1037" customFormat="false" ht="15" hidden="false" customHeight="false" outlineLevel="0" collapsed="false">
      <c r="A1037" s="8" t="s">
        <v>9307</v>
      </c>
      <c r="B1037" s="8" t="s">
        <v>6833</v>
      </c>
      <c r="C1037" s="8" t="s">
        <v>8344</v>
      </c>
      <c r="D1037" s="8" t="n">
        <f aca="false">COUNTIF(Dishes!$M:$R,B1037)</f>
        <v>0</v>
      </c>
      <c r="E1037" s="8" t="n">
        <f aca="false">COUNTIF(Drinks!$N:$S,B1037)</f>
        <v>1</v>
      </c>
      <c r="F1037" s="8" t="n">
        <f aca="false">D1037+E1037</f>
        <v>1</v>
      </c>
    </row>
    <row r="1038" customFormat="false" ht="15" hidden="false" customHeight="false" outlineLevel="0" collapsed="false">
      <c r="A1038" s="8" t="s">
        <v>9308</v>
      </c>
      <c r="B1038" s="8" t="s">
        <v>324</v>
      </c>
      <c r="C1038" s="8" t="s">
        <v>8265</v>
      </c>
      <c r="D1038" s="8" t="n">
        <f aca="false">COUNTIF(Dishes!$M:$R,B1038)</f>
        <v>19</v>
      </c>
      <c r="E1038" s="8" t="n">
        <f aca="false">COUNTIF(Drinks!$N:$S,B1038)</f>
        <v>3</v>
      </c>
      <c r="F1038" s="8" t="n">
        <f aca="false">D1038+E1038</f>
        <v>22</v>
      </c>
    </row>
    <row r="1039" customFormat="false" ht="15" hidden="false" customHeight="false" outlineLevel="0" collapsed="false">
      <c r="A1039" s="8" t="s">
        <v>9309</v>
      </c>
      <c r="B1039" s="8" t="s">
        <v>4998</v>
      </c>
      <c r="C1039" s="8" t="s">
        <v>8265</v>
      </c>
      <c r="D1039" s="8" t="n">
        <f aca="false">COUNTIF(Dishes!$M:$R,B1039)</f>
        <v>1</v>
      </c>
      <c r="E1039" s="8" t="n">
        <f aca="false">COUNTIF(Drinks!$N:$S,B1039)</f>
        <v>0</v>
      </c>
      <c r="F1039" s="8" t="n">
        <f aca="false">D1039+E1039</f>
        <v>1</v>
      </c>
    </row>
    <row r="1040" customFormat="false" ht="15" hidden="false" customHeight="false" outlineLevel="0" collapsed="false">
      <c r="A1040" s="8" t="s">
        <v>9310</v>
      </c>
      <c r="B1040" s="8" t="s">
        <v>9311</v>
      </c>
      <c r="C1040" s="8" t="s">
        <v>8272</v>
      </c>
      <c r="D1040" s="8" t="n">
        <f aca="false">COUNTIF(Dishes!$M:$R,B1040)</f>
        <v>1</v>
      </c>
      <c r="E1040" s="8" t="n">
        <f aca="false">COUNTIF(Drinks!$N:$S,B1040)</f>
        <v>0</v>
      </c>
      <c r="F1040" s="8" t="n">
        <f aca="false">D1040+E1040</f>
        <v>1</v>
      </c>
    </row>
    <row r="1041" customFormat="false" ht="15" hidden="false" customHeight="false" outlineLevel="0" collapsed="false">
      <c r="A1041" s="8" t="s">
        <v>9312</v>
      </c>
      <c r="B1041" s="8" t="s">
        <v>5678</v>
      </c>
      <c r="C1041" s="8" t="s">
        <v>8259</v>
      </c>
      <c r="D1041" s="8" t="n">
        <f aca="false">COUNTIF(Dishes!$M:$R,B1041)</f>
        <v>1</v>
      </c>
      <c r="E1041" s="8" t="n">
        <f aca="false">COUNTIF(Drinks!$N:$S,B1041)</f>
        <v>0</v>
      </c>
      <c r="F1041" s="8" t="n">
        <f aca="false">D1041+E1041</f>
        <v>1</v>
      </c>
    </row>
    <row r="1042" customFormat="false" ht="15" hidden="false" customHeight="false" outlineLevel="0" collapsed="false">
      <c r="A1042" s="8" t="s">
        <v>9313</v>
      </c>
      <c r="B1042" s="8" t="s">
        <v>3266</v>
      </c>
      <c r="C1042" s="8" t="s">
        <v>8287</v>
      </c>
      <c r="D1042" s="8" t="n">
        <f aca="false">COUNTIF(Dishes!$M:$R,B1042)</f>
        <v>3</v>
      </c>
      <c r="E1042" s="8" t="n">
        <f aca="false">COUNTIF(Drinks!$N:$S,B1042)</f>
        <v>0</v>
      </c>
      <c r="F1042" s="8" t="n">
        <f aca="false">D1042+E1042</f>
        <v>3</v>
      </c>
    </row>
  </sheetData>
  <autoFilter ref="A1:F10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6"/>
    <col collapsed="false" customWidth="true" hidden="false" outlineLevel="0" max="7" min="6" style="0" width="9"/>
    <col collapsed="false" customWidth="true" hidden="false" outlineLevel="0" max="8" min="8" style="0" width="10"/>
  </cols>
  <sheetData>
    <row r="1" customFormat="false" ht="30" hidden="false" customHeight="true" outlineLevel="0" collapsed="false">
      <c r="A1" s="17" t="s">
        <v>177</v>
      </c>
      <c r="B1" s="17" t="s">
        <v>9314</v>
      </c>
      <c r="C1" s="17" t="s">
        <v>69</v>
      </c>
      <c r="D1" s="17" t="s">
        <v>181</v>
      </c>
      <c r="E1" s="17" t="s">
        <v>9315</v>
      </c>
      <c r="F1" s="17" t="s">
        <v>65</v>
      </c>
      <c r="G1" s="17" t="s">
        <v>66</v>
      </c>
      <c r="H1" s="17" t="s">
        <v>9316</v>
      </c>
    </row>
    <row r="2" customFormat="false" ht="15" hidden="false" customHeight="false" outlineLevel="0" collapsed="false">
      <c r="A2" s="8" t="s">
        <v>9317</v>
      </c>
      <c r="B2" s="8" t="s">
        <v>3802</v>
      </c>
      <c r="C2" s="8" t="s">
        <v>70</v>
      </c>
      <c r="D2" s="8" t="s">
        <v>207</v>
      </c>
      <c r="E2" s="8" t="s">
        <v>9318</v>
      </c>
      <c r="F2" s="8" t="n">
        <f aca="false">COUNTIF(Dishes!$D:$D,B2)</f>
        <v>1</v>
      </c>
      <c r="G2" s="8" t="n">
        <f aca="false">COUNTIF(Drinks!$D:$D,B2)</f>
        <v>0</v>
      </c>
      <c r="H2" s="8" t="n">
        <f aca="false">F2+G2</f>
        <v>1</v>
      </c>
    </row>
    <row r="3" customFormat="false" ht="15" hidden="false" customHeight="false" outlineLevel="0" collapsed="false">
      <c r="A3" s="8" t="s">
        <v>9319</v>
      </c>
      <c r="B3" s="8" t="s">
        <v>5544</v>
      </c>
      <c r="C3" s="8" t="s">
        <v>72</v>
      </c>
      <c r="D3" s="8" t="s">
        <v>5447</v>
      </c>
      <c r="E3" s="8" t="s">
        <v>9320</v>
      </c>
      <c r="F3" s="8" t="n">
        <f aca="false">COUNTIF(Dishes!$D:$D,B3)</f>
        <v>5</v>
      </c>
      <c r="G3" s="8" t="n">
        <f aca="false">COUNTIF(Drinks!$D:$D,B3)</f>
        <v>1</v>
      </c>
      <c r="H3" s="8" t="n">
        <f aca="false">F3+G3</f>
        <v>6</v>
      </c>
    </row>
    <row r="4" customFormat="false" ht="15" hidden="false" customHeight="false" outlineLevel="0" collapsed="false">
      <c r="A4" s="8" t="s">
        <v>9321</v>
      </c>
      <c r="B4" s="8" t="s">
        <v>5915</v>
      </c>
      <c r="C4" s="8" t="s">
        <v>74</v>
      </c>
      <c r="D4" s="8" t="s">
        <v>5916</v>
      </c>
      <c r="E4" s="8" t="s">
        <v>9322</v>
      </c>
      <c r="F4" s="8" t="n">
        <f aca="false">COUNTIF(Dishes!$D:$D,B4)</f>
        <v>3</v>
      </c>
      <c r="G4" s="8" t="n">
        <f aca="false">COUNTIF(Drinks!$D:$D,B4)</f>
        <v>1</v>
      </c>
      <c r="H4" s="8" t="n">
        <f aca="false">F4+G4</f>
        <v>4</v>
      </c>
    </row>
    <row r="5" customFormat="false" ht="15" hidden="false" customHeight="false" outlineLevel="0" collapsed="false">
      <c r="A5" s="8" t="s">
        <v>9323</v>
      </c>
      <c r="B5" s="8" t="s">
        <v>4583</v>
      </c>
      <c r="C5" s="8" t="s">
        <v>71</v>
      </c>
      <c r="D5" s="8" t="s">
        <v>4584</v>
      </c>
      <c r="E5" s="8" t="s">
        <v>9324</v>
      </c>
      <c r="F5" s="8" t="n">
        <f aca="false">COUNTIF(Dishes!$D:$D,B5)</f>
        <v>3</v>
      </c>
      <c r="G5" s="8" t="n">
        <f aca="false">COUNTIF(Drinks!$D:$D,B5)</f>
        <v>0</v>
      </c>
      <c r="H5" s="8" t="n">
        <f aca="false">F5+G5</f>
        <v>3</v>
      </c>
    </row>
    <row r="6" customFormat="false" ht="15" hidden="false" customHeight="false" outlineLevel="0" collapsed="false">
      <c r="A6" s="8" t="s">
        <v>9325</v>
      </c>
      <c r="B6" s="8" t="s">
        <v>3756</v>
      </c>
      <c r="C6" s="8" t="s">
        <v>70</v>
      </c>
      <c r="D6" s="8" t="s">
        <v>207</v>
      </c>
      <c r="E6" s="8" t="s">
        <v>9326</v>
      </c>
      <c r="F6" s="8" t="n">
        <f aca="false">COUNTIF(Dishes!$D:$D,B6)</f>
        <v>1</v>
      </c>
      <c r="G6" s="8" t="n">
        <f aca="false">COUNTIF(Drinks!$D:$D,B6)</f>
        <v>0</v>
      </c>
      <c r="H6" s="8" t="n">
        <f aca="false">F6+G6</f>
        <v>1</v>
      </c>
    </row>
    <row r="7" customFormat="false" ht="15" hidden="false" customHeight="false" outlineLevel="0" collapsed="false">
      <c r="A7" s="8" t="s">
        <v>9327</v>
      </c>
      <c r="B7" s="8" t="s">
        <v>4693</v>
      </c>
      <c r="C7" s="8" t="s">
        <v>71</v>
      </c>
      <c r="D7" s="8" t="s">
        <v>4082</v>
      </c>
      <c r="E7" s="8" t="s">
        <v>9328</v>
      </c>
      <c r="F7" s="8" t="n">
        <f aca="false">COUNTIF(Dishes!$D:$D,B7)</f>
        <v>1</v>
      </c>
      <c r="G7" s="8" t="n">
        <f aca="false">COUNTIF(Drinks!$D:$D,B7)</f>
        <v>1</v>
      </c>
      <c r="H7" s="8" t="n">
        <f aca="false">F7+G7</f>
        <v>2</v>
      </c>
    </row>
    <row r="8" customFormat="false" ht="15" hidden="false" customHeight="false" outlineLevel="0" collapsed="false">
      <c r="A8" s="8" t="s">
        <v>9329</v>
      </c>
      <c r="B8" s="8" t="s">
        <v>6233</v>
      </c>
      <c r="C8" s="8" t="s">
        <v>72</v>
      </c>
      <c r="D8" s="8" t="s">
        <v>5047</v>
      </c>
      <c r="E8" s="8" t="s">
        <v>9330</v>
      </c>
      <c r="F8" s="8" t="n">
        <f aca="false">COUNTIF(Dishes!$D:$D,B8)</f>
        <v>0</v>
      </c>
      <c r="G8" s="8" t="n">
        <f aca="false">COUNTIF(Drinks!$D:$D,B8)</f>
        <v>1</v>
      </c>
      <c r="H8" s="8" t="n">
        <f aca="false">F8+G8</f>
        <v>1</v>
      </c>
    </row>
    <row r="9" customFormat="false" ht="15" hidden="false" customHeight="false" outlineLevel="0" collapsed="false">
      <c r="A9" s="8" t="s">
        <v>9331</v>
      </c>
      <c r="B9" s="8" t="s">
        <v>3774</v>
      </c>
      <c r="C9" s="8" t="s">
        <v>70</v>
      </c>
      <c r="D9" s="8" t="s">
        <v>207</v>
      </c>
      <c r="E9" s="8" t="s">
        <v>9332</v>
      </c>
      <c r="F9" s="8" t="n">
        <f aca="false">COUNTIF(Dishes!$D:$D,B9)</f>
        <v>1</v>
      </c>
      <c r="G9" s="8" t="n">
        <f aca="false">COUNTIF(Drinks!$D:$D,B9)</f>
        <v>0</v>
      </c>
      <c r="H9" s="8" t="n">
        <f aca="false">F9+G9</f>
        <v>1</v>
      </c>
    </row>
    <row r="10" customFormat="false" ht="15" hidden="false" customHeight="false" outlineLevel="0" collapsed="false">
      <c r="A10" s="8" t="s">
        <v>9333</v>
      </c>
      <c r="B10" s="8" t="s">
        <v>7396</v>
      </c>
      <c r="C10" s="8" t="s">
        <v>72</v>
      </c>
      <c r="D10" s="8" t="s">
        <v>5447</v>
      </c>
      <c r="E10" s="8" t="s">
        <v>9334</v>
      </c>
      <c r="F10" s="8" t="n">
        <f aca="false">COUNTIF(Dishes!$D:$D,B10)</f>
        <v>0</v>
      </c>
      <c r="G10" s="8" t="n">
        <f aca="false">COUNTIF(Drinks!$D:$D,B10)</f>
        <v>0</v>
      </c>
      <c r="H10" s="8" t="n">
        <f aca="false">F10+G10</f>
        <v>0</v>
      </c>
    </row>
    <row r="11" customFormat="false" ht="15" hidden="false" customHeight="false" outlineLevel="0" collapsed="false">
      <c r="A11" s="8" t="s">
        <v>9335</v>
      </c>
      <c r="B11" s="8" t="s">
        <v>4868</v>
      </c>
      <c r="C11" s="8" t="s">
        <v>71</v>
      </c>
      <c r="D11" s="8" t="s">
        <v>4869</v>
      </c>
      <c r="E11" s="8" t="s">
        <v>9336</v>
      </c>
      <c r="F11" s="8" t="n">
        <f aca="false">COUNTIF(Dishes!$D:$D,B11)</f>
        <v>2</v>
      </c>
      <c r="G11" s="8" t="n">
        <f aca="false">COUNTIF(Drinks!$D:$D,B11)</f>
        <v>0</v>
      </c>
      <c r="H11" s="8" t="n">
        <f aca="false">F11+G11</f>
        <v>2</v>
      </c>
    </row>
    <row r="12" customFormat="false" ht="15" hidden="false" customHeight="false" outlineLevel="0" collapsed="false">
      <c r="A12" s="8" t="s">
        <v>9337</v>
      </c>
      <c r="B12" s="8" t="s">
        <v>5478</v>
      </c>
      <c r="C12" s="8" t="s">
        <v>72</v>
      </c>
      <c r="D12" s="8" t="s">
        <v>5447</v>
      </c>
      <c r="E12" s="8" t="s">
        <v>5504</v>
      </c>
      <c r="F12" s="8" t="n">
        <f aca="false">COUNTIF(Dishes!$D:$D,B12)</f>
        <v>7</v>
      </c>
      <c r="G12" s="8" t="n">
        <f aca="false">COUNTIF(Drinks!$D:$D,B12)</f>
        <v>2</v>
      </c>
      <c r="H12" s="8" t="n">
        <f aca="false">F12+G12</f>
        <v>9</v>
      </c>
    </row>
    <row r="13" customFormat="false" ht="15" hidden="false" customHeight="false" outlineLevel="0" collapsed="false">
      <c r="A13" s="8" t="s">
        <v>9338</v>
      </c>
      <c r="B13" s="8" t="s">
        <v>4890</v>
      </c>
      <c r="C13" s="8" t="s">
        <v>71</v>
      </c>
      <c r="D13" s="8" t="s">
        <v>4869</v>
      </c>
      <c r="E13" s="8" t="s">
        <v>9339</v>
      </c>
      <c r="F13" s="8" t="n">
        <f aca="false">COUNTIF(Dishes!$D:$D,B13)</f>
        <v>1</v>
      </c>
      <c r="G13" s="8" t="n">
        <f aca="false">COUNTIF(Drinks!$D:$D,B13)</f>
        <v>0</v>
      </c>
      <c r="H13" s="8" t="n">
        <f aca="false">F13+G13</f>
        <v>1</v>
      </c>
    </row>
    <row r="14" customFormat="false" ht="15" hidden="false" customHeight="false" outlineLevel="0" collapsed="false">
      <c r="A14" s="8" t="s">
        <v>9340</v>
      </c>
      <c r="B14" s="8" t="s">
        <v>3719</v>
      </c>
      <c r="C14" s="8" t="s">
        <v>70</v>
      </c>
      <c r="D14" s="8" t="s">
        <v>2789</v>
      </c>
      <c r="E14" s="8" t="s">
        <v>9341</v>
      </c>
      <c r="F14" s="8" t="n">
        <f aca="false">COUNTIF(Dishes!$D:$D,B14)</f>
        <v>1</v>
      </c>
      <c r="G14" s="8" t="n">
        <f aca="false">COUNTIF(Drinks!$D:$D,B14)</f>
        <v>0</v>
      </c>
      <c r="H14" s="8" t="n">
        <f aca="false">F14+G14</f>
        <v>1</v>
      </c>
    </row>
    <row r="15" customFormat="false" ht="15" hidden="false" customHeight="false" outlineLevel="0" collapsed="false">
      <c r="A15" s="8" t="s">
        <v>9342</v>
      </c>
      <c r="B15" s="8" t="s">
        <v>5255</v>
      </c>
      <c r="C15" s="8" t="s">
        <v>72</v>
      </c>
      <c r="D15" s="8" t="s">
        <v>5047</v>
      </c>
      <c r="E15" s="8" t="s">
        <v>9343</v>
      </c>
      <c r="F15" s="8" t="n">
        <f aca="false">COUNTIF(Dishes!$D:$D,B15)</f>
        <v>1</v>
      </c>
      <c r="G15" s="8" t="n">
        <f aca="false">COUNTIF(Drinks!$D:$D,B15)</f>
        <v>1</v>
      </c>
      <c r="H15" s="8" t="n">
        <f aca="false">F15+G15</f>
        <v>2</v>
      </c>
    </row>
    <row r="16" customFormat="false" ht="15" hidden="false" customHeight="false" outlineLevel="0" collapsed="false">
      <c r="A16" s="8" t="s">
        <v>9344</v>
      </c>
      <c r="B16" s="8" t="s">
        <v>7960</v>
      </c>
      <c r="C16" s="8" t="s">
        <v>72</v>
      </c>
      <c r="D16" s="8" t="s">
        <v>5406</v>
      </c>
      <c r="E16" s="8" t="s">
        <v>9345</v>
      </c>
      <c r="F16" s="8" t="n">
        <f aca="false">COUNTIF(Dishes!$D:$D,B16)</f>
        <v>0</v>
      </c>
      <c r="G16" s="8" t="n">
        <f aca="false">COUNTIF(Drinks!$D:$D,B16)</f>
        <v>0</v>
      </c>
      <c r="H16" s="8" t="n">
        <f aca="false">F16+G16</f>
        <v>0</v>
      </c>
    </row>
    <row r="17" customFormat="false" ht="15" hidden="false" customHeight="false" outlineLevel="0" collapsed="false">
      <c r="A17" s="8" t="s">
        <v>9346</v>
      </c>
      <c r="B17" s="8" t="s">
        <v>7393</v>
      </c>
      <c r="C17" s="8" t="s">
        <v>72</v>
      </c>
      <c r="D17" s="8" t="s">
        <v>5447</v>
      </c>
      <c r="E17" s="8" t="s">
        <v>9347</v>
      </c>
      <c r="F17" s="8" t="n">
        <f aca="false">COUNTIF(Dishes!$D:$D,B17)</f>
        <v>0</v>
      </c>
      <c r="G17" s="8" t="n">
        <f aca="false">COUNTIF(Drinks!$D:$D,B17)</f>
        <v>0</v>
      </c>
      <c r="H17" s="8" t="n">
        <f aca="false">F17+G17</f>
        <v>0</v>
      </c>
    </row>
    <row r="18" customFormat="false" ht="15" hidden="false" customHeight="false" outlineLevel="0" collapsed="false">
      <c r="A18" s="8" t="s">
        <v>9348</v>
      </c>
      <c r="B18" s="8" t="s">
        <v>2532</v>
      </c>
      <c r="C18" s="8" t="s">
        <v>70</v>
      </c>
      <c r="D18" s="8" t="s">
        <v>2533</v>
      </c>
      <c r="E18" s="8" t="s">
        <v>9349</v>
      </c>
      <c r="F18" s="8" t="n">
        <f aca="false">COUNTIF(Dishes!$D:$D,B18)</f>
        <v>31</v>
      </c>
      <c r="G18" s="8" t="n">
        <f aca="false">COUNTIF(Drinks!$D:$D,B18)</f>
        <v>4</v>
      </c>
      <c r="H18" s="8" t="n">
        <f aca="false">F18+G18</f>
        <v>35</v>
      </c>
    </row>
    <row r="19" customFormat="false" ht="15" hidden="false" customHeight="false" outlineLevel="0" collapsed="false">
      <c r="A19" s="8" t="s">
        <v>9350</v>
      </c>
      <c r="B19" s="8" t="s">
        <v>5598</v>
      </c>
      <c r="C19" s="8" t="s">
        <v>72</v>
      </c>
      <c r="D19" s="8" t="s">
        <v>5447</v>
      </c>
      <c r="E19" s="8" t="s">
        <v>9351</v>
      </c>
      <c r="F19" s="8" t="n">
        <f aca="false">COUNTIF(Dishes!$D:$D,B19)</f>
        <v>1</v>
      </c>
      <c r="G19" s="8" t="n">
        <f aca="false">COUNTIF(Drinks!$D:$D,B19)</f>
        <v>0</v>
      </c>
      <c r="H19" s="8" t="n">
        <f aca="false">F19+G19</f>
        <v>1</v>
      </c>
    </row>
    <row r="20" customFormat="false" ht="15" hidden="false" customHeight="false" outlineLevel="0" collapsed="false">
      <c r="A20" s="8" t="s">
        <v>9352</v>
      </c>
      <c r="B20" s="8" t="s">
        <v>7580</v>
      </c>
      <c r="C20" s="8" t="s">
        <v>72</v>
      </c>
      <c r="D20" s="8" t="s">
        <v>9353</v>
      </c>
      <c r="E20" s="8" t="s">
        <v>9354</v>
      </c>
      <c r="F20" s="8" t="n">
        <f aca="false">COUNTIF(Dishes!$D:$D,B20)</f>
        <v>0</v>
      </c>
      <c r="G20" s="8" t="n">
        <f aca="false">COUNTIF(Drinks!$D:$D,B20)</f>
        <v>0</v>
      </c>
      <c r="H20" s="8" t="n">
        <f aca="false">F20+G20</f>
        <v>0</v>
      </c>
    </row>
    <row r="21" customFormat="false" ht="15" hidden="false" customHeight="false" outlineLevel="0" collapsed="false">
      <c r="A21" s="8" t="s">
        <v>9355</v>
      </c>
      <c r="B21" s="8" t="s">
        <v>5425</v>
      </c>
      <c r="C21" s="8" t="s">
        <v>72</v>
      </c>
      <c r="D21" s="8" t="s">
        <v>5406</v>
      </c>
      <c r="E21" s="8" t="s">
        <v>9356</v>
      </c>
      <c r="F21" s="8" t="n">
        <f aca="false">COUNTIF(Dishes!$D:$D,B21)</f>
        <v>2</v>
      </c>
      <c r="G21" s="8" t="n">
        <f aca="false">COUNTIF(Drinks!$D:$D,B21)</f>
        <v>2</v>
      </c>
      <c r="H21" s="8" t="n">
        <f aca="false">F21+G21</f>
        <v>4</v>
      </c>
    </row>
    <row r="22" customFormat="false" ht="15" hidden="false" customHeight="false" outlineLevel="0" collapsed="false">
      <c r="A22" s="8" t="s">
        <v>9357</v>
      </c>
      <c r="B22" s="8" t="s">
        <v>7354</v>
      </c>
      <c r="C22" s="8" t="s">
        <v>71</v>
      </c>
      <c r="D22" s="8" t="s">
        <v>4584</v>
      </c>
      <c r="E22" s="8" t="s">
        <v>9358</v>
      </c>
      <c r="F22" s="8" t="n">
        <f aca="false">COUNTIF(Dishes!$D:$D,B22)</f>
        <v>0</v>
      </c>
      <c r="G22" s="8" t="n">
        <f aca="false">COUNTIF(Drinks!$D:$D,B22)</f>
        <v>0</v>
      </c>
      <c r="H22" s="8" t="n">
        <f aca="false">F22+G22</f>
        <v>0</v>
      </c>
    </row>
    <row r="23" customFormat="false" ht="15" hidden="false" customHeight="false" outlineLevel="0" collapsed="false">
      <c r="A23" s="8" t="s">
        <v>9359</v>
      </c>
      <c r="B23" s="8" t="s">
        <v>4735</v>
      </c>
      <c r="C23" s="8" t="s">
        <v>71</v>
      </c>
      <c r="D23" s="8" t="s">
        <v>4449</v>
      </c>
      <c r="E23" s="8" t="s">
        <v>9360</v>
      </c>
      <c r="F23" s="8" t="n">
        <f aca="false">COUNTIF(Dishes!$D:$D,B23)</f>
        <v>2</v>
      </c>
      <c r="G23" s="8" t="n">
        <f aca="false">COUNTIF(Drinks!$D:$D,B23)</f>
        <v>0</v>
      </c>
      <c r="H23" s="8" t="n">
        <f aca="false">F23+G23</f>
        <v>2</v>
      </c>
    </row>
    <row r="24" customFormat="false" ht="15" hidden="false" customHeight="false" outlineLevel="0" collapsed="false">
      <c r="A24" s="8" t="s">
        <v>9361</v>
      </c>
      <c r="B24" s="8" t="s">
        <v>5621</v>
      </c>
      <c r="C24" s="8" t="s">
        <v>73</v>
      </c>
      <c r="D24" s="8" t="s">
        <v>5622</v>
      </c>
      <c r="E24" s="8" t="s">
        <v>9362</v>
      </c>
      <c r="F24" s="8" t="n">
        <f aca="false">COUNTIF(Dishes!$D:$D,B24)</f>
        <v>3</v>
      </c>
      <c r="G24" s="8" t="n">
        <f aca="false">COUNTIF(Drinks!$D:$D,B24)</f>
        <v>1</v>
      </c>
      <c r="H24" s="8" t="n">
        <f aca="false">F24+G24</f>
        <v>4</v>
      </c>
    </row>
    <row r="25" customFormat="false" ht="15" hidden="false" customHeight="false" outlineLevel="0" collapsed="false">
      <c r="A25" s="8" t="s">
        <v>9363</v>
      </c>
      <c r="B25" s="8" t="s">
        <v>7380</v>
      </c>
      <c r="C25" s="8" t="s">
        <v>72</v>
      </c>
      <c r="D25" s="8" t="s">
        <v>9353</v>
      </c>
      <c r="E25" s="8" t="s">
        <v>9364</v>
      </c>
      <c r="F25" s="8" t="n">
        <f aca="false">COUNTIF(Dishes!$D:$D,B25)</f>
        <v>0</v>
      </c>
      <c r="G25" s="8" t="n">
        <f aca="false">COUNTIF(Drinks!$D:$D,B25)</f>
        <v>0</v>
      </c>
      <c r="H25" s="8" t="n">
        <f aca="false">F25+G25</f>
        <v>0</v>
      </c>
    </row>
    <row r="26" customFormat="false" ht="15" hidden="false" customHeight="false" outlineLevel="0" collapsed="false">
      <c r="A26" s="8" t="s">
        <v>9365</v>
      </c>
      <c r="B26" s="8" t="s">
        <v>5817</v>
      </c>
      <c r="C26" s="8" t="s">
        <v>73</v>
      </c>
      <c r="D26" s="8" t="s">
        <v>5818</v>
      </c>
      <c r="E26" s="8" t="s">
        <v>9366</v>
      </c>
      <c r="F26" s="8" t="n">
        <f aca="false">COUNTIF(Dishes!$D:$D,B26)</f>
        <v>1</v>
      </c>
      <c r="G26" s="8" t="n">
        <f aca="false">COUNTIF(Drinks!$D:$D,B26)</f>
        <v>0</v>
      </c>
      <c r="H26" s="8" t="n">
        <f aca="false">F26+G26</f>
        <v>1</v>
      </c>
    </row>
    <row r="27" customFormat="false" ht="15" hidden="false" customHeight="false" outlineLevel="0" collapsed="false">
      <c r="A27" s="8" t="s">
        <v>9367</v>
      </c>
      <c r="B27" s="8" t="s">
        <v>7635</v>
      </c>
      <c r="C27" s="8" t="s">
        <v>74</v>
      </c>
      <c r="D27" s="8" t="s">
        <v>9368</v>
      </c>
      <c r="E27" s="8" t="s">
        <v>9369</v>
      </c>
      <c r="F27" s="8" t="n">
        <f aca="false">COUNTIF(Dishes!$D:$D,B27)</f>
        <v>0</v>
      </c>
      <c r="G27" s="8" t="n">
        <f aca="false">COUNTIF(Drinks!$D:$D,B27)</f>
        <v>0</v>
      </c>
      <c r="H27" s="8" t="n">
        <f aca="false">F27+G27</f>
        <v>0</v>
      </c>
    </row>
    <row r="28" customFormat="false" ht="15" hidden="false" customHeight="false" outlineLevel="0" collapsed="false">
      <c r="A28" s="8" t="s">
        <v>9370</v>
      </c>
      <c r="B28" s="8" t="s">
        <v>7551</v>
      </c>
      <c r="C28" s="8" t="s">
        <v>71</v>
      </c>
      <c r="D28" s="8" t="s">
        <v>4449</v>
      </c>
      <c r="E28" s="8" t="s">
        <v>9371</v>
      </c>
      <c r="F28" s="8" t="n">
        <f aca="false">COUNTIF(Dishes!$D:$D,B28)</f>
        <v>0</v>
      </c>
      <c r="G28" s="8" t="n">
        <f aca="false">COUNTIF(Drinks!$D:$D,B28)</f>
        <v>0</v>
      </c>
      <c r="H28" s="8" t="n">
        <f aca="false">F28+G28</f>
        <v>0</v>
      </c>
    </row>
    <row r="29" customFormat="false" ht="15" hidden="false" customHeight="false" outlineLevel="0" collapsed="false">
      <c r="A29" s="8" t="s">
        <v>9372</v>
      </c>
      <c r="B29" s="8" t="s">
        <v>4081</v>
      </c>
      <c r="C29" s="8" t="s">
        <v>71</v>
      </c>
      <c r="D29" s="8" t="s">
        <v>4082</v>
      </c>
      <c r="E29" s="8" t="s">
        <v>9373</v>
      </c>
      <c r="F29" s="8" t="n">
        <f aca="false">COUNTIF(Dishes!$D:$D,B29)</f>
        <v>24</v>
      </c>
      <c r="G29" s="8" t="n">
        <f aca="false">COUNTIF(Drinks!$D:$D,B29)</f>
        <v>7</v>
      </c>
      <c r="H29" s="8" t="n">
        <f aca="false">F29+G29</f>
        <v>31</v>
      </c>
    </row>
    <row r="30" customFormat="false" ht="15" hidden="false" customHeight="false" outlineLevel="0" collapsed="false">
      <c r="A30" s="8" t="s">
        <v>9374</v>
      </c>
      <c r="B30" s="8" t="s">
        <v>4901</v>
      </c>
      <c r="C30" s="8" t="s">
        <v>70</v>
      </c>
      <c r="D30" s="8" t="s">
        <v>4902</v>
      </c>
      <c r="E30" s="8" t="s">
        <v>9375</v>
      </c>
      <c r="F30" s="8" t="n">
        <f aca="false">COUNTIF(Dishes!$D:$D,B30)</f>
        <v>2</v>
      </c>
      <c r="G30" s="8" t="n">
        <f aca="false">COUNTIF(Drinks!$D:$D,B30)</f>
        <v>0</v>
      </c>
      <c r="H30" s="8" t="n">
        <f aca="false">F30+G30</f>
        <v>2</v>
      </c>
    </row>
    <row r="31" customFormat="false" ht="15" hidden="false" customHeight="false" outlineLevel="0" collapsed="false">
      <c r="A31" s="8" t="s">
        <v>9376</v>
      </c>
      <c r="B31" s="8" t="s">
        <v>4613</v>
      </c>
      <c r="C31" s="8" t="s">
        <v>71</v>
      </c>
      <c r="D31" s="8" t="s">
        <v>4082</v>
      </c>
      <c r="E31" s="8" t="s">
        <v>9377</v>
      </c>
      <c r="F31" s="8" t="n">
        <f aca="false">COUNTIF(Dishes!$D:$D,B31)</f>
        <v>8</v>
      </c>
      <c r="G31" s="8" t="n">
        <f aca="false">COUNTIF(Drinks!$D:$D,B31)</f>
        <v>2</v>
      </c>
      <c r="H31" s="8" t="n">
        <f aca="false">F31+G31</f>
        <v>10</v>
      </c>
    </row>
    <row r="32" customFormat="false" ht="15" hidden="false" customHeight="false" outlineLevel="0" collapsed="false">
      <c r="A32" s="8" t="s">
        <v>9378</v>
      </c>
      <c r="B32" s="8" t="s">
        <v>5852</v>
      </c>
      <c r="C32" s="8" t="s">
        <v>73</v>
      </c>
      <c r="D32" s="8" t="s">
        <v>5830</v>
      </c>
      <c r="E32" s="8" t="s">
        <v>9379</v>
      </c>
      <c r="F32" s="8" t="n">
        <f aca="false">COUNTIF(Dishes!$D:$D,B32)</f>
        <v>1</v>
      </c>
      <c r="G32" s="8" t="n">
        <f aca="false">COUNTIF(Drinks!$D:$D,B32)</f>
        <v>0</v>
      </c>
      <c r="H32" s="8" t="n">
        <f aca="false">F32+G32</f>
        <v>1</v>
      </c>
    </row>
    <row r="33" customFormat="false" ht="15" hidden="false" customHeight="false" outlineLevel="0" collapsed="false">
      <c r="A33" s="8" t="s">
        <v>9380</v>
      </c>
      <c r="B33" s="8" t="s">
        <v>4923</v>
      </c>
      <c r="C33" s="8" t="s">
        <v>71</v>
      </c>
      <c r="D33" s="8" t="s">
        <v>3829</v>
      </c>
      <c r="E33" s="8" t="s">
        <v>9381</v>
      </c>
      <c r="F33" s="8" t="n">
        <f aca="false">COUNTIF(Dishes!$D:$D,B33)</f>
        <v>7</v>
      </c>
      <c r="G33" s="8" t="n">
        <f aca="false">COUNTIF(Drinks!$D:$D,B33)</f>
        <v>2</v>
      </c>
      <c r="H33" s="8" t="n">
        <f aca="false">F33+G33</f>
        <v>9</v>
      </c>
    </row>
    <row r="34" customFormat="false" ht="15" hidden="false" customHeight="false" outlineLevel="0" collapsed="false">
      <c r="A34" s="8" t="s">
        <v>9382</v>
      </c>
      <c r="B34" s="8" t="s">
        <v>4768</v>
      </c>
      <c r="C34" s="8" t="s">
        <v>71</v>
      </c>
      <c r="D34" s="8" t="s">
        <v>4584</v>
      </c>
      <c r="E34" s="8" t="s">
        <v>9383</v>
      </c>
      <c r="F34" s="8" t="n">
        <f aca="false">COUNTIF(Dishes!$D:$D,B34)</f>
        <v>3</v>
      </c>
      <c r="G34" s="8" t="n">
        <f aca="false">COUNTIF(Drinks!$D:$D,B34)</f>
        <v>0</v>
      </c>
      <c r="H34" s="8" t="n">
        <f aca="false">F34+G34</f>
        <v>3</v>
      </c>
    </row>
    <row r="35" customFormat="false" ht="15" hidden="false" customHeight="false" outlineLevel="0" collapsed="false">
      <c r="A35" s="8" t="s">
        <v>9384</v>
      </c>
      <c r="B35" s="8" t="s">
        <v>206</v>
      </c>
      <c r="C35" s="8" t="s">
        <v>70</v>
      </c>
      <c r="D35" s="8" t="s">
        <v>207</v>
      </c>
      <c r="E35" s="8" t="s">
        <v>9385</v>
      </c>
      <c r="F35" s="8" t="n">
        <f aca="false">COUNTIF(Dishes!$D:$D,B35)</f>
        <v>250</v>
      </c>
      <c r="G35" s="8" t="n">
        <f aca="false">COUNTIF(Drinks!$D:$D,B35)</f>
        <v>29</v>
      </c>
      <c r="H35" s="8" t="n">
        <f aca="false">F35+G35</f>
        <v>279</v>
      </c>
    </row>
    <row r="36" customFormat="false" ht="15" hidden="false" customHeight="false" outlineLevel="0" collapsed="false">
      <c r="A36" s="8" t="s">
        <v>9386</v>
      </c>
      <c r="B36" s="8" t="s">
        <v>3547</v>
      </c>
      <c r="C36" s="8" t="s">
        <v>70</v>
      </c>
      <c r="D36" s="8" t="s">
        <v>2789</v>
      </c>
      <c r="E36" s="8" t="s">
        <v>177</v>
      </c>
      <c r="F36" s="8" t="n">
        <f aca="false">COUNTIF(Dishes!$D:$D,B36)</f>
        <v>8</v>
      </c>
      <c r="G36" s="8" t="n">
        <f aca="false">COUNTIF(Drinks!$D:$D,B36)</f>
        <v>0</v>
      </c>
      <c r="H36" s="8" t="n">
        <f aca="false">F36+G36</f>
        <v>8</v>
      </c>
    </row>
    <row r="37" customFormat="false" ht="15" hidden="false" customHeight="false" outlineLevel="0" collapsed="false">
      <c r="A37" s="8" t="s">
        <v>9387</v>
      </c>
      <c r="B37" s="8" t="s">
        <v>6579</v>
      </c>
      <c r="C37" s="8" t="s">
        <v>6579</v>
      </c>
      <c r="D37" s="8"/>
      <c r="E37" s="8"/>
      <c r="F37" s="8" t="n">
        <f aca="false">COUNTIF(Dishes!$D:$D,B37)</f>
        <v>0</v>
      </c>
      <c r="G37" s="8" t="n">
        <f aca="false">COUNTIF(Drinks!$D:$D,B37)</f>
        <v>2</v>
      </c>
      <c r="H37" s="8" t="n">
        <f aca="false">F37+G37</f>
        <v>2</v>
      </c>
    </row>
    <row r="38" customFormat="false" ht="15" hidden="false" customHeight="false" outlineLevel="0" collapsed="false">
      <c r="A38" s="8" t="s">
        <v>9388</v>
      </c>
      <c r="B38" s="8" t="s">
        <v>5747</v>
      </c>
      <c r="C38" s="8" t="s">
        <v>70</v>
      </c>
      <c r="D38" s="8" t="s">
        <v>207</v>
      </c>
      <c r="E38" s="8" t="s">
        <v>9389</v>
      </c>
      <c r="F38" s="8" t="n">
        <f aca="false">COUNTIF(Dishes!$D:$D,B38)</f>
        <v>2</v>
      </c>
      <c r="G38" s="8" t="n">
        <f aca="false">COUNTIF(Drinks!$D:$D,B38)</f>
        <v>0</v>
      </c>
      <c r="H38" s="8" t="n">
        <f aca="false">F38+G38</f>
        <v>2</v>
      </c>
    </row>
    <row r="39" customFormat="false" ht="15" hidden="false" customHeight="false" outlineLevel="0" collapsed="false">
      <c r="A39" s="8" t="s">
        <v>9390</v>
      </c>
      <c r="B39" s="8" t="s">
        <v>7598</v>
      </c>
      <c r="C39" s="8" t="s">
        <v>70</v>
      </c>
      <c r="D39" s="8" t="s">
        <v>4902</v>
      </c>
      <c r="E39" s="8" t="s">
        <v>9391</v>
      </c>
      <c r="F39" s="8" t="n">
        <f aca="false">COUNTIF(Dishes!$D:$D,B39)</f>
        <v>0</v>
      </c>
      <c r="G39" s="8" t="n">
        <f aca="false">COUNTIF(Drinks!$D:$D,B39)</f>
        <v>0</v>
      </c>
      <c r="H39" s="8" t="n">
        <f aca="false">F39+G39</f>
        <v>0</v>
      </c>
    </row>
    <row r="40" customFormat="false" ht="15" hidden="false" customHeight="false" outlineLevel="0" collapsed="false">
      <c r="A40" s="8" t="s">
        <v>9392</v>
      </c>
      <c r="B40" s="8" t="s">
        <v>4574</v>
      </c>
      <c r="C40" s="8" t="s">
        <v>71</v>
      </c>
      <c r="D40" s="8" t="s">
        <v>4449</v>
      </c>
      <c r="E40" s="8" t="s">
        <v>9393</v>
      </c>
      <c r="F40" s="8" t="n">
        <f aca="false">COUNTIF(Dishes!$D:$D,B40)</f>
        <v>1</v>
      </c>
      <c r="G40" s="8" t="n">
        <f aca="false">COUNTIF(Drinks!$D:$D,B40)</f>
        <v>3</v>
      </c>
      <c r="H40" s="8" t="n">
        <f aca="false">F40+G40</f>
        <v>4</v>
      </c>
    </row>
    <row r="41" customFormat="false" ht="15" hidden="false" customHeight="false" outlineLevel="0" collapsed="false">
      <c r="A41" s="8" t="s">
        <v>9394</v>
      </c>
      <c r="B41" s="8" t="s">
        <v>5687</v>
      </c>
      <c r="C41" s="8" t="s">
        <v>70</v>
      </c>
      <c r="D41" s="8" t="s">
        <v>4902</v>
      </c>
      <c r="E41" s="8" t="s">
        <v>9395</v>
      </c>
      <c r="F41" s="8" t="n">
        <f aca="false">COUNTIF(Dishes!$D:$D,B41)</f>
        <v>1</v>
      </c>
      <c r="G41" s="8" t="n">
        <f aca="false">COUNTIF(Drinks!$D:$D,B41)</f>
        <v>1</v>
      </c>
      <c r="H41" s="8" t="n">
        <f aca="false">F41+G41</f>
        <v>2</v>
      </c>
    </row>
    <row r="42" customFormat="false" ht="15" hidden="false" customHeight="false" outlineLevel="0" collapsed="false">
      <c r="A42" s="8" t="s">
        <v>9396</v>
      </c>
      <c r="B42" s="8" t="s">
        <v>3828</v>
      </c>
      <c r="C42" s="8" t="s">
        <v>71</v>
      </c>
      <c r="D42" s="8" t="s">
        <v>3829</v>
      </c>
      <c r="E42" s="8" t="s">
        <v>9397</v>
      </c>
      <c r="F42" s="8" t="n">
        <f aca="false">COUNTIF(Dishes!$D:$D,B42)</f>
        <v>26</v>
      </c>
      <c r="G42" s="8" t="n">
        <f aca="false">COUNTIF(Drinks!$D:$D,B42)</f>
        <v>12</v>
      </c>
      <c r="H42" s="8" t="n">
        <f aca="false">F42+G42</f>
        <v>38</v>
      </c>
    </row>
    <row r="43" customFormat="false" ht="15" hidden="false" customHeight="false" outlineLevel="0" collapsed="false">
      <c r="A43" s="8" t="s">
        <v>9398</v>
      </c>
      <c r="B43" s="8" t="s">
        <v>5405</v>
      </c>
      <c r="C43" s="8" t="s">
        <v>72</v>
      </c>
      <c r="D43" s="8" t="s">
        <v>5406</v>
      </c>
      <c r="E43" s="8" t="s">
        <v>9399</v>
      </c>
      <c r="F43" s="8" t="n">
        <f aca="false">COUNTIF(Dishes!$D:$D,B43)</f>
        <v>2</v>
      </c>
      <c r="G43" s="8" t="n">
        <f aca="false">COUNTIF(Drinks!$D:$D,B43)</f>
        <v>1</v>
      </c>
      <c r="H43" s="8" t="n">
        <f aca="false">F43+G43</f>
        <v>3</v>
      </c>
    </row>
    <row r="44" customFormat="false" ht="15" hidden="false" customHeight="false" outlineLevel="0" collapsed="false">
      <c r="A44" s="8" t="s">
        <v>9400</v>
      </c>
      <c r="B44" s="8" t="s">
        <v>2859</v>
      </c>
      <c r="C44" s="8" t="s">
        <v>70</v>
      </c>
      <c r="D44" s="8" t="s">
        <v>2533</v>
      </c>
      <c r="E44" s="8" t="s">
        <v>9401</v>
      </c>
      <c r="F44" s="8" t="n">
        <f aca="false">COUNTIF(Dishes!$D:$D,B44)</f>
        <v>29</v>
      </c>
      <c r="G44" s="8" t="n">
        <f aca="false">COUNTIF(Drinks!$D:$D,B44)</f>
        <v>4</v>
      </c>
      <c r="H44" s="8" t="n">
        <f aca="false">F44+G44</f>
        <v>33</v>
      </c>
    </row>
    <row r="45" customFormat="false" ht="15" hidden="false" customHeight="false" outlineLevel="0" collapsed="false">
      <c r="A45" s="8" t="s">
        <v>9402</v>
      </c>
      <c r="B45" s="8" t="s">
        <v>5699</v>
      </c>
      <c r="C45" s="8" t="s">
        <v>70</v>
      </c>
      <c r="D45" s="8" t="s">
        <v>4902</v>
      </c>
      <c r="E45" s="8" t="s">
        <v>9403</v>
      </c>
      <c r="F45" s="8" t="n">
        <f aca="false">COUNTIF(Dishes!$D:$D,B45)</f>
        <v>1</v>
      </c>
      <c r="G45" s="8" t="n">
        <f aca="false">COUNTIF(Drinks!$D:$D,B45)</f>
        <v>0</v>
      </c>
      <c r="H45" s="8" t="n">
        <f aca="false">F45+G45</f>
        <v>1</v>
      </c>
    </row>
    <row r="46" customFormat="false" ht="15" hidden="false" customHeight="false" outlineLevel="0" collapsed="false">
      <c r="A46" s="8" t="s">
        <v>9404</v>
      </c>
      <c r="B46" s="8" t="s">
        <v>7508</v>
      </c>
      <c r="C46" s="8" t="s">
        <v>70</v>
      </c>
      <c r="D46" s="8" t="s">
        <v>3813</v>
      </c>
      <c r="E46" s="8" t="s">
        <v>9405</v>
      </c>
      <c r="F46" s="8" t="n">
        <f aca="false">COUNTIF(Dishes!$D:$D,B46)</f>
        <v>0</v>
      </c>
      <c r="G46" s="8" t="n">
        <f aca="false">COUNTIF(Drinks!$D:$D,B46)</f>
        <v>0</v>
      </c>
      <c r="H46" s="8" t="n">
        <f aca="false">F46+G46</f>
        <v>0</v>
      </c>
    </row>
    <row r="47" customFormat="false" ht="15" hidden="false" customHeight="false" outlineLevel="0" collapsed="false">
      <c r="A47" s="8" t="s">
        <v>9406</v>
      </c>
      <c r="B47" s="8" t="s">
        <v>5903</v>
      </c>
      <c r="C47" s="8" t="s">
        <v>73</v>
      </c>
      <c r="D47" s="8" t="s">
        <v>5818</v>
      </c>
      <c r="E47" s="8" t="s">
        <v>9407</v>
      </c>
      <c r="F47" s="8" t="n">
        <f aca="false">COUNTIF(Dishes!$D:$D,B47)</f>
        <v>1</v>
      </c>
      <c r="G47" s="8" t="n">
        <f aca="false">COUNTIF(Drinks!$D:$D,B47)</f>
        <v>0</v>
      </c>
      <c r="H47" s="8" t="n">
        <f aca="false">F47+G47</f>
        <v>1</v>
      </c>
    </row>
    <row r="48" customFormat="false" ht="15" hidden="false" customHeight="false" outlineLevel="0" collapsed="false">
      <c r="A48" s="8" t="s">
        <v>9408</v>
      </c>
      <c r="B48" s="8" t="s">
        <v>7855</v>
      </c>
      <c r="C48" s="8" t="s">
        <v>70</v>
      </c>
      <c r="D48" s="8" t="s">
        <v>2789</v>
      </c>
      <c r="E48" s="8" t="s">
        <v>9409</v>
      </c>
      <c r="F48" s="8" t="n">
        <f aca="false">COUNTIF(Dishes!$D:$D,B48)</f>
        <v>0</v>
      </c>
      <c r="G48" s="8" t="n">
        <f aca="false">COUNTIF(Drinks!$D:$D,B48)</f>
        <v>0</v>
      </c>
      <c r="H48" s="8" t="n">
        <f aca="false">F48+G48</f>
        <v>0</v>
      </c>
    </row>
    <row r="49" customFormat="false" ht="15" hidden="false" customHeight="false" outlineLevel="0" collapsed="false">
      <c r="A49" s="8" t="s">
        <v>9410</v>
      </c>
      <c r="B49" s="8" t="s">
        <v>5609</v>
      </c>
      <c r="C49" s="8" t="s">
        <v>70</v>
      </c>
      <c r="D49" s="8" t="s">
        <v>4902</v>
      </c>
      <c r="E49" s="8" t="s">
        <v>9411</v>
      </c>
      <c r="F49" s="8" t="n">
        <f aca="false">COUNTIF(Dishes!$D:$D,B49)</f>
        <v>7</v>
      </c>
      <c r="G49" s="8" t="n">
        <f aca="false">COUNTIF(Drinks!$D:$D,B49)</f>
        <v>0</v>
      </c>
      <c r="H49" s="8" t="n">
        <f aca="false">F49+G49</f>
        <v>7</v>
      </c>
    </row>
    <row r="50" customFormat="false" ht="15" hidden="false" customHeight="false" outlineLevel="0" collapsed="false">
      <c r="A50" s="8" t="s">
        <v>9412</v>
      </c>
      <c r="B50" s="8" t="s">
        <v>7626</v>
      </c>
      <c r="C50" s="8" t="s">
        <v>73</v>
      </c>
      <c r="D50" s="8" t="s">
        <v>5818</v>
      </c>
      <c r="E50" s="8" t="s">
        <v>9413</v>
      </c>
      <c r="F50" s="8" t="n">
        <f aca="false">COUNTIF(Dishes!$D:$D,B50)</f>
        <v>0</v>
      </c>
      <c r="G50" s="8" t="n">
        <f aca="false">COUNTIF(Drinks!$D:$D,B50)</f>
        <v>0</v>
      </c>
      <c r="H50" s="8" t="n">
        <f aca="false">F50+G50</f>
        <v>0</v>
      </c>
    </row>
    <row r="51" customFormat="false" ht="15" hidden="false" customHeight="false" outlineLevel="0" collapsed="false">
      <c r="A51" s="8" t="s">
        <v>9414</v>
      </c>
      <c r="B51" s="8" t="s">
        <v>3508</v>
      </c>
      <c r="C51" s="8" t="s">
        <v>70</v>
      </c>
      <c r="D51" s="8" t="s">
        <v>2789</v>
      </c>
      <c r="E51" s="8" t="s">
        <v>9415</v>
      </c>
      <c r="F51" s="8" t="n">
        <f aca="false">COUNTIF(Dishes!$D:$D,B51)</f>
        <v>5</v>
      </c>
      <c r="G51" s="8" t="n">
        <f aca="false">COUNTIF(Drinks!$D:$D,B51)</f>
        <v>2</v>
      </c>
      <c r="H51" s="8" t="n">
        <f aca="false">F51+G51</f>
        <v>7</v>
      </c>
    </row>
    <row r="52" customFormat="false" ht="15" hidden="false" customHeight="false" outlineLevel="0" collapsed="false">
      <c r="A52" s="8" t="s">
        <v>9416</v>
      </c>
      <c r="B52" s="8" t="s">
        <v>5207</v>
      </c>
      <c r="C52" s="8" t="s">
        <v>72</v>
      </c>
      <c r="D52" s="8" t="s">
        <v>5047</v>
      </c>
      <c r="E52" s="8" t="s">
        <v>9417</v>
      </c>
      <c r="F52" s="8" t="n">
        <f aca="false">COUNTIF(Dishes!$D:$D,B52)</f>
        <v>16</v>
      </c>
      <c r="G52" s="8" t="n">
        <f aca="false">COUNTIF(Drinks!$D:$D,B52)</f>
        <v>7</v>
      </c>
      <c r="H52" s="8" t="n">
        <f aca="false">F52+G52</f>
        <v>23</v>
      </c>
    </row>
    <row r="53" customFormat="false" ht="15" hidden="false" customHeight="false" outlineLevel="0" collapsed="false">
      <c r="A53" s="8" t="s">
        <v>9418</v>
      </c>
      <c r="B53" s="8" t="s">
        <v>7708</v>
      </c>
      <c r="C53" s="8" t="s">
        <v>70</v>
      </c>
      <c r="D53" s="8" t="s">
        <v>2533</v>
      </c>
      <c r="E53" s="8" t="s">
        <v>9419</v>
      </c>
      <c r="F53" s="8" t="n">
        <f aca="false">COUNTIF(Dishes!$D:$D,B53)</f>
        <v>0</v>
      </c>
      <c r="G53" s="8" t="n">
        <f aca="false">COUNTIF(Drinks!$D:$D,B53)</f>
        <v>0</v>
      </c>
      <c r="H53" s="8" t="n">
        <f aca="false">F53+G53</f>
        <v>0</v>
      </c>
    </row>
    <row r="54" customFormat="false" ht="15" hidden="false" customHeight="false" outlineLevel="0" collapsed="false">
      <c r="A54" s="8" t="s">
        <v>9420</v>
      </c>
      <c r="B54" s="8" t="s">
        <v>5783</v>
      </c>
      <c r="C54" s="8" t="s">
        <v>73</v>
      </c>
      <c r="D54" s="8" t="s">
        <v>5622</v>
      </c>
      <c r="E54" s="8" t="s">
        <v>9421</v>
      </c>
      <c r="F54" s="8" t="n">
        <f aca="false">COUNTIF(Dishes!$D:$D,B54)</f>
        <v>4</v>
      </c>
      <c r="G54" s="8" t="n">
        <f aca="false">COUNTIF(Drinks!$D:$D,B54)</f>
        <v>1</v>
      </c>
      <c r="H54" s="8" t="n">
        <f aca="false">F54+G54</f>
        <v>5</v>
      </c>
    </row>
    <row r="55" customFormat="false" ht="15" hidden="false" customHeight="false" outlineLevel="0" collapsed="false">
      <c r="A55" s="8" t="s">
        <v>9422</v>
      </c>
      <c r="B55" s="8" t="s">
        <v>7623</v>
      </c>
      <c r="C55" s="8" t="s">
        <v>73</v>
      </c>
      <c r="D55" s="8" t="s">
        <v>5818</v>
      </c>
      <c r="E55" s="8" t="s">
        <v>9423</v>
      </c>
      <c r="F55" s="8" t="n">
        <f aca="false">COUNTIF(Dishes!$D:$D,B55)</f>
        <v>0</v>
      </c>
      <c r="G55" s="8" t="n">
        <f aca="false">COUNTIF(Drinks!$D:$D,B55)</f>
        <v>0</v>
      </c>
      <c r="H55" s="8" t="n">
        <f aca="false">F55+G55</f>
        <v>0</v>
      </c>
    </row>
    <row r="56" customFormat="false" ht="15" hidden="false" customHeight="false" outlineLevel="0" collapsed="false">
      <c r="A56" s="8" t="s">
        <v>9424</v>
      </c>
      <c r="B56" s="8" t="s">
        <v>3729</v>
      </c>
      <c r="C56" s="8" t="s">
        <v>70</v>
      </c>
      <c r="D56" s="8" t="s">
        <v>2789</v>
      </c>
      <c r="E56" s="8" t="s">
        <v>9425</v>
      </c>
      <c r="F56" s="8" t="n">
        <f aca="false">COUNTIF(Dishes!$D:$D,B56)</f>
        <v>1</v>
      </c>
      <c r="G56" s="8" t="n">
        <f aca="false">COUNTIF(Drinks!$D:$D,B56)</f>
        <v>0</v>
      </c>
      <c r="H56" s="8" t="n">
        <f aca="false">F56+G56</f>
        <v>1</v>
      </c>
    </row>
    <row r="57" customFormat="false" ht="15" hidden="false" customHeight="false" outlineLevel="0" collapsed="false">
      <c r="A57" s="8" t="s">
        <v>9426</v>
      </c>
      <c r="B57" s="8" t="s">
        <v>3763</v>
      </c>
      <c r="C57" s="8" t="s">
        <v>70</v>
      </c>
      <c r="D57" s="8" t="s">
        <v>207</v>
      </c>
      <c r="E57" s="8" t="s">
        <v>9427</v>
      </c>
      <c r="F57" s="8" t="n">
        <f aca="false">COUNTIF(Dishes!$D:$D,B57)</f>
        <v>1</v>
      </c>
      <c r="G57" s="8" t="n">
        <f aca="false">COUNTIF(Drinks!$D:$D,B57)</f>
        <v>0</v>
      </c>
      <c r="H57" s="8" t="n">
        <f aca="false">F57+G57</f>
        <v>1</v>
      </c>
    </row>
    <row r="58" customFormat="false" ht="15" hidden="false" customHeight="false" outlineLevel="0" collapsed="false">
      <c r="A58" s="8" t="s">
        <v>9428</v>
      </c>
      <c r="B58" s="8" t="s">
        <v>4701</v>
      </c>
      <c r="C58" s="8" t="s">
        <v>71</v>
      </c>
      <c r="D58" s="8" t="s">
        <v>4082</v>
      </c>
      <c r="E58" s="8" t="s">
        <v>9429</v>
      </c>
      <c r="F58" s="8" t="n">
        <f aca="false">COUNTIF(Dishes!$D:$D,B58)</f>
        <v>1</v>
      </c>
      <c r="G58" s="8" t="n">
        <f aca="false">COUNTIF(Drinks!$D:$D,B58)</f>
        <v>0</v>
      </c>
      <c r="H58" s="8" t="n">
        <f aca="false">F58+G58</f>
        <v>1</v>
      </c>
    </row>
    <row r="59" customFormat="false" ht="15" hidden="false" customHeight="false" outlineLevel="0" collapsed="false">
      <c r="A59" s="8" t="s">
        <v>9430</v>
      </c>
      <c r="B59" s="8" t="s">
        <v>5926</v>
      </c>
      <c r="C59" s="8" t="s">
        <v>74</v>
      </c>
      <c r="D59" s="8" t="s">
        <v>5916</v>
      </c>
      <c r="E59" s="8" t="s">
        <v>9431</v>
      </c>
      <c r="F59" s="8" t="n">
        <f aca="false">COUNTIF(Dishes!$D:$D,B59)</f>
        <v>1</v>
      </c>
      <c r="G59" s="8" t="n">
        <f aca="false">COUNTIF(Drinks!$D:$D,B59)</f>
        <v>0</v>
      </c>
      <c r="H59" s="8" t="n">
        <f aca="false">F59+G59</f>
        <v>1</v>
      </c>
    </row>
    <row r="60" customFormat="false" ht="15" hidden="false" customHeight="false" outlineLevel="0" collapsed="false">
      <c r="A60" s="8" t="s">
        <v>9432</v>
      </c>
      <c r="B60" s="8" t="s">
        <v>5829</v>
      </c>
      <c r="C60" s="8" t="s">
        <v>73</v>
      </c>
      <c r="D60" s="8" t="s">
        <v>5830</v>
      </c>
      <c r="E60" s="8" t="s">
        <v>9433</v>
      </c>
      <c r="F60" s="8" t="n">
        <f aca="false">COUNTIF(Dishes!$D:$D,B60)</f>
        <v>2</v>
      </c>
      <c r="G60" s="8" t="n">
        <f aca="false">COUNTIF(Drinks!$D:$D,B60)</f>
        <v>0</v>
      </c>
      <c r="H60" s="8" t="n">
        <f aca="false">F60+G60</f>
        <v>2</v>
      </c>
    </row>
    <row r="61" customFormat="false" ht="15" hidden="false" customHeight="false" outlineLevel="0" collapsed="false">
      <c r="A61" s="8" t="s">
        <v>9434</v>
      </c>
      <c r="B61" s="8" t="s">
        <v>7721</v>
      </c>
      <c r="C61" s="8" t="s">
        <v>71</v>
      </c>
      <c r="D61" s="8" t="s">
        <v>4449</v>
      </c>
      <c r="E61" s="8" t="s">
        <v>9435</v>
      </c>
      <c r="F61" s="8" t="n">
        <f aca="false">COUNTIF(Dishes!$D:$D,B61)</f>
        <v>0</v>
      </c>
      <c r="G61" s="8" t="n">
        <f aca="false">COUNTIF(Drinks!$D:$D,B61)</f>
        <v>0</v>
      </c>
      <c r="H61" s="8" t="n">
        <f aca="false">F61+G61</f>
        <v>0</v>
      </c>
    </row>
    <row r="62" customFormat="false" ht="15" hidden="false" customHeight="false" outlineLevel="0" collapsed="false">
      <c r="A62" s="8" t="s">
        <v>9436</v>
      </c>
      <c r="B62" s="8" t="s">
        <v>3782</v>
      </c>
      <c r="C62" s="8" t="s">
        <v>70</v>
      </c>
      <c r="D62" s="8" t="s">
        <v>207</v>
      </c>
      <c r="E62" s="8" t="s">
        <v>9437</v>
      </c>
      <c r="F62" s="8" t="n">
        <f aca="false">COUNTIF(Dishes!$D:$D,B62)</f>
        <v>2</v>
      </c>
      <c r="G62" s="8" t="n">
        <f aca="false">COUNTIF(Drinks!$D:$D,B62)</f>
        <v>0</v>
      </c>
      <c r="H62" s="8" t="n">
        <f aca="false">F62+G62</f>
        <v>2</v>
      </c>
    </row>
    <row r="63" customFormat="false" ht="15" hidden="false" customHeight="false" outlineLevel="0" collapsed="false">
      <c r="A63" s="8" t="s">
        <v>9438</v>
      </c>
      <c r="B63" s="8" t="s">
        <v>5707</v>
      </c>
      <c r="C63" s="8" t="s">
        <v>70</v>
      </c>
      <c r="D63" s="8" t="s">
        <v>4902</v>
      </c>
      <c r="E63" s="8" t="s">
        <v>9439</v>
      </c>
      <c r="F63" s="8" t="n">
        <f aca="false">COUNTIF(Dishes!$D:$D,B63)</f>
        <v>2</v>
      </c>
      <c r="G63" s="8" t="n">
        <f aca="false">COUNTIF(Drinks!$D:$D,B63)</f>
        <v>0</v>
      </c>
      <c r="H63" s="8" t="n">
        <f aca="false">F63+G63</f>
        <v>2</v>
      </c>
    </row>
    <row r="64" customFormat="false" ht="15" hidden="false" customHeight="false" outlineLevel="0" collapsed="false">
      <c r="A64" s="8" t="s">
        <v>9440</v>
      </c>
      <c r="B64" s="8" t="s">
        <v>5446</v>
      </c>
      <c r="C64" s="8" t="s">
        <v>72</v>
      </c>
      <c r="D64" s="8" t="s">
        <v>5447</v>
      </c>
      <c r="E64" s="8" t="s">
        <v>9441</v>
      </c>
      <c r="F64" s="8" t="n">
        <f aca="false">COUNTIF(Dishes!$D:$D,B64)</f>
        <v>3</v>
      </c>
      <c r="G64" s="8" t="n">
        <f aca="false">COUNTIF(Drinks!$D:$D,B64)</f>
        <v>3</v>
      </c>
      <c r="H64" s="8" t="n">
        <f aca="false">F64+G64</f>
        <v>6</v>
      </c>
    </row>
    <row r="65" customFormat="false" ht="15" hidden="false" customHeight="false" outlineLevel="0" collapsed="false">
      <c r="A65" s="8" t="s">
        <v>9442</v>
      </c>
      <c r="B65" s="8" t="s">
        <v>3653</v>
      </c>
      <c r="C65" s="8" t="s">
        <v>70</v>
      </c>
      <c r="D65" s="8" t="s">
        <v>2789</v>
      </c>
      <c r="E65" s="8" t="s">
        <v>9443</v>
      </c>
      <c r="F65" s="8" t="n">
        <f aca="false">COUNTIF(Dishes!$D:$D,B65)</f>
        <v>7</v>
      </c>
      <c r="G65" s="8" t="n">
        <f aca="false">COUNTIF(Drinks!$D:$D,B65)</f>
        <v>0</v>
      </c>
      <c r="H65" s="8" t="n">
        <f aca="false">F65+G65</f>
        <v>7</v>
      </c>
    </row>
    <row r="66" customFormat="false" ht="15" hidden="false" customHeight="false" outlineLevel="0" collapsed="false">
      <c r="A66" s="8" t="s">
        <v>9444</v>
      </c>
      <c r="B66" s="8" t="s">
        <v>4795</v>
      </c>
      <c r="C66" s="8" t="s">
        <v>71</v>
      </c>
      <c r="D66" s="8" t="s">
        <v>4584</v>
      </c>
      <c r="E66" s="8" t="s">
        <v>9445</v>
      </c>
      <c r="F66" s="8" t="n">
        <f aca="false">COUNTIF(Dishes!$D:$D,B66)</f>
        <v>2</v>
      </c>
      <c r="G66" s="8" t="n">
        <f aca="false">COUNTIF(Drinks!$D:$D,B66)</f>
        <v>0</v>
      </c>
      <c r="H66" s="8" t="n">
        <f aca="false">F66+G66</f>
        <v>2</v>
      </c>
    </row>
    <row r="67" customFormat="false" ht="15" hidden="false" customHeight="false" outlineLevel="0" collapsed="false">
      <c r="A67" s="8" t="s">
        <v>9446</v>
      </c>
      <c r="B67" s="8" t="s">
        <v>4403</v>
      </c>
      <c r="C67" s="8" t="s">
        <v>71</v>
      </c>
      <c r="D67" s="8" t="s">
        <v>3829</v>
      </c>
      <c r="E67" s="8" t="s">
        <v>9447</v>
      </c>
      <c r="F67" s="8" t="n">
        <f aca="false">COUNTIF(Dishes!$D:$D,B67)</f>
        <v>5</v>
      </c>
      <c r="G67" s="8" t="n">
        <f aca="false">COUNTIF(Drinks!$D:$D,B67)</f>
        <v>1</v>
      </c>
      <c r="H67" s="8" t="n">
        <f aca="false">F67+G67</f>
        <v>6</v>
      </c>
    </row>
    <row r="68" customFormat="false" ht="15" hidden="false" customHeight="false" outlineLevel="0" collapsed="false">
      <c r="A68" s="8" t="s">
        <v>9448</v>
      </c>
      <c r="B68" s="8" t="s">
        <v>5985</v>
      </c>
      <c r="C68" s="8" t="s">
        <v>72</v>
      </c>
      <c r="D68" s="8" t="s">
        <v>5406</v>
      </c>
      <c r="E68" s="8" t="s">
        <v>9449</v>
      </c>
      <c r="F68" s="8" t="n">
        <f aca="false">COUNTIF(Dishes!$D:$D,B68)</f>
        <v>0</v>
      </c>
      <c r="G68" s="8" t="n">
        <f aca="false">COUNTIF(Drinks!$D:$D,B68)</f>
        <v>1</v>
      </c>
      <c r="H68" s="8" t="n">
        <f aca="false">F68+G68</f>
        <v>1</v>
      </c>
    </row>
    <row r="69" customFormat="false" ht="15" hidden="false" customHeight="false" outlineLevel="0" collapsed="false">
      <c r="A69" s="8" t="s">
        <v>9450</v>
      </c>
      <c r="B69" s="8" t="s">
        <v>7726</v>
      </c>
      <c r="C69" s="8" t="s">
        <v>71</v>
      </c>
      <c r="D69" s="8" t="s">
        <v>4869</v>
      </c>
      <c r="E69" s="8" t="s">
        <v>9451</v>
      </c>
      <c r="F69" s="8" t="n">
        <f aca="false">COUNTIF(Dishes!$D:$D,B69)</f>
        <v>0</v>
      </c>
      <c r="G69" s="8" t="n">
        <f aca="false">COUNTIF(Drinks!$D:$D,B69)</f>
        <v>0</v>
      </c>
      <c r="H69" s="8" t="n">
        <f aca="false">F69+G69</f>
        <v>0</v>
      </c>
    </row>
    <row r="70" customFormat="false" ht="15" hidden="false" customHeight="false" outlineLevel="0" collapsed="false">
      <c r="A70" s="8" t="s">
        <v>9452</v>
      </c>
      <c r="B70" s="8" t="s">
        <v>4833</v>
      </c>
      <c r="C70" s="8" t="s">
        <v>71</v>
      </c>
      <c r="D70" s="8" t="s">
        <v>4813</v>
      </c>
      <c r="E70" s="8" t="s">
        <v>9453</v>
      </c>
      <c r="F70" s="8" t="n">
        <f aca="false">COUNTIF(Dishes!$D:$D,B70)</f>
        <v>4</v>
      </c>
      <c r="G70" s="8" t="n">
        <f aca="false">COUNTIF(Drinks!$D:$D,B70)</f>
        <v>0</v>
      </c>
      <c r="H70" s="8" t="n">
        <f aca="false">F70+G70</f>
        <v>4</v>
      </c>
    </row>
    <row r="71" customFormat="false" ht="15" hidden="false" customHeight="false" outlineLevel="0" collapsed="false">
      <c r="A71" s="8" t="s">
        <v>9454</v>
      </c>
      <c r="B71" s="8" t="s">
        <v>5725</v>
      </c>
      <c r="C71" s="8" t="s">
        <v>70</v>
      </c>
      <c r="D71" s="8" t="s">
        <v>4902</v>
      </c>
      <c r="E71" s="8" t="s">
        <v>9455</v>
      </c>
      <c r="F71" s="8" t="n">
        <f aca="false">COUNTIF(Dishes!$D:$D,B71)</f>
        <v>1</v>
      </c>
      <c r="G71" s="8" t="n">
        <f aca="false">COUNTIF(Drinks!$D:$D,B71)</f>
        <v>0</v>
      </c>
      <c r="H71" s="8" t="n">
        <f aca="false">F71+G71</f>
        <v>1</v>
      </c>
    </row>
    <row r="72" customFormat="false" ht="15" hidden="false" customHeight="false" outlineLevel="0" collapsed="false">
      <c r="A72" s="8" t="s">
        <v>9456</v>
      </c>
      <c r="B72" s="8" t="s">
        <v>5862</v>
      </c>
      <c r="C72" s="8" t="s">
        <v>73</v>
      </c>
      <c r="D72" s="8" t="s">
        <v>5830</v>
      </c>
      <c r="E72" s="8" t="s">
        <v>9457</v>
      </c>
      <c r="F72" s="8" t="n">
        <f aca="false">COUNTIF(Dishes!$D:$D,B72)</f>
        <v>1</v>
      </c>
      <c r="G72" s="8" t="n">
        <f aca="false">COUNTIF(Drinks!$D:$D,B72)</f>
        <v>0</v>
      </c>
      <c r="H72" s="8" t="n">
        <f aca="false">F72+G72</f>
        <v>1</v>
      </c>
    </row>
    <row r="73" customFormat="false" ht="15" hidden="false" customHeight="false" outlineLevel="0" collapsed="false">
      <c r="A73" s="8" t="s">
        <v>9458</v>
      </c>
      <c r="B73" s="8" t="s">
        <v>7359</v>
      </c>
      <c r="C73" s="8" t="s">
        <v>71</v>
      </c>
      <c r="D73" s="8" t="s">
        <v>4869</v>
      </c>
      <c r="E73" s="8" t="s">
        <v>9459</v>
      </c>
      <c r="F73" s="8" t="n">
        <f aca="false">COUNTIF(Dishes!$D:$D,B73)</f>
        <v>0</v>
      </c>
      <c r="G73" s="8" t="n">
        <f aca="false">COUNTIF(Drinks!$D:$D,B73)</f>
        <v>0</v>
      </c>
      <c r="H73" s="8" t="n">
        <f aca="false">F73+G73</f>
        <v>0</v>
      </c>
    </row>
    <row r="74" customFormat="false" ht="15" hidden="false" customHeight="false" outlineLevel="0" collapsed="false">
      <c r="A74" s="8" t="s">
        <v>9460</v>
      </c>
      <c r="B74" s="8" t="s">
        <v>2788</v>
      </c>
      <c r="C74" s="8" t="s">
        <v>70</v>
      </c>
      <c r="D74" s="8" t="s">
        <v>2789</v>
      </c>
      <c r="E74" s="8" t="s">
        <v>9461</v>
      </c>
      <c r="F74" s="8" t="n">
        <f aca="false">COUNTIF(Dishes!$D:$D,B74)</f>
        <v>4</v>
      </c>
      <c r="G74" s="8" t="n">
        <f aca="false">COUNTIF(Drinks!$D:$D,B74)</f>
        <v>1</v>
      </c>
      <c r="H74" s="8" t="n">
        <f aca="false">F74+G74</f>
        <v>5</v>
      </c>
    </row>
    <row r="75" customFormat="false" ht="15" hidden="false" customHeight="false" outlineLevel="0" collapsed="false">
      <c r="A75" s="8" t="s">
        <v>9462</v>
      </c>
      <c r="B75" s="8" t="s">
        <v>5872</v>
      </c>
      <c r="C75" s="8" t="s">
        <v>73</v>
      </c>
      <c r="D75" s="8" t="s">
        <v>5873</v>
      </c>
      <c r="E75" s="8" t="s">
        <v>9463</v>
      </c>
      <c r="F75" s="8" t="n">
        <f aca="false">COUNTIF(Dishes!$D:$D,B75)</f>
        <v>3</v>
      </c>
      <c r="G75" s="8" t="n">
        <f aca="false">COUNTIF(Drinks!$D:$D,B75)</f>
        <v>1</v>
      </c>
      <c r="H75" s="8" t="n">
        <f aca="false">F75+G75</f>
        <v>4</v>
      </c>
    </row>
    <row r="76" customFormat="false" ht="15" hidden="false" customHeight="false" outlineLevel="0" collapsed="false">
      <c r="A76" s="8" t="s">
        <v>9464</v>
      </c>
      <c r="B76" s="8" t="s">
        <v>3137</v>
      </c>
      <c r="C76" s="8" t="s">
        <v>70</v>
      </c>
      <c r="D76" s="8" t="s">
        <v>2533</v>
      </c>
      <c r="E76" s="8" t="s">
        <v>9465</v>
      </c>
      <c r="F76" s="8" t="n">
        <f aca="false">COUNTIF(Dishes!$D:$D,B76)</f>
        <v>19</v>
      </c>
      <c r="G76" s="8" t="n">
        <f aca="false">COUNTIF(Drinks!$D:$D,B76)</f>
        <v>3</v>
      </c>
      <c r="H76" s="8" t="n">
        <f aca="false">F76+G76</f>
        <v>22</v>
      </c>
    </row>
    <row r="77" customFormat="false" ht="15" hidden="false" customHeight="false" outlineLevel="0" collapsed="false">
      <c r="A77" s="8" t="s">
        <v>9466</v>
      </c>
      <c r="B77" s="8" t="s">
        <v>4325</v>
      </c>
      <c r="C77" s="8" t="s">
        <v>71</v>
      </c>
      <c r="D77" s="8" t="s">
        <v>3829</v>
      </c>
      <c r="E77" s="8" t="s">
        <v>9467</v>
      </c>
      <c r="F77" s="8" t="n">
        <f aca="false">COUNTIF(Dishes!$D:$D,B77)</f>
        <v>8</v>
      </c>
      <c r="G77" s="8" t="n">
        <f aca="false">COUNTIF(Drinks!$D:$D,B77)</f>
        <v>3</v>
      </c>
      <c r="H77" s="8" t="n">
        <f aca="false">F77+G77</f>
        <v>11</v>
      </c>
    </row>
    <row r="78" customFormat="false" ht="15" hidden="false" customHeight="false" outlineLevel="0" collapsed="false">
      <c r="A78" s="8" t="s">
        <v>9468</v>
      </c>
      <c r="B78" s="8" t="s">
        <v>3739</v>
      </c>
      <c r="C78" s="8" t="s">
        <v>70</v>
      </c>
      <c r="D78" s="8" t="s">
        <v>207</v>
      </c>
      <c r="E78" s="8" t="s">
        <v>9469</v>
      </c>
      <c r="F78" s="8" t="n">
        <f aca="false">COUNTIF(Dishes!$D:$D,B78)</f>
        <v>2</v>
      </c>
      <c r="G78" s="8" t="n">
        <f aca="false">COUNTIF(Drinks!$D:$D,B78)</f>
        <v>0</v>
      </c>
      <c r="H78" s="8" t="n">
        <f aca="false">F78+G78</f>
        <v>2</v>
      </c>
    </row>
    <row r="79" customFormat="false" ht="15" hidden="false" customHeight="false" outlineLevel="0" collapsed="false">
      <c r="A79" s="8" t="s">
        <v>9470</v>
      </c>
      <c r="B79" s="8" t="s">
        <v>4713</v>
      </c>
      <c r="C79" s="8" t="s">
        <v>71</v>
      </c>
      <c r="D79" s="8" t="s">
        <v>4449</v>
      </c>
      <c r="E79" s="8" t="s">
        <v>9471</v>
      </c>
      <c r="F79" s="8" t="n">
        <f aca="false">COUNTIF(Dishes!$D:$D,B79)</f>
        <v>3</v>
      </c>
      <c r="G79" s="8" t="n">
        <f aca="false">COUNTIF(Drinks!$D:$D,B79)</f>
        <v>0</v>
      </c>
      <c r="H79" s="8" t="n">
        <f aca="false">F79+G79</f>
        <v>3</v>
      </c>
    </row>
    <row r="80" customFormat="false" ht="15" hidden="false" customHeight="false" outlineLevel="0" collapsed="false">
      <c r="A80" s="8" t="s">
        <v>9472</v>
      </c>
      <c r="B80" s="8" t="s">
        <v>4296</v>
      </c>
      <c r="C80" s="8" t="s">
        <v>71</v>
      </c>
      <c r="D80" s="8" t="s">
        <v>4082</v>
      </c>
      <c r="E80" s="8" t="s">
        <v>9473</v>
      </c>
      <c r="F80" s="8" t="n">
        <f aca="false">COUNTIF(Dishes!$D:$D,B80)</f>
        <v>3</v>
      </c>
      <c r="G80" s="8" t="n">
        <f aca="false">COUNTIF(Drinks!$D:$D,B80)</f>
        <v>1</v>
      </c>
      <c r="H80" s="8" t="n">
        <f aca="false">F80+G80</f>
        <v>4</v>
      </c>
    </row>
    <row r="81" customFormat="false" ht="15" hidden="false" customHeight="false" outlineLevel="0" collapsed="false">
      <c r="A81" s="8" t="s">
        <v>9474</v>
      </c>
      <c r="B81" s="8" t="s">
        <v>8076</v>
      </c>
      <c r="C81" s="8" t="s">
        <v>70</v>
      </c>
      <c r="D81" s="8" t="s">
        <v>4902</v>
      </c>
      <c r="E81" s="8" t="s">
        <v>9475</v>
      </c>
      <c r="F81" s="8" t="n">
        <f aca="false">COUNTIF(Dishes!$D:$D,B81)</f>
        <v>0</v>
      </c>
      <c r="G81" s="8" t="n">
        <f aca="false">COUNTIF(Drinks!$D:$D,B81)</f>
        <v>0</v>
      </c>
      <c r="H81" s="8" t="n">
        <f aca="false">F81+G81</f>
        <v>0</v>
      </c>
    </row>
    <row r="82" customFormat="false" ht="15" hidden="false" customHeight="false" outlineLevel="0" collapsed="false">
      <c r="A82" s="8" t="s">
        <v>9476</v>
      </c>
      <c r="B82" s="8" t="s">
        <v>6793</v>
      </c>
      <c r="C82" s="8" t="s">
        <v>70</v>
      </c>
      <c r="D82" s="8" t="s">
        <v>2533</v>
      </c>
      <c r="E82" s="8" t="s">
        <v>9477</v>
      </c>
      <c r="F82" s="8" t="n">
        <f aca="false">COUNTIF(Dishes!$D:$D,B82)</f>
        <v>0</v>
      </c>
      <c r="G82" s="8" t="n">
        <f aca="false">COUNTIF(Drinks!$D:$D,B82)</f>
        <v>1</v>
      </c>
      <c r="H82" s="8" t="n">
        <f aca="false">F82+G82</f>
        <v>1</v>
      </c>
    </row>
    <row r="83" customFormat="false" ht="15" hidden="false" customHeight="false" outlineLevel="0" collapsed="false">
      <c r="A83" s="8" t="s">
        <v>9478</v>
      </c>
      <c r="B83" s="8" t="s">
        <v>7617</v>
      </c>
      <c r="C83" s="8" t="s">
        <v>73</v>
      </c>
      <c r="D83" s="8" t="s">
        <v>5818</v>
      </c>
      <c r="E83" s="8" t="s">
        <v>9479</v>
      </c>
      <c r="F83" s="8" t="n">
        <f aca="false">COUNTIF(Dishes!$D:$D,B83)</f>
        <v>0</v>
      </c>
      <c r="G83" s="8" t="n">
        <f aca="false">COUNTIF(Drinks!$D:$D,B83)</f>
        <v>0</v>
      </c>
      <c r="H83" s="8" t="n">
        <f aca="false">F83+G83</f>
        <v>0</v>
      </c>
    </row>
    <row r="84" customFormat="false" ht="15" hidden="false" customHeight="false" outlineLevel="0" collapsed="false">
      <c r="A84" s="8" t="s">
        <v>9480</v>
      </c>
      <c r="B84" s="8" t="s">
        <v>3309</v>
      </c>
      <c r="C84" s="8" t="s">
        <v>70</v>
      </c>
      <c r="D84" s="8" t="s">
        <v>2789</v>
      </c>
      <c r="E84" s="8" t="s">
        <v>9481</v>
      </c>
      <c r="F84" s="8" t="n">
        <f aca="false">COUNTIF(Dishes!$D:$D,B84)</f>
        <v>14</v>
      </c>
      <c r="G84" s="8" t="n">
        <f aca="false">COUNTIF(Drinks!$D:$D,B84)</f>
        <v>1</v>
      </c>
      <c r="H84" s="8" t="n">
        <f aca="false">F84+G84</f>
        <v>15</v>
      </c>
    </row>
    <row r="85" customFormat="false" ht="15" hidden="false" customHeight="false" outlineLevel="0" collapsed="false">
      <c r="A85" s="8" t="s">
        <v>9482</v>
      </c>
      <c r="B85" s="8" t="s">
        <v>7583</v>
      </c>
      <c r="C85" s="8" t="s">
        <v>72</v>
      </c>
      <c r="D85" s="8" t="s">
        <v>5406</v>
      </c>
      <c r="E85" s="8" t="s">
        <v>9483</v>
      </c>
      <c r="F85" s="8" t="n">
        <f aca="false">COUNTIF(Dishes!$D:$D,B85)</f>
        <v>0</v>
      </c>
      <c r="G85" s="8" t="n">
        <f aca="false">COUNTIF(Drinks!$D:$D,B85)</f>
        <v>0</v>
      </c>
      <c r="H85" s="8" t="n">
        <f aca="false">F85+G85</f>
        <v>0</v>
      </c>
    </row>
    <row r="86" customFormat="false" ht="15" hidden="false" customHeight="false" outlineLevel="0" collapsed="false">
      <c r="A86" s="8" t="s">
        <v>9484</v>
      </c>
      <c r="B86" s="8" t="s">
        <v>7417</v>
      </c>
      <c r="C86" s="8" t="s">
        <v>73</v>
      </c>
      <c r="D86" s="8" t="s">
        <v>5622</v>
      </c>
      <c r="E86" s="8" t="s">
        <v>9485</v>
      </c>
      <c r="F86" s="8" t="n">
        <f aca="false">COUNTIF(Dishes!$D:$D,B86)</f>
        <v>0</v>
      </c>
      <c r="G86" s="8" t="n">
        <f aca="false">COUNTIF(Drinks!$D:$D,B86)</f>
        <v>0</v>
      </c>
      <c r="H86" s="8" t="n">
        <f aca="false">F86+G86</f>
        <v>0</v>
      </c>
    </row>
    <row r="87" customFormat="false" ht="15" hidden="false" customHeight="false" outlineLevel="0" collapsed="false">
      <c r="A87" s="8" t="s">
        <v>9486</v>
      </c>
      <c r="B87" s="8" t="s">
        <v>4987</v>
      </c>
      <c r="C87" s="8" t="s">
        <v>70</v>
      </c>
      <c r="D87" s="8" t="s">
        <v>4902</v>
      </c>
      <c r="E87" s="8" t="s">
        <v>9487</v>
      </c>
      <c r="F87" s="8" t="n">
        <f aca="false">COUNTIF(Dishes!$D:$D,B87)</f>
        <v>6</v>
      </c>
      <c r="G87" s="8" t="n">
        <f aca="false">COUNTIF(Drinks!$D:$D,B87)</f>
        <v>3</v>
      </c>
      <c r="H87" s="8" t="n">
        <f aca="false">F87+G87</f>
        <v>9</v>
      </c>
    </row>
    <row r="88" customFormat="false" ht="15" hidden="false" customHeight="false" outlineLevel="0" collapsed="false">
      <c r="A88" s="8" t="s">
        <v>9488</v>
      </c>
      <c r="B88" s="8" t="s">
        <v>7620</v>
      </c>
      <c r="C88" s="8" t="s">
        <v>73</v>
      </c>
      <c r="D88" s="8" t="s">
        <v>5818</v>
      </c>
      <c r="E88" s="8" t="s">
        <v>9489</v>
      </c>
      <c r="F88" s="8" t="n">
        <f aca="false">COUNTIF(Dishes!$D:$D,B88)</f>
        <v>0</v>
      </c>
      <c r="G88" s="8" t="n">
        <f aca="false">COUNTIF(Drinks!$D:$D,B88)</f>
        <v>0</v>
      </c>
      <c r="H88" s="8" t="n">
        <f aca="false">F88+G88</f>
        <v>0</v>
      </c>
    </row>
    <row r="89" customFormat="false" ht="15" hidden="false" customHeight="false" outlineLevel="0" collapsed="false">
      <c r="A89" s="8" t="s">
        <v>9490</v>
      </c>
      <c r="B89" s="8" t="s">
        <v>4812</v>
      </c>
      <c r="C89" s="8" t="s">
        <v>71</v>
      </c>
      <c r="D89" s="8" t="s">
        <v>4813</v>
      </c>
      <c r="E89" s="8" t="s">
        <v>9491</v>
      </c>
      <c r="F89" s="8" t="n">
        <f aca="false">COUNTIF(Dishes!$D:$D,B89)</f>
        <v>2</v>
      </c>
      <c r="G89" s="8" t="n">
        <f aca="false">COUNTIF(Drinks!$D:$D,B89)</f>
        <v>0</v>
      </c>
      <c r="H89" s="8" t="n">
        <f aca="false">F89+G89</f>
        <v>2</v>
      </c>
    </row>
    <row r="90" customFormat="false" ht="15" hidden="false" customHeight="false" outlineLevel="0" collapsed="false">
      <c r="A90" s="8" t="s">
        <v>9492</v>
      </c>
      <c r="B90" s="8" t="s">
        <v>7404</v>
      </c>
      <c r="C90" s="8" t="s">
        <v>70</v>
      </c>
      <c r="D90" s="8" t="s">
        <v>4902</v>
      </c>
      <c r="E90" s="8" t="s">
        <v>9493</v>
      </c>
      <c r="F90" s="8" t="n">
        <f aca="false">COUNTIF(Dishes!$D:$D,B90)</f>
        <v>0</v>
      </c>
      <c r="G90" s="8" t="n">
        <f aca="false">COUNTIF(Drinks!$D:$D,B90)</f>
        <v>0</v>
      </c>
      <c r="H90" s="8" t="n">
        <f aca="false">F90+G90</f>
        <v>0</v>
      </c>
    </row>
    <row r="91" customFormat="false" ht="15" hidden="false" customHeight="false" outlineLevel="0" collapsed="false">
      <c r="A91" s="8" t="s">
        <v>9494</v>
      </c>
      <c r="B91" s="8" t="s">
        <v>4448</v>
      </c>
      <c r="C91" s="8" t="s">
        <v>71</v>
      </c>
      <c r="D91" s="8" t="s">
        <v>4449</v>
      </c>
      <c r="E91" s="8" t="s">
        <v>9495</v>
      </c>
      <c r="F91" s="8" t="n">
        <f aca="false">COUNTIF(Dishes!$D:$D,B91)</f>
        <v>13</v>
      </c>
      <c r="G91" s="8" t="n">
        <f aca="false">COUNTIF(Drinks!$D:$D,B91)</f>
        <v>10</v>
      </c>
      <c r="H91" s="8" t="n">
        <f aca="false">F91+G91</f>
        <v>23</v>
      </c>
    </row>
    <row r="92" customFormat="false" ht="15" hidden="false" customHeight="false" outlineLevel="0" collapsed="false">
      <c r="A92" s="8" t="s">
        <v>9496</v>
      </c>
      <c r="B92" s="8" t="s">
        <v>5046</v>
      </c>
      <c r="C92" s="8" t="s">
        <v>72</v>
      </c>
      <c r="D92" s="8" t="s">
        <v>5047</v>
      </c>
      <c r="E92" s="8" t="s">
        <v>9497</v>
      </c>
      <c r="F92" s="8" t="n">
        <f aca="false">COUNTIF(Dishes!$D:$D,B92)</f>
        <v>22</v>
      </c>
      <c r="G92" s="8" t="n">
        <f aca="false">COUNTIF(Drinks!$D:$D,B92)</f>
        <v>21</v>
      </c>
      <c r="H92" s="8" t="n">
        <f aca="false">F92+G92</f>
        <v>43</v>
      </c>
    </row>
    <row r="93" customFormat="false" ht="15" hidden="false" customHeight="false" outlineLevel="0" collapsed="false">
      <c r="A93" s="8" t="s">
        <v>9498</v>
      </c>
      <c r="B93" s="8" t="s">
        <v>7399</v>
      </c>
      <c r="C93" s="8" t="s">
        <v>72</v>
      </c>
      <c r="D93" s="8" t="s">
        <v>5447</v>
      </c>
      <c r="E93" s="8" t="s">
        <v>9499</v>
      </c>
      <c r="F93" s="8" t="n">
        <f aca="false">COUNTIF(Dishes!$D:$D,B93)</f>
        <v>0</v>
      </c>
      <c r="G93" s="8" t="n">
        <f aca="false">COUNTIF(Drinks!$D:$D,B93)</f>
        <v>0</v>
      </c>
      <c r="H93" s="8" t="n">
        <f aca="false">F93+G93</f>
        <v>0</v>
      </c>
    </row>
    <row r="94" customFormat="false" ht="15" hidden="false" customHeight="false" outlineLevel="0" collapsed="false">
      <c r="A94" s="8" t="s">
        <v>9500</v>
      </c>
      <c r="B94" s="8" t="s">
        <v>3812</v>
      </c>
      <c r="C94" s="8" t="s">
        <v>70</v>
      </c>
      <c r="D94" s="8" t="s">
        <v>3813</v>
      </c>
      <c r="E94" s="8" t="s">
        <v>9501</v>
      </c>
      <c r="F94" s="8" t="n">
        <f aca="false">COUNTIF(Dishes!$D:$D,B94)</f>
        <v>2</v>
      </c>
      <c r="G94" s="8" t="n">
        <f aca="false">COUNTIF(Drinks!$D:$D,B94)</f>
        <v>0</v>
      </c>
      <c r="H94" s="8" t="n">
        <f aca="false">F94+G94</f>
        <v>2</v>
      </c>
    </row>
    <row r="95" customFormat="false" ht="15" hidden="false" customHeight="false" outlineLevel="0" collapsed="false">
      <c r="A95" s="8" t="s">
        <v>9502</v>
      </c>
      <c r="B95" s="8" t="s">
        <v>5588</v>
      </c>
      <c r="C95" s="8" t="s">
        <v>72</v>
      </c>
      <c r="D95" s="8" t="s">
        <v>5447</v>
      </c>
      <c r="E95" s="8" t="s">
        <v>9503</v>
      </c>
      <c r="F95" s="8" t="n">
        <f aca="false">COUNTIF(Dishes!$D:$D,B95)</f>
        <v>1</v>
      </c>
      <c r="G95" s="8" t="n">
        <f aca="false">COUNTIF(Drinks!$D:$D,B95)</f>
        <v>0</v>
      </c>
      <c r="H95" s="8" t="n">
        <f aca="false">F95+G95</f>
        <v>1</v>
      </c>
    </row>
    <row r="96" customFormat="false" ht="15" hidden="false" customHeight="false" outlineLevel="0" collapsed="false">
      <c r="A96" s="8" t="s">
        <v>9504</v>
      </c>
      <c r="B96" s="8" t="s">
        <v>3435</v>
      </c>
      <c r="C96" s="8" t="s">
        <v>70</v>
      </c>
      <c r="D96" s="8" t="s">
        <v>2789</v>
      </c>
      <c r="E96" s="8" t="s">
        <v>9505</v>
      </c>
      <c r="F96" s="8" t="n">
        <f aca="false">COUNTIF(Dishes!$D:$D,B96)</f>
        <v>8</v>
      </c>
      <c r="G96" s="8" t="n">
        <f aca="false">COUNTIF(Drinks!$D:$D,B96)</f>
        <v>1</v>
      </c>
      <c r="H96" s="8" t="n">
        <f aca="false">F96+G96</f>
        <v>9</v>
      </c>
    </row>
    <row r="97" customFormat="false" ht="15" hidden="false" customHeight="false" outlineLevel="0" collapsed="false">
      <c r="A97" s="8" t="s">
        <v>9506</v>
      </c>
      <c r="B97" s="8" t="s">
        <v>5736</v>
      </c>
      <c r="C97" s="8" t="s">
        <v>70</v>
      </c>
      <c r="D97" s="8" t="s">
        <v>4902</v>
      </c>
      <c r="E97" s="8" t="s">
        <v>9507</v>
      </c>
      <c r="F97" s="8" t="n">
        <f aca="false">COUNTIF(Dishes!$D:$D,B97)</f>
        <v>1</v>
      </c>
      <c r="G97" s="8" t="n">
        <f aca="false">COUNTIF(Drinks!$D:$D,B97)</f>
        <v>0</v>
      </c>
      <c r="H97" s="8" t="n">
        <f aca="false">F97+G97</f>
        <v>1</v>
      </c>
    </row>
  </sheetData>
  <autoFilter ref="A1:H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9"/>
    <col collapsed="false" customWidth="true" hidden="false" outlineLevel="0" max="4" min="4" style="0" width="10"/>
  </cols>
  <sheetData>
    <row r="1" customFormat="false" ht="30" hidden="false" customHeight="true" outlineLevel="0" collapsed="false">
      <c r="A1" s="17" t="s">
        <v>102</v>
      </c>
      <c r="B1" s="17" t="s">
        <v>65</v>
      </c>
      <c r="C1" s="17" t="s">
        <v>66</v>
      </c>
      <c r="D1" s="17" t="s">
        <v>9316</v>
      </c>
    </row>
    <row r="2" customFormat="false" ht="15" hidden="false" customHeight="false" outlineLevel="0" collapsed="false">
      <c r="A2" s="8" t="s">
        <v>113</v>
      </c>
      <c r="B2" s="8" t="n">
        <f aca="false">COUNTIFS(Dishes!$E:$E,A2,Dishes!$D:$D,"India")</f>
        <v>6</v>
      </c>
      <c r="C2" s="8" t="n">
        <f aca="false">COUNTIFS(Drinks!$E:$E,A2,Drinks!$D:$D,"India")</f>
        <v>0</v>
      </c>
      <c r="D2" s="8" t="n">
        <f aca="false">B2+C2</f>
        <v>6</v>
      </c>
    </row>
    <row r="3" customFormat="false" ht="15" hidden="false" customHeight="false" outlineLevel="0" collapsed="false">
      <c r="A3" s="8" t="s">
        <v>130</v>
      </c>
      <c r="B3" s="8" t="n">
        <f aca="false">COUNTIFS(Dishes!$E:$E,A3,Dishes!$D:$D,"India")</f>
        <v>0</v>
      </c>
      <c r="C3" s="8" t="n">
        <f aca="false">COUNTIFS(Drinks!$E:$E,A3,Drinks!$D:$D,"India")</f>
        <v>0</v>
      </c>
      <c r="D3" s="8" t="n">
        <f aca="false">B3+C3</f>
        <v>0</v>
      </c>
    </row>
    <row r="4" customFormat="false" ht="15" hidden="false" customHeight="false" outlineLevel="0" collapsed="false">
      <c r="A4" s="8" t="s">
        <v>121</v>
      </c>
      <c r="B4" s="8" t="n">
        <f aca="false">COUNTIFS(Dishes!$E:$E,A4,Dishes!$D:$D,"India")</f>
        <v>2</v>
      </c>
      <c r="C4" s="8" t="n">
        <f aca="false">COUNTIFS(Drinks!$E:$E,A4,Drinks!$D:$D,"India")</f>
        <v>0</v>
      </c>
      <c r="D4" s="8" t="n">
        <f aca="false">B4+C4</f>
        <v>2</v>
      </c>
    </row>
    <row r="5" customFormat="false" ht="15" hidden="false" customHeight="false" outlineLevel="0" collapsed="false">
      <c r="A5" s="8" t="s">
        <v>118</v>
      </c>
      <c r="B5" s="8" t="n">
        <f aca="false">COUNTIFS(Dishes!$E:$E,A5,Dishes!$D:$D,"India")</f>
        <v>2</v>
      </c>
      <c r="C5" s="8" t="n">
        <f aca="false">COUNTIFS(Drinks!$E:$E,A5,Drinks!$D:$D,"India")</f>
        <v>1</v>
      </c>
      <c r="D5" s="8" t="n">
        <f aca="false">B5+C5</f>
        <v>3</v>
      </c>
    </row>
    <row r="6" customFormat="false" ht="15" hidden="false" customHeight="false" outlineLevel="0" collapsed="false">
      <c r="A6" s="8" t="s">
        <v>126</v>
      </c>
      <c r="B6" s="8" t="n">
        <f aca="false">COUNTIFS(Dishes!$E:$E,A6,Dishes!$D:$D,"India")</f>
        <v>1</v>
      </c>
      <c r="C6" s="8" t="n">
        <f aca="false">COUNTIFS(Drinks!$E:$E,A6,Drinks!$D:$D,"India")</f>
        <v>0</v>
      </c>
      <c r="D6" s="8" t="n">
        <f aca="false">B6+C6</f>
        <v>1</v>
      </c>
    </row>
    <row r="7" customFormat="false" ht="15" hidden="false" customHeight="false" outlineLevel="0" collapsed="false">
      <c r="A7" s="8" t="s">
        <v>108</v>
      </c>
      <c r="B7" s="8" t="n">
        <f aca="false">COUNTIFS(Dishes!$E:$E,A7,Dishes!$D:$D,"India")</f>
        <v>12</v>
      </c>
      <c r="C7" s="8" t="n">
        <f aca="false">COUNTIFS(Drinks!$E:$E,A7,Drinks!$D:$D,"India")</f>
        <v>1</v>
      </c>
      <c r="D7" s="8" t="n">
        <f aca="false">B7+C7</f>
        <v>13</v>
      </c>
    </row>
    <row r="8" customFormat="false" ht="15" hidden="false" customHeight="false" outlineLevel="0" collapsed="false">
      <c r="A8" s="8" t="s">
        <v>116</v>
      </c>
      <c r="B8" s="8" t="n">
        <f aca="false">COUNTIFS(Dishes!$E:$E,A8,Dishes!$D:$D,"India")</f>
        <v>6</v>
      </c>
      <c r="C8" s="8" t="n">
        <f aca="false">COUNTIFS(Drinks!$E:$E,A8,Drinks!$D:$D,"India")</f>
        <v>0</v>
      </c>
      <c r="D8" s="8" t="n">
        <f aca="false">B8+C8</f>
        <v>6</v>
      </c>
    </row>
    <row r="9" customFormat="false" ht="15" hidden="false" customHeight="false" outlineLevel="0" collapsed="false">
      <c r="A9" s="8" t="s">
        <v>111</v>
      </c>
      <c r="B9" s="8" t="n">
        <f aca="false">COUNTIFS(Dishes!$E:$E,A9,Dishes!$D:$D,"India")</f>
        <v>13</v>
      </c>
      <c r="C9" s="8" t="n">
        <f aca="false">COUNTIFS(Drinks!$E:$E,A9,Drinks!$D:$D,"India")</f>
        <v>0</v>
      </c>
      <c r="D9" s="8" t="n">
        <f aca="false">B9+C9</f>
        <v>13</v>
      </c>
    </row>
    <row r="10" customFormat="false" ht="15" hidden="false" customHeight="false" outlineLevel="0" collapsed="false">
      <c r="A10" s="8" t="s">
        <v>124</v>
      </c>
      <c r="B10" s="8" t="n">
        <f aca="false">COUNTIFS(Dishes!$E:$E,A10,Dishes!$D:$D,"India")</f>
        <v>2</v>
      </c>
      <c r="C10" s="8" t="n">
        <f aca="false">COUNTIFS(Drinks!$E:$E,A10,Drinks!$D:$D,"India")</f>
        <v>0</v>
      </c>
      <c r="D10" s="8" t="n">
        <f aca="false">B10+C10</f>
        <v>2</v>
      </c>
    </row>
    <row r="11" customFormat="false" ht="15" hidden="false" customHeight="false" outlineLevel="0" collapsed="false">
      <c r="A11" s="8" t="s">
        <v>117</v>
      </c>
      <c r="B11" s="8" t="n">
        <f aca="false">COUNTIFS(Dishes!$E:$E,A11,Dishes!$D:$D,"India")</f>
        <v>4</v>
      </c>
      <c r="C11" s="8" t="n">
        <f aca="false">COUNTIFS(Drinks!$E:$E,A11,Drinks!$D:$D,"India")</f>
        <v>2</v>
      </c>
      <c r="D11" s="8" t="n">
        <f aca="false">B11+C11</f>
        <v>6</v>
      </c>
    </row>
    <row r="12" customFormat="false" ht="15" hidden="false" customHeight="false" outlineLevel="0" collapsed="false">
      <c r="A12" s="8" t="s">
        <v>109</v>
      </c>
      <c r="B12" s="8" t="n">
        <f aca="false">COUNTIFS(Dishes!$E:$E,A12,Dishes!$D:$D,"India")</f>
        <v>13</v>
      </c>
      <c r="C12" s="8" t="n">
        <f aca="false">COUNTIFS(Drinks!$E:$E,A12,Drinks!$D:$D,"India")</f>
        <v>0</v>
      </c>
      <c r="D12" s="8" t="n">
        <f aca="false">B12+C12</f>
        <v>13</v>
      </c>
    </row>
    <row r="13" customFormat="false" ht="15" hidden="false" customHeight="false" outlineLevel="0" collapsed="false">
      <c r="A13" s="8" t="s">
        <v>107</v>
      </c>
      <c r="B13" s="8" t="n">
        <f aca="false">COUNTIFS(Dishes!$E:$E,A13,Dishes!$D:$D,"India")</f>
        <v>19</v>
      </c>
      <c r="C13" s="8" t="n">
        <f aca="false">COUNTIFS(Drinks!$E:$E,A13,Drinks!$D:$D,"India")</f>
        <v>0</v>
      </c>
      <c r="D13" s="8" t="n">
        <f aca="false">B13+C13</f>
        <v>19</v>
      </c>
    </row>
    <row r="14" customFormat="false" ht="15" hidden="false" customHeight="false" outlineLevel="0" collapsed="false">
      <c r="A14" s="8" t="s">
        <v>120</v>
      </c>
      <c r="B14" s="8" t="n">
        <f aca="false">COUNTIFS(Dishes!$E:$E,A14,Dishes!$D:$D,"India")</f>
        <v>2</v>
      </c>
      <c r="C14" s="8" t="n">
        <f aca="false">COUNTIFS(Drinks!$E:$E,A14,Drinks!$D:$D,"India")</f>
        <v>0</v>
      </c>
      <c r="D14" s="8" t="n">
        <f aca="false">B14+C14</f>
        <v>2</v>
      </c>
    </row>
    <row r="15" customFormat="false" ht="15" hidden="false" customHeight="false" outlineLevel="0" collapsed="false">
      <c r="A15" s="8" t="s">
        <v>104</v>
      </c>
      <c r="B15" s="8" t="n">
        <f aca="false">COUNTIFS(Dishes!$E:$E,A15,Dishes!$D:$D,"India")</f>
        <v>20</v>
      </c>
      <c r="C15" s="8" t="n">
        <f aca="false">COUNTIFS(Drinks!$E:$E,A15,Drinks!$D:$D,"India")</f>
        <v>1</v>
      </c>
      <c r="D15" s="8" t="n">
        <f aca="false">B15+C15</f>
        <v>21</v>
      </c>
    </row>
    <row r="16" customFormat="false" ht="15" hidden="false" customHeight="false" outlineLevel="0" collapsed="false">
      <c r="A16" s="8" t="s">
        <v>125</v>
      </c>
      <c r="B16" s="8" t="n">
        <f aca="false">COUNTIFS(Dishes!$E:$E,A16,Dishes!$D:$D,"India")</f>
        <v>0</v>
      </c>
      <c r="C16" s="8" t="n">
        <f aca="false">COUNTIFS(Drinks!$E:$E,A16,Drinks!$D:$D,"India")</f>
        <v>0</v>
      </c>
      <c r="D16" s="8" t="n">
        <f aca="false">B16+C16</f>
        <v>0</v>
      </c>
    </row>
    <row r="17" customFormat="false" ht="15" hidden="false" customHeight="false" outlineLevel="0" collapsed="false">
      <c r="A17" s="8" t="s">
        <v>128</v>
      </c>
      <c r="B17" s="8" t="n">
        <f aca="false">COUNTIFS(Dishes!$E:$E,A17,Dishes!$D:$D,"India")</f>
        <v>0</v>
      </c>
      <c r="C17" s="8" t="n">
        <f aca="false">COUNTIFS(Drinks!$E:$E,A17,Drinks!$D:$D,"India")</f>
        <v>0</v>
      </c>
      <c r="D17" s="8" t="n">
        <f aca="false">B17+C17</f>
        <v>0</v>
      </c>
    </row>
    <row r="18" customFormat="false" ht="15" hidden="false" customHeight="false" outlineLevel="0" collapsed="false">
      <c r="A18" s="8" t="s">
        <v>129</v>
      </c>
      <c r="B18" s="8" t="n">
        <f aca="false">COUNTIFS(Dishes!$E:$E,A18,Dishes!$D:$D,"India")</f>
        <v>0</v>
      </c>
      <c r="C18" s="8" t="n">
        <f aca="false">COUNTIFS(Drinks!$E:$E,A18,Drinks!$D:$D,"India")</f>
        <v>0</v>
      </c>
      <c r="D18" s="8" t="n">
        <f aca="false">B18+C18</f>
        <v>0</v>
      </c>
    </row>
    <row r="19" customFormat="false" ht="15" hidden="false" customHeight="false" outlineLevel="0" collapsed="false">
      <c r="A19" s="8" t="s">
        <v>127</v>
      </c>
      <c r="B19" s="8" t="n">
        <f aca="false">COUNTIFS(Dishes!$E:$E,A19,Dishes!$D:$D,"India")</f>
        <v>1</v>
      </c>
      <c r="C19" s="8" t="n">
        <f aca="false">COUNTIFS(Drinks!$E:$E,A19,Drinks!$D:$D,"India")</f>
        <v>0</v>
      </c>
      <c r="D19" s="8" t="n">
        <f aca="false">B19+C19</f>
        <v>1</v>
      </c>
    </row>
    <row r="20" customFormat="false" ht="15" hidden="false" customHeight="false" outlineLevel="0" collapsed="false">
      <c r="A20" s="8" t="s">
        <v>119</v>
      </c>
      <c r="B20" s="8" t="n">
        <f aca="false">COUNTIFS(Dishes!$E:$E,A20,Dishes!$D:$D,"India")</f>
        <v>3</v>
      </c>
      <c r="C20" s="8" t="n">
        <f aca="false">COUNTIFS(Drinks!$E:$E,A20,Drinks!$D:$D,"India")</f>
        <v>0</v>
      </c>
      <c r="D20" s="8" t="n">
        <f aca="false">B20+C20</f>
        <v>3</v>
      </c>
    </row>
    <row r="21" customFormat="false" ht="15" hidden="false" customHeight="false" outlineLevel="0" collapsed="false">
      <c r="A21" s="8" t="s">
        <v>103</v>
      </c>
      <c r="B21" s="8" t="n">
        <f aca="false">COUNTIFS(Dishes!$E:$E,A21,Dishes!$D:$D,"India")</f>
        <v>67</v>
      </c>
      <c r="C21" s="8" t="n">
        <f aca="false">COUNTIFS(Drinks!$E:$E,A21,Drinks!$D:$D,"India")</f>
        <v>20</v>
      </c>
      <c r="D21" s="8" t="n">
        <f aca="false">B21+C21</f>
        <v>87</v>
      </c>
    </row>
    <row r="22" customFormat="false" ht="15" hidden="false" customHeight="false" outlineLevel="0" collapsed="false">
      <c r="A22" s="8" t="s">
        <v>110</v>
      </c>
      <c r="B22" s="8" t="n">
        <f aca="false">COUNTIFS(Dishes!$E:$E,A22,Dishes!$D:$D,"India")</f>
        <v>12</v>
      </c>
      <c r="C22" s="8" t="n">
        <f aca="false">COUNTIFS(Drinks!$E:$E,A22,Drinks!$D:$D,"India")</f>
        <v>2</v>
      </c>
      <c r="D22" s="8" t="n">
        <f aca="false">B22+C22</f>
        <v>14</v>
      </c>
    </row>
    <row r="23" customFormat="false" ht="15" hidden="false" customHeight="false" outlineLevel="0" collapsed="false">
      <c r="A23" s="8" t="s">
        <v>115</v>
      </c>
      <c r="B23" s="8" t="n">
        <f aca="false">COUNTIFS(Dishes!$E:$E,A23,Dishes!$D:$D,"India")</f>
        <v>8</v>
      </c>
      <c r="C23" s="8" t="n">
        <f aca="false">COUNTIFS(Drinks!$E:$E,A23,Drinks!$D:$D,"India")</f>
        <v>0</v>
      </c>
      <c r="D23" s="8" t="n">
        <f aca="false">B23+C23</f>
        <v>8</v>
      </c>
    </row>
    <row r="24" customFormat="false" ht="15" hidden="false" customHeight="false" outlineLevel="0" collapsed="false">
      <c r="A24" s="8" t="s">
        <v>122</v>
      </c>
      <c r="B24" s="8" t="n">
        <f aca="false">COUNTIFS(Dishes!$E:$E,A24,Dishes!$D:$D,"India")</f>
        <v>3</v>
      </c>
      <c r="C24" s="8" t="n">
        <f aca="false">COUNTIFS(Drinks!$E:$E,A24,Drinks!$D:$D,"India")</f>
        <v>0</v>
      </c>
      <c r="D24" s="8" t="n">
        <f aca="false">B24+C24</f>
        <v>3</v>
      </c>
    </row>
    <row r="25" customFormat="false" ht="15" hidden="false" customHeight="false" outlineLevel="0" collapsed="false">
      <c r="A25" s="8" t="s">
        <v>105</v>
      </c>
      <c r="B25" s="8" t="n">
        <f aca="false">COUNTIFS(Dishes!$E:$E,A25,Dishes!$D:$D,"India")</f>
        <v>20</v>
      </c>
      <c r="C25" s="8" t="n">
        <f aca="false">COUNTIFS(Drinks!$E:$E,A25,Drinks!$D:$D,"India")</f>
        <v>1</v>
      </c>
      <c r="D25" s="8" t="n">
        <f aca="false">B25+C25</f>
        <v>21</v>
      </c>
    </row>
    <row r="26" customFormat="false" ht="15" hidden="false" customHeight="false" outlineLevel="0" collapsed="false">
      <c r="A26" s="8" t="s">
        <v>114</v>
      </c>
      <c r="B26" s="8" t="n">
        <f aca="false">COUNTIFS(Dishes!$E:$E,A26,Dishes!$D:$D,"India")</f>
        <v>6</v>
      </c>
      <c r="C26" s="8" t="n">
        <f aca="false">COUNTIFS(Drinks!$E:$E,A26,Drinks!$D:$D,"India")</f>
        <v>1</v>
      </c>
      <c r="D26" s="8" t="n">
        <f aca="false">B26+C26</f>
        <v>7</v>
      </c>
    </row>
    <row r="27" customFormat="false" ht="15" hidden="false" customHeight="false" outlineLevel="0" collapsed="false">
      <c r="A27" s="8" t="s">
        <v>131</v>
      </c>
      <c r="B27" s="8" t="n">
        <f aca="false">COUNTIFS(Dishes!$E:$E,A27,Dishes!$D:$D,"India")</f>
        <v>0</v>
      </c>
      <c r="C27" s="8" t="n">
        <f aca="false">COUNTIFS(Drinks!$E:$E,A27,Drinks!$D:$D,"India")</f>
        <v>0</v>
      </c>
      <c r="D27" s="8" t="n">
        <f aca="false">B27+C27</f>
        <v>0</v>
      </c>
    </row>
    <row r="28" customFormat="false" ht="15" hidden="false" customHeight="false" outlineLevel="0" collapsed="false">
      <c r="A28" s="8" t="s">
        <v>112</v>
      </c>
      <c r="B28" s="8" t="n">
        <f aca="false">COUNTIFS(Dishes!$E:$E,A28,Dishes!$D:$D,"India")</f>
        <v>9</v>
      </c>
      <c r="C28" s="8" t="n">
        <f aca="false">COUNTIFS(Drinks!$E:$E,A28,Drinks!$D:$D,"India")</f>
        <v>0</v>
      </c>
      <c r="D28" s="8" t="n">
        <f aca="false">B28+C28</f>
        <v>9</v>
      </c>
    </row>
    <row r="29" customFormat="false" ht="15" hidden="false" customHeight="false" outlineLevel="0" collapsed="false">
      <c r="A29" s="8" t="s">
        <v>123</v>
      </c>
      <c r="B29" s="8" t="n">
        <f aca="false">COUNTIFS(Dishes!$E:$E,A29,Dishes!$D:$D,"India")</f>
        <v>1</v>
      </c>
      <c r="C29" s="8" t="n">
        <f aca="false">COUNTIFS(Drinks!$E:$E,A29,Drinks!$D:$D,"India")</f>
        <v>0</v>
      </c>
      <c r="D29" s="8" t="n">
        <f aca="false">B29+C29</f>
        <v>1</v>
      </c>
    </row>
    <row r="30" customFormat="false" ht="15" hidden="false" customHeight="false" outlineLevel="0" collapsed="false">
      <c r="A30" s="8" t="s">
        <v>106</v>
      </c>
      <c r="B30" s="8" t="n">
        <f aca="false">COUNTIFS(Dishes!$E:$E,A30,Dishes!$D:$D,"India")</f>
        <v>18</v>
      </c>
      <c r="C30" s="8" t="n">
        <f aca="false">COUNTIFS(Drinks!$E:$E,A30,Drinks!$D:$D,"India")</f>
        <v>0</v>
      </c>
      <c r="D30" s="8" t="n">
        <f aca="false">B30+C30</f>
        <v>18</v>
      </c>
    </row>
  </sheetData>
  <autoFilter ref="A1:D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6"/>
    <col collapsed="false" customWidth="true" hidden="false" outlineLevel="0" max="4" min="3" style="0" width="6"/>
    <col collapsed="false" customWidth="true" hidden="false" outlineLevel="0" max="5" min="5" style="0" width="10"/>
    <col collapsed="false" customWidth="true" hidden="false" outlineLevel="0" max="6" min="6" style="0" width="22"/>
    <col collapsed="false" customWidth="true" hidden="false" outlineLevel="0" max="8" min="7" style="0" width="10"/>
    <col collapsed="false" customWidth="true" hidden="false" outlineLevel="0" max="9" min="9" style="0" width="30"/>
    <col collapsed="false" customWidth="true" hidden="false" outlineLevel="0" max="10" min="10" style="0" width="6"/>
  </cols>
  <sheetData>
    <row r="1" customFormat="false" ht="30" hidden="false" customHeight="true" outlineLevel="0" collapsed="false">
      <c r="A1" s="17" t="s">
        <v>180</v>
      </c>
      <c r="B1" s="17" t="s">
        <v>9508</v>
      </c>
      <c r="C1" s="17" t="s">
        <v>9315</v>
      </c>
      <c r="D1" s="17" t="s">
        <v>9509</v>
      </c>
      <c r="E1" s="17" t="s">
        <v>9510</v>
      </c>
      <c r="F1" s="17" t="s">
        <v>181</v>
      </c>
      <c r="G1" s="17" t="s">
        <v>9511</v>
      </c>
      <c r="H1" s="17" t="s">
        <v>9512</v>
      </c>
      <c r="I1" s="17" t="s">
        <v>9513</v>
      </c>
      <c r="J1" s="17" t="s">
        <v>9514</v>
      </c>
    </row>
    <row r="2" customFormat="false" ht="15" hidden="false" customHeight="false" outlineLevel="0" collapsed="false">
      <c r="A2" s="8" t="s">
        <v>3802</v>
      </c>
      <c r="B2" s="8" t="s">
        <v>9515</v>
      </c>
      <c r="C2" s="8" t="s">
        <v>9318</v>
      </c>
      <c r="D2" s="8" t="s">
        <v>9516</v>
      </c>
      <c r="E2" s="8" t="s">
        <v>70</v>
      </c>
      <c r="F2" s="8" t="s">
        <v>207</v>
      </c>
      <c r="G2" s="8" t="n">
        <v>33</v>
      </c>
      <c r="H2" s="8" t="n">
        <v>65</v>
      </c>
      <c r="I2" s="8" t="s">
        <v>9517</v>
      </c>
      <c r="J2" s="8" t="s">
        <v>9518</v>
      </c>
    </row>
    <row r="3" customFormat="false" ht="15" hidden="false" customHeight="false" outlineLevel="0" collapsed="false">
      <c r="A3" s="8" t="s">
        <v>9519</v>
      </c>
      <c r="B3" s="8" t="s">
        <v>9520</v>
      </c>
      <c r="C3" s="8" t="s">
        <v>9521</v>
      </c>
      <c r="D3" s="8" t="s">
        <v>9522</v>
      </c>
      <c r="E3" s="8" t="s">
        <v>71</v>
      </c>
      <c r="F3" s="8" t="s">
        <v>4869</v>
      </c>
      <c r="G3" s="8" t="n">
        <v>41</v>
      </c>
      <c r="H3" s="8" t="n">
        <v>20</v>
      </c>
      <c r="I3" s="8" t="s">
        <v>9523</v>
      </c>
      <c r="J3" s="8" t="s">
        <v>9524</v>
      </c>
    </row>
    <row r="4" customFormat="false" ht="15" hidden="false" customHeight="false" outlineLevel="0" collapsed="false">
      <c r="A4" s="8" t="s">
        <v>9525</v>
      </c>
      <c r="B4" s="8" t="s">
        <v>9526</v>
      </c>
      <c r="C4" s="8" t="s">
        <v>9527</v>
      </c>
      <c r="D4" s="8" t="s">
        <v>9528</v>
      </c>
      <c r="E4" s="8" t="s">
        <v>73</v>
      </c>
      <c r="F4" s="8" t="s">
        <v>5622</v>
      </c>
      <c r="G4" s="8" t="n">
        <v>28</v>
      </c>
      <c r="H4" s="8" t="n">
        <v>3</v>
      </c>
      <c r="I4" s="8" t="s">
        <v>9529</v>
      </c>
      <c r="J4" s="8" t="s">
        <v>9530</v>
      </c>
    </row>
    <row r="5" customFormat="false" ht="15" hidden="false" customHeight="false" outlineLevel="0" collapsed="false">
      <c r="A5" s="8" t="s">
        <v>9531</v>
      </c>
      <c r="B5" s="8" t="s">
        <v>9531</v>
      </c>
      <c r="C5" s="8" t="s">
        <v>9532</v>
      </c>
      <c r="D5" s="8" t="s">
        <v>9533</v>
      </c>
      <c r="E5" s="8" t="s">
        <v>74</v>
      </c>
      <c r="F5" s="8" t="s">
        <v>9534</v>
      </c>
      <c r="G5" s="8" t="n">
        <v>-14.33333333</v>
      </c>
      <c r="H5" s="8" t="n">
        <v>-170</v>
      </c>
      <c r="I5" s="8"/>
      <c r="J5" s="8" t="s">
        <v>9535</v>
      </c>
    </row>
    <row r="6" customFormat="false" ht="15" hidden="false" customHeight="false" outlineLevel="0" collapsed="false">
      <c r="A6" s="8" t="s">
        <v>9536</v>
      </c>
      <c r="B6" s="8" t="s">
        <v>9537</v>
      </c>
      <c r="C6" s="8" t="s">
        <v>9538</v>
      </c>
      <c r="D6" s="8" t="s">
        <v>9539</v>
      </c>
      <c r="E6" s="8" t="s">
        <v>71</v>
      </c>
      <c r="F6" s="8" t="s">
        <v>3829</v>
      </c>
      <c r="G6" s="8" t="n">
        <v>42.5</v>
      </c>
      <c r="H6" s="8" t="n">
        <v>1.5</v>
      </c>
      <c r="I6" s="8" t="s">
        <v>9540</v>
      </c>
      <c r="J6" s="8" t="s">
        <v>9541</v>
      </c>
    </row>
    <row r="7" customFormat="false" ht="15" hidden="false" customHeight="false" outlineLevel="0" collapsed="false">
      <c r="A7" s="8" t="s">
        <v>9542</v>
      </c>
      <c r="B7" s="8" t="s">
        <v>9543</v>
      </c>
      <c r="C7" s="8" t="s">
        <v>9544</v>
      </c>
      <c r="D7" s="8" t="s">
        <v>9545</v>
      </c>
      <c r="E7" s="8" t="s">
        <v>73</v>
      </c>
      <c r="F7" s="8" t="s">
        <v>9546</v>
      </c>
      <c r="G7" s="8" t="n">
        <v>-12.5</v>
      </c>
      <c r="H7" s="8" t="n">
        <v>18.5</v>
      </c>
      <c r="I7" s="8" t="s">
        <v>9547</v>
      </c>
      <c r="J7" s="8" t="s">
        <v>9548</v>
      </c>
    </row>
    <row r="8" customFormat="false" ht="15" hidden="false" customHeight="false" outlineLevel="0" collapsed="false">
      <c r="A8" s="8" t="s">
        <v>9549</v>
      </c>
      <c r="B8" s="8" t="s">
        <v>9549</v>
      </c>
      <c r="C8" s="8" t="s">
        <v>9550</v>
      </c>
      <c r="D8" s="8" t="s">
        <v>9551</v>
      </c>
      <c r="E8" s="8" t="s">
        <v>72</v>
      </c>
      <c r="F8" s="8" t="s">
        <v>5406</v>
      </c>
      <c r="G8" s="8" t="n">
        <v>18.25</v>
      </c>
      <c r="H8" s="8" t="n">
        <v>-63.16666666</v>
      </c>
      <c r="I8" s="8"/>
      <c r="J8" s="8" t="s">
        <v>9552</v>
      </c>
    </row>
    <row r="9" customFormat="false" ht="15" hidden="false" customHeight="false" outlineLevel="0" collapsed="false">
      <c r="A9" s="8" t="s">
        <v>9553</v>
      </c>
      <c r="B9" s="8" t="s">
        <v>9553</v>
      </c>
      <c r="C9" s="8" t="s">
        <v>9554</v>
      </c>
      <c r="D9" s="8" t="s">
        <v>9555</v>
      </c>
      <c r="E9" s="8" t="s">
        <v>9556</v>
      </c>
      <c r="F9" s="8"/>
      <c r="G9" s="8" t="n">
        <v>-90</v>
      </c>
      <c r="H9" s="8" t="n">
        <v>0</v>
      </c>
      <c r="I9" s="8"/>
      <c r="J9" s="8" t="s">
        <v>9557</v>
      </c>
    </row>
    <row r="10" customFormat="false" ht="15" hidden="false" customHeight="false" outlineLevel="0" collapsed="false">
      <c r="A10" s="8" t="s">
        <v>9558</v>
      </c>
      <c r="B10" s="8" t="s">
        <v>9558</v>
      </c>
      <c r="C10" s="8" t="s">
        <v>9559</v>
      </c>
      <c r="D10" s="8" t="s">
        <v>9560</v>
      </c>
      <c r="E10" s="8" t="s">
        <v>72</v>
      </c>
      <c r="F10" s="8" t="s">
        <v>5406</v>
      </c>
      <c r="G10" s="8" t="n">
        <v>17.05</v>
      </c>
      <c r="H10" s="8" t="n">
        <v>-61.8</v>
      </c>
      <c r="I10" s="8"/>
      <c r="J10" s="8" t="s">
        <v>9561</v>
      </c>
    </row>
    <row r="11" customFormat="false" ht="15" hidden="false" customHeight="false" outlineLevel="0" collapsed="false">
      <c r="A11" s="8" t="s">
        <v>5544</v>
      </c>
      <c r="B11" s="8" t="s">
        <v>9562</v>
      </c>
      <c r="C11" s="8" t="s">
        <v>9320</v>
      </c>
      <c r="D11" s="8" t="s">
        <v>9563</v>
      </c>
      <c r="E11" s="8" t="s">
        <v>72</v>
      </c>
      <c r="F11" s="8" t="s">
        <v>5447</v>
      </c>
      <c r="G11" s="8" t="n">
        <v>-34</v>
      </c>
      <c r="H11" s="8" t="n">
        <v>-64</v>
      </c>
      <c r="I11" s="8" t="s">
        <v>9564</v>
      </c>
      <c r="J11" s="8" t="s">
        <v>9565</v>
      </c>
    </row>
    <row r="12" customFormat="false" ht="15" hidden="false" customHeight="false" outlineLevel="0" collapsed="false">
      <c r="A12" s="8" t="s">
        <v>9566</v>
      </c>
      <c r="B12" s="8" t="s">
        <v>9567</v>
      </c>
      <c r="C12" s="8" t="s">
        <v>9568</v>
      </c>
      <c r="D12" s="8" t="s">
        <v>9569</v>
      </c>
      <c r="E12" s="8" t="s">
        <v>70</v>
      </c>
      <c r="F12" s="8" t="s">
        <v>4902</v>
      </c>
      <c r="G12" s="8" t="n">
        <v>40</v>
      </c>
      <c r="H12" s="8" t="n">
        <v>45</v>
      </c>
      <c r="I12" s="8" t="s">
        <v>9570</v>
      </c>
      <c r="J12" s="8" t="s">
        <v>9571</v>
      </c>
    </row>
    <row r="13" customFormat="false" ht="15" hidden="false" customHeight="false" outlineLevel="0" collapsed="false">
      <c r="A13" s="8" t="s">
        <v>9572</v>
      </c>
      <c r="B13" s="8" t="s">
        <v>9572</v>
      </c>
      <c r="C13" s="8" t="s">
        <v>9573</v>
      </c>
      <c r="D13" s="8" t="s">
        <v>9574</v>
      </c>
      <c r="E13" s="8" t="s">
        <v>72</v>
      </c>
      <c r="F13" s="8" t="s">
        <v>5406</v>
      </c>
      <c r="G13" s="8" t="n">
        <v>12.5</v>
      </c>
      <c r="H13" s="8" t="n">
        <v>-69.96666666</v>
      </c>
      <c r="I13" s="8"/>
      <c r="J13" s="8" t="s">
        <v>9575</v>
      </c>
    </row>
    <row r="14" customFormat="false" ht="15" hidden="false" customHeight="false" outlineLevel="0" collapsed="false">
      <c r="A14" s="8" t="s">
        <v>5915</v>
      </c>
      <c r="B14" s="8" t="s">
        <v>9576</v>
      </c>
      <c r="C14" s="8" t="s">
        <v>9322</v>
      </c>
      <c r="D14" s="8" t="s">
        <v>9577</v>
      </c>
      <c r="E14" s="8" t="s">
        <v>74</v>
      </c>
      <c r="F14" s="8" t="s">
        <v>5916</v>
      </c>
      <c r="G14" s="8" t="n">
        <v>-27</v>
      </c>
      <c r="H14" s="8" t="n">
        <v>133</v>
      </c>
      <c r="I14" s="8"/>
      <c r="J14" s="8" t="s">
        <v>9578</v>
      </c>
    </row>
    <row r="15" customFormat="false" ht="15" hidden="false" customHeight="false" outlineLevel="0" collapsed="false">
      <c r="A15" s="8" t="s">
        <v>4583</v>
      </c>
      <c r="B15" s="8" t="s">
        <v>9579</v>
      </c>
      <c r="C15" s="8" t="s">
        <v>9324</v>
      </c>
      <c r="D15" s="8" t="s">
        <v>9580</v>
      </c>
      <c r="E15" s="8" t="s">
        <v>71</v>
      </c>
      <c r="F15" s="8" t="s">
        <v>4584</v>
      </c>
      <c r="G15" s="8" t="n">
        <v>47.33333333</v>
      </c>
      <c r="H15" s="8" t="n">
        <v>13.33333333</v>
      </c>
      <c r="I15" s="8" t="s">
        <v>9581</v>
      </c>
      <c r="J15" s="8" t="s">
        <v>9582</v>
      </c>
    </row>
    <row r="16" customFormat="false" ht="15" hidden="false" customHeight="false" outlineLevel="0" collapsed="false">
      <c r="A16" s="8" t="s">
        <v>9583</v>
      </c>
      <c r="B16" s="8" t="s">
        <v>9584</v>
      </c>
      <c r="C16" s="8" t="s">
        <v>9585</v>
      </c>
      <c r="D16" s="8" t="s">
        <v>9586</v>
      </c>
      <c r="E16" s="8" t="s">
        <v>70</v>
      </c>
      <c r="F16" s="8" t="s">
        <v>4902</v>
      </c>
      <c r="G16" s="8" t="n">
        <v>40.5</v>
      </c>
      <c r="H16" s="8" t="n">
        <v>47.5</v>
      </c>
      <c r="I16" s="8" t="s">
        <v>9587</v>
      </c>
      <c r="J16" s="8" t="s">
        <v>9588</v>
      </c>
    </row>
    <row r="17" customFormat="false" ht="15" hidden="false" customHeight="false" outlineLevel="0" collapsed="false">
      <c r="A17" s="8" t="s">
        <v>9589</v>
      </c>
      <c r="B17" s="8" t="s">
        <v>9590</v>
      </c>
      <c r="C17" s="8" t="s">
        <v>9591</v>
      </c>
      <c r="D17" s="8" t="s">
        <v>9592</v>
      </c>
      <c r="E17" s="8" t="s">
        <v>72</v>
      </c>
      <c r="F17" s="8" t="s">
        <v>5406</v>
      </c>
      <c r="G17" s="8" t="n">
        <v>24.25</v>
      </c>
      <c r="H17" s="8" t="n">
        <v>-76</v>
      </c>
      <c r="I17" s="8"/>
      <c r="J17" s="8" t="s">
        <v>9593</v>
      </c>
    </row>
    <row r="18" customFormat="false" ht="15" hidden="false" customHeight="false" outlineLevel="0" collapsed="false">
      <c r="A18" s="8" t="s">
        <v>9594</v>
      </c>
      <c r="B18" s="8" t="s">
        <v>9595</v>
      </c>
      <c r="C18" s="8" t="s">
        <v>9596</v>
      </c>
      <c r="D18" s="8" t="s">
        <v>9597</v>
      </c>
      <c r="E18" s="8" t="s">
        <v>70</v>
      </c>
      <c r="F18" s="8" t="s">
        <v>4902</v>
      </c>
      <c r="G18" s="8" t="n">
        <v>26</v>
      </c>
      <c r="H18" s="8" t="n">
        <v>50.55</v>
      </c>
      <c r="I18" s="8"/>
      <c r="J18" s="8" t="s">
        <v>9598</v>
      </c>
    </row>
    <row r="19" customFormat="false" ht="15" hidden="false" customHeight="false" outlineLevel="0" collapsed="false">
      <c r="A19" s="8" t="s">
        <v>3756</v>
      </c>
      <c r="B19" s="8" t="s">
        <v>9599</v>
      </c>
      <c r="C19" s="8" t="s">
        <v>9326</v>
      </c>
      <c r="D19" s="8" t="s">
        <v>9600</v>
      </c>
      <c r="E19" s="8" t="s">
        <v>70</v>
      </c>
      <c r="F19" s="8" t="s">
        <v>207</v>
      </c>
      <c r="G19" s="8" t="n">
        <v>24</v>
      </c>
      <c r="H19" s="8" t="n">
        <v>90</v>
      </c>
      <c r="I19" s="8" t="s">
        <v>9601</v>
      </c>
      <c r="J19" s="8" t="s">
        <v>9602</v>
      </c>
    </row>
    <row r="20" customFormat="false" ht="15" hidden="false" customHeight="false" outlineLevel="0" collapsed="false">
      <c r="A20" s="8" t="s">
        <v>9603</v>
      </c>
      <c r="B20" s="8" t="s">
        <v>9603</v>
      </c>
      <c r="C20" s="8" t="s">
        <v>9604</v>
      </c>
      <c r="D20" s="8" t="s">
        <v>9605</v>
      </c>
      <c r="E20" s="8" t="s">
        <v>72</v>
      </c>
      <c r="F20" s="8" t="s">
        <v>5406</v>
      </c>
      <c r="G20" s="8" t="n">
        <v>13.16666666</v>
      </c>
      <c r="H20" s="8" t="n">
        <v>-59.53333333</v>
      </c>
      <c r="I20" s="8"/>
      <c r="J20" s="8" t="s">
        <v>9606</v>
      </c>
    </row>
    <row r="21" customFormat="false" ht="15" hidden="false" customHeight="false" outlineLevel="0" collapsed="false">
      <c r="A21" s="8" t="s">
        <v>9607</v>
      </c>
      <c r="B21" s="8" t="s">
        <v>9608</v>
      </c>
      <c r="C21" s="8" t="s">
        <v>9609</v>
      </c>
      <c r="D21" s="8" t="s">
        <v>9610</v>
      </c>
      <c r="E21" s="8" t="s">
        <v>71</v>
      </c>
      <c r="F21" s="8" t="s">
        <v>4813</v>
      </c>
      <c r="G21" s="8" t="n">
        <v>53</v>
      </c>
      <c r="H21" s="8" t="n">
        <v>28</v>
      </c>
      <c r="I21" s="8" t="s">
        <v>9611</v>
      </c>
      <c r="J21" s="8" t="s">
        <v>9612</v>
      </c>
    </row>
    <row r="22" customFormat="false" ht="15" hidden="false" customHeight="false" outlineLevel="0" collapsed="false">
      <c r="A22" s="8" t="s">
        <v>4693</v>
      </c>
      <c r="B22" s="8" t="s">
        <v>9613</v>
      </c>
      <c r="C22" s="8" t="s">
        <v>9328</v>
      </c>
      <c r="D22" s="8" t="s">
        <v>9614</v>
      </c>
      <c r="E22" s="8" t="s">
        <v>71</v>
      </c>
      <c r="F22" s="8" t="s">
        <v>4082</v>
      </c>
      <c r="G22" s="8" t="n">
        <v>50.83333333</v>
      </c>
      <c r="H22" s="8" t="n">
        <v>4</v>
      </c>
      <c r="I22" s="8" t="s">
        <v>9615</v>
      </c>
      <c r="J22" s="8" t="s">
        <v>9616</v>
      </c>
    </row>
    <row r="23" customFormat="false" ht="15" hidden="false" customHeight="false" outlineLevel="0" collapsed="false">
      <c r="A23" s="8" t="s">
        <v>9617</v>
      </c>
      <c r="B23" s="8" t="s">
        <v>9617</v>
      </c>
      <c r="C23" s="8" t="s">
        <v>9618</v>
      </c>
      <c r="D23" s="8" t="s">
        <v>9619</v>
      </c>
      <c r="E23" s="8" t="s">
        <v>72</v>
      </c>
      <c r="F23" s="8" t="s">
        <v>9353</v>
      </c>
      <c r="G23" s="8" t="n">
        <v>17.25</v>
      </c>
      <c r="H23" s="8" t="n">
        <v>-88.75</v>
      </c>
      <c r="I23" s="8" t="s">
        <v>9620</v>
      </c>
      <c r="J23" s="8" t="s">
        <v>9621</v>
      </c>
    </row>
    <row r="24" customFormat="false" ht="15" hidden="false" customHeight="false" outlineLevel="0" collapsed="false">
      <c r="A24" s="8" t="s">
        <v>9622</v>
      </c>
      <c r="B24" s="8" t="s">
        <v>9623</v>
      </c>
      <c r="C24" s="8" t="s">
        <v>9624</v>
      </c>
      <c r="D24" s="8" t="s">
        <v>9625</v>
      </c>
      <c r="E24" s="8" t="s">
        <v>73</v>
      </c>
      <c r="F24" s="8" t="s">
        <v>5830</v>
      </c>
      <c r="G24" s="8" t="n">
        <v>9.5</v>
      </c>
      <c r="H24" s="8" t="n">
        <v>2.25</v>
      </c>
      <c r="I24" s="8" t="s">
        <v>9626</v>
      </c>
      <c r="J24" s="8" t="s">
        <v>9627</v>
      </c>
    </row>
    <row r="25" customFormat="false" ht="15" hidden="false" customHeight="false" outlineLevel="0" collapsed="false">
      <c r="A25" s="8" t="s">
        <v>6233</v>
      </c>
      <c r="B25" s="8" t="s">
        <v>6233</v>
      </c>
      <c r="C25" s="8" t="s">
        <v>9330</v>
      </c>
      <c r="D25" s="8" t="s">
        <v>9628</v>
      </c>
      <c r="E25" s="8" t="s">
        <v>72</v>
      </c>
      <c r="F25" s="8" t="s">
        <v>5047</v>
      </c>
      <c r="G25" s="8" t="n">
        <v>32.33333333</v>
      </c>
      <c r="H25" s="8" t="n">
        <v>-64.75</v>
      </c>
      <c r="I25" s="8"/>
      <c r="J25" s="8" t="s">
        <v>9629</v>
      </c>
    </row>
    <row r="26" customFormat="false" ht="15" hidden="false" customHeight="false" outlineLevel="0" collapsed="false">
      <c r="A26" s="8" t="s">
        <v>3774</v>
      </c>
      <c r="B26" s="8" t="s">
        <v>9630</v>
      </c>
      <c r="C26" s="8" t="s">
        <v>9332</v>
      </c>
      <c r="D26" s="8" t="s">
        <v>9631</v>
      </c>
      <c r="E26" s="8" t="s">
        <v>70</v>
      </c>
      <c r="F26" s="8" t="s">
        <v>207</v>
      </c>
      <c r="G26" s="8" t="n">
        <v>27.5</v>
      </c>
      <c r="H26" s="8" t="n">
        <v>90.5</v>
      </c>
      <c r="I26" s="8" t="s">
        <v>9632</v>
      </c>
      <c r="J26" s="8" t="s">
        <v>9633</v>
      </c>
    </row>
    <row r="27" customFormat="false" ht="15" hidden="false" customHeight="false" outlineLevel="0" collapsed="false">
      <c r="A27" s="8" t="s">
        <v>7396</v>
      </c>
      <c r="B27" s="8" t="s">
        <v>9634</v>
      </c>
      <c r="C27" s="8" t="s">
        <v>9334</v>
      </c>
      <c r="D27" s="8" t="s">
        <v>9635</v>
      </c>
      <c r="E27" s="8" t="s">
        <v>72</v>
      </c>
      <c r="F27" s="8" t="s">
        <v>5447</v>
      </c>
      <c r="G27" s="8" t="n">
        <v>-17</v>
      </c>
      <c r="H27" s="8" t="n">
        <v>-65</v>
      </c>
      <c r="I27" s="8" t="s">
        <v>9636</v>
      </c>
      <c r="J27" s="8" t="s">
        <v>9637</v>
      </c>
    </row>
    <row r="28" customFormat="false" ht="15" hidden="false" customHeight="false" outlineLevel="0" collapsed="false">
      <c r="A28" s="8" t="s">
        <v>4868</v>
      </c>
      <c r="B28" s="8" t="s">
        <v>4868</v>
      </c>
      <c r="C28" s="8" t="s">
        <v>9336</v>
      </c>
      <c r="D28" s="8" t="s">
        <v>9638</v>
      </c>
      <c r="E28" s="8" t="s">
        <v>71</v>
      </c>
      <c r="F28" s="8" t="s">
        <v>4869</v>
      </c>
      <c r="G28" s="8" t="n">
        <v>44</v>
      </c>
      <c r="H28" s="8" t="n">
        <v>18</v>
      </c>
      <c r="I28" s="8" t="s">
        <v>9639</v>
      </c>
      <c r="J28" s="8" t="s">
        <v>9640</v>
      </c>
    </row>
    <row r="29" customFormat="false" ht="15" hidden="false" customHeight="false" outlineLevel="0" collapsed="false">
      <c r="A29" s="8" t="s">
        <v>9641</v>
      </c>
      <c r="B29" s="8" t="s">
        <v>9642</v>
      </c>
      <c r="C29" s="8" t="s">
        <v>9643</v>
      </c>
      <c r="D29" s="8" t="s">
        <v>9644</v>
      </c>
      <c r="E29" s="8" t="s">
        <v>73</v>
      </c>
      <c r="F29" s="8" t="s">
        <v>5873</v>
      </c>
      <c r="G29" s="8" t="n">
        <v>-22</v>
      </c>
      <c r="H29" s="8" t="n">
        <v>24</v>
      </c>
      <c r="I29" s="8" t="s">
        <v>9645</v>
      </c>
      <c r="J29" s="8" t="s">
        <v>9646</v>
      </c>
    </row>
    <row r="30" customFormat="false" ht="15" hidden="false" customHeight="false" outlineLevel="0" collapsed="false">
      <c r="A30" s="8" t="s">
        <v>9647</v>
      </c>
      <c r="B30" s="8" t="s">
        <v>9647</v>
      </c>
      <c r="C30" s="8" t="s">
        <v>9648</v>
      </c>
      <c r="D30" s="8" t="s">
        <v>9649</v>
      </c>
      <c r="E30" s="8" t="s">
        <v>9556</v>
      </c>
      <c r="F30" s="8"/>
      <c r="G30" s="8" t="n">
        <v>-54.43333333</v>
      </c>
      <c r="H30" s="8" t="n">
        <v>3.4</v>
      </c>
      <c r="I30" s="8"/>
      <c r="J30" s="8" t="s">
        <v>9650</v>
      </c>
    </row>
    <row r="31" customFormat="false" ht="15" hidden="false" customHeight="false" outlineLevel="0" collapsed="false">
      <c r="A31" s="8" t="s">
        <v>5478</v>
      </c>
      <c r="B31" s="8" t="s">
        <v>9651</v>
      </c>
      <c r="C31" s="8" t="s">
        <v>5504</v>
      </c>
      <c r="D31" s="8" t="s">
        <v>9652</v>
      </c>
      <c r="E31" s="8" t="s">
        <v>72</v>
      </c>
      <c r="F31" s="8" t="s">
        <v>5447</v>
      </c>
      <c r="G31" s="8" t="n">
        <v>-10</v>
      </c>
      <c r="H31" s="8" t="n">
        <v>-55</v>
      </c>
      <c r="I31" s="8" t="s">
        <v>9653</v>
      </c>
      <c r="J31" s="8" t="s">
        <v>9654</v>
      </c>
    </row>
    <row r="32" customFormat="false" ht="15" hidden="false" customHeight="false" outlineLevel="0" collapsed="false">
      <c r="A32" s="8" t="s">
        <v>9655</v>
      </c>
      <c r="B32" s="8" t="s">
        <v>9655</v>
      </c>
      <c r="C32" s="8" t="s">
        <v>9656</v>
      </c>
      <c r="D32" s="8" t="s">
        <v>9657</v>
      </c>
      <c r="E32" s="8" t="s">
        <v>73</v>
      </c>
      <c r="F32" s="8" t="s">
        <v>5818</v>
      </c>
      <c r="G32" s="8" t="n">
        <v>-6</v>
      </c>
      <c r="H32" s="8" t="n">
        <v>71.5</v>
      </c>
      <c r="I32" s="8"/>
      <c r="J32" s="8" t="s">
        <v>9658</v>
      </c>
    </row>
    <row r="33" customFormat="false" ht="15" hidden="false" customHeight="false" outlineLevel="0" collapsed="false">
      <c r="A33" s="8" t="s">
        <v>9659</v>
      </c>
      <c r="B33" s="8" t="s">
        <v>9660</v>
      </c>
      <c r="C33" s="8" t="s">
        <v>9661</v>
      </c>
      <c r="D33" s="8" t="s">
        <v>9662</v>
      </c>
      <c r="E33" s="8" t="s">
        <v>72</v>
      </c>
      <c r="F33" s="8" t="s">
        <v>5406</v>
      </c>
      <c r="G33" s="8" t="n">
        <v>18.431383</v>
      </c>
      <c r="H33" s="8" t="n">
        <v>-64.62305</v>
      </c>
      <c r="I33" s="8"/>
      <c r="J33" s="8" t="s">
        <v>9663</v>
      </c>
    </row>
    <row r="34" customFormat="false" ht="15" hidden="false" customHeight="false" outlineLevel="0" collapsed="false">
      <c r="A34" s="8" t="s">
        <v>9664</v>
      </c>
      <c r="B34" s="8" t="s">
        <v>9665</v>
      </c>
      <c r="C34" s="8" t="s">
        <v>9666</v>
      </c>
      <c r="D34" s="8" t="s">
        <v>9667</v>
      </c>
      <c r="E34" s="8" t="s">
        <v>70</v>
      </c>
      <c r="F34" s="8" t="s">
        <v>2789</v>
      </c>
      <c r="G34" s="8" t="n">
        <v>4.5</v>
      </c>
      <c r="H34" s="8" t="n">
        <v>114.66666666</v>
      </c>
      <c r="I34" s="8" t="s">
        <v>9668</v>
      </c>
      <c r="J34" s="8" t="s">
        <v>9669</v>
      </c>
    </row>
    <row r="35" customFormat="false" ht="15" hidden="false" customHeight="false" outlineLevel="0" collapsed="false">
      <c r="A35" s="8" t="s">
        <v>4890</v>
      </c>
      <c r="B35" s="8" t="s">
        <v>9670</v>
      </c>
      <c r="C35" s="8" t="s">
        <v>9339</v>
      </c>
      <c r="D35" s="8" t="s">
        <v>9671</v>
      </c>
      <c r="E35" s="8" t="s">
        <v>71</v>
      </c>
      <c r="F35" s="8" t="s">
        <v>4869</v>
      </c>
      <c r="G35" s="8" t="n">
        <v>43</v>
      </c>
      <c r="H35" s="8" t="n">
        <v>25</v>
      </c>
      <c r="I35" s="8" t="s">
        <v>9672</v>
      </c>
      <c r="J35" s="8" t="s">
        <v>9673</v>
      </c>
    </row>
    <row r="36" customFormat="false" ht="15" hidden="false" customHeight="false" outlineLevel="0" collapsed="false">
      <c r="A36" s="8" t="s">
        <v>9674</v>
      </c>
      <c r="B36" s="8" t="s">
        <v>9674</v>
      </c>
      <c r="C36" s="8" t="s">
        <v>9675</v>
      </c>
      <c r="D36" s="8" t="s">
        <v>9676</v>
      </c>
      <c r="E36" s="8" t="s">
        <v>73</v>
      </c>
      <c r="F36" s="8" t="s">
        <v>5830</v>
      </c>
      <c r="G36" s="8" t="n">
        <v>13</v>
      </c>
      <c r="H36" s="8" t="n">
        <v>-2</v>
      </c>
      <c r="I36" s="8" t="s">
        <v>9677</v>
      </c>
      <c r="J36" s="8" t="s">
        <v>9678</v>
      </c>
    </row>
    <row r="37" customFormat="false" ht="15" hidden="false" customHeight="false" outlineLevel="0" collapsed="false">
      <c r="A37" s="8" t="s">
        <v>9679</v>
      </c>
      <c r="B37" s="8" t="s">
        <v>9680</v>
      </c>
      <c r="C37" s="8" t="s">
        <v>9681</v>
      </c>
      <c r="D37" s="8" t="s">
        <v>9682</v>
      </c>
      <c r="E37" s="8" t="s">
        <v>73</v>
      </c>
      <c r="F37" s="8" t="s">
        <v>5818</v>
      </c>
      <c r="G37" s="8" t="n">
        <v>-3.5</v>
      </c>
      <c r="H37" s="8" t="n">
        <v>30</v>
      </c>
      <c r="I37" s="8" t="s">
        <v>9683</v>
      </c>
      <c r="J37" s="8" t="s">
        <v>9684</v>
      </c>
    </row>
    <row r="38" customFormat="false" ht="15" hidden="false" customHeight="false" outlineLevel="0" collapsed="false">
      <c r="A38" s="8" t="s">
        <v>3719</v>
      </c>
      <c r="B38" s="8" t="s">
        <v>9685</v>
      </c>
      <c r="C38" s="8" t="s">
        <v>9341</v>
      </c>
      <c r="D38" s="8" t="s">
        <v>9686</v>
      </c>
      <c r="E38" s="8" t="s">
        <v>70</v>
      </c>
      <c r="F38" s="8" t="s">
        <v>2789</v>
      </c>
      <c r="G38" s="8" t="n">
        <v>13</v>
      </c>
      <c r="H38" s="8" t="n">
        <v>105</v>
      </c>
      <c r="I38" s="8" t="s">
        <v>9687</v>
      </c>
      <c r="J38" s="8" t="s">
        <v>9688</v>
      </c>
    </row>
    <row r="39" customFormat="false" ht="15" hidden="false" customHeight="false" outlineLevel="0" collapsed="false">
      <c r="A39" s="8" t="s">
        <v>9689</v>
      </c>
      <c r="B39" s="8" t="s">
        <v>9690</v>
      </c>
      <c r="C39" s="8" t="s">
        <v>9691</v>
      </c>
      <c r="D39" s="8" t="s">
        <v>9692</v>
      </c>
      <c r="E39" s="8" t="s">
        <v>73</v>
      </c>
      <c r="F39" s="8" t="s">
        <v>9546</v>
      </c>
      <c r="G39" s="8" t="n">
        <v>6</v>
      </c>
      <c r="H39" s="8" t="n">
        <v>12</v>
      </c>
      <c r="I39" s="8" t="s">
        <v>9693</v>
      </c>
      <c r="J39" s="8" t="s">
        <v>9694</v>
      </c>
    </row>
    <row r="40" customFormat="false" ht="15" hidden="false" customHeight="false" outlineLevel="0" collapsed="false">
      <c r="A40" s="8" t="s">
        <v>5255</v>
      </c>
      <c r="B40" s="8" t="s">
        <v>5255</v>
      </c>
      <c r="C40" s="8" t="s">
        <v>9343</v>
      </c>
      <c r="D40" s="8" t="s">
        <v>9695</v>
      </c>
      <c r="E40" s="8" t="s">
        <v>72</v>
      </c>
      <c r="F40" s="8" t="s">
        <v>5047</v>
      </c>
      <c r="G40" s="8" t="n">
        <v>60</v>
      </c>
      <c r="H40" s="8" t="n">
        <v>-95</v>
      </c>
      <c r="I40" s="8" t="s">
        <v>9696</v>
      </c>
      <c r="J40" s="8" t="s">
        <v>9697</v>
      </c>
    </row>
    <row r="41" customFormat="false" ht="15" hidden="false" customHeight="false" outlineLevel="0" collapsed="false">
      <c r="A41" s="8" t="s">
        <v>9698</v>
      </c>
      <c r="B41" s="8" t="s">
        <v>9699</v>
      </c>
      <c r="C41" s="8" t="s">
        <v>9700</v>
      </c>
      <c r="D41" s="8" t="s">
        <v>9701</v>
      </c>
      <c r="E41" s="8" t="s">
        <v>73</v>
      </c>
      <c r="F41" s="8" t="s">
        <v>5830</v>
      </c>
      <c r="G41" s="8" t="n">
        <v>16</v>
      </c>
      <c r="H41" s="8" t="n">
        <v>-24</v>
      </c>
      <c r="I41" s="8"/>
      <c r="J41" s="8" t="s">
        <v>9702</v>
      </c>
    </row>
    <row r="42" customFormat="false" ht="15" hidden="false" customHeight="false" outlineLevel="0" collapsed="false">
      <c r="A42" s="8" t="s">
        <v>9703</v>
      </c>
      <c r="B42" s="8" t="s">
        <v>9704</v>
      </c>
      <c r="C42" s="8" t="s">
        <v>9705</v>
      </c>
      <c r="D42" s="8" t="s">
        <v>9706</v>
      </c>
      <c r="E42" s="8" t="s">
        <v>72</v>
      </c>
      <c r="F42" s="8" t="s">
        <v>5406</v>
      </c>
      <c r="G42" s="8" t="n">
        <v>12.18</v>
      </c>
      <c r="H42" s="8" t="n">
        <v>-68.25</v>
      </c>
      <c r="I42" s="8"/>
      <c r="J42" s="8"/>
    </row>
    <row r="43" customFormat="false" ht="15" hidden="false" customHeight="false" outlineLevel="0" collapsed="false">
      <c r="A43" s="8" t="s">
        <v>7960</v>
      </c>
      <c r="B43" s="8" t="s">
        <v>7960</v>
      </c>
      <c r="C43" s="8" t="s">
        <v>9345</v>
      </c>
      <c r="D43" s="8" t="s">
        <v>9707</v>
      </c>
      <c r="E43" s="8" t="s">
        <v>72</v>
      </c>
      <c r="F43" s="8" t="s">
        <v>5406</v>
      </c>
      <c r="G43" s="8" t="n">
        <v>19.5</v>
      </c>
      <c r="H43" s="8" t="n">
        <v>-80.5</v>
      </c>
      <c r="I43" s="8"/>
      <c r="J43" s="8" t="s">
        <v>9708</v>
      </c>
    </row>
    <row r="44" customFormat="false" ht="15" hidden="false" customHeight="false" outlineLevel="0" collapsed="false">
      <c r="A44" s="8" t="s">
        <v>9709</v>
      </c>
      <c r="B44" s="8" t="s">
        <v>9709</v>
      </c>
      <c r="C44" s="8" t="s">
        <v>9710</v>
      </c>
      <c r="D44" s="8" t="s">
        <v>9711</v>
      </c>
      <c r="E44" s="8" t="s">
        <v>73</v>
      </c>
      <c r="F44" s="8" t="s">
        <v>9546</v>
      </c>
      <c r="G44" s="8" t="n">
        <v>7</v>
      </c>
      <c r="H44" s="8" t="n">
        <v>21</v>
      </c>
      <c r="I44" s="8" t="s">
        <v>9712</v>
      </c>
      <c r="J44" s="8" t="s">
        <v>9713</v>
      </c>
    </row>
    <row r="45" customFormat="false" ht="15" hidden="false" customHeight="false" outlineLevel="0" collapsed="false">
      <c r="A45" s="8" t="s">
        <v>9714</v>
      </c>
      <c r="B45" s="8" t="s">
        <v>9715</v>
      </c>
      <c r="C45" s="8" t="s">
        <v>9716</v>
      </c>
      <c r="D45" s="8" t="s">
        <v>9717</v>
      </c>
      <c r="E45" s="8" t="s">
        <v>73</v>
      </c>
      <c r="F45" s="8" t="s">
        <v>9546</v>
      </c>
      <c r="G45" s="8" t="n">
        <v>15</v>
      </c>
      <c r="H45" s="8" t="n">
        <v>19</v>
      </c>
      <c r="I45" s="8" t="s">
        <v>9718</v>
      </c>
      <c r="J45" s="8" t="s">
        <v>9719</v>
      </c>
    </row>
    <row r="46" customFormat="false" ht="15" hidden="false" customHeight="false" outlineLevel="0" collapsed="false">
      <c r="A46" s="8" t="s">
        <v>7393</v>
      </c>
      <c r="B46" s="8" t="s">
        <v>9720</v>
      </c>
      <c r="C46" s="8" t="s">
        <v>9347</v>
      </c>
      <c r="D46" s="8" t="s">
        <v>9721</v>
      </c>
      <c r="E46" s="8" t="s">
        <v>72</v>
      </c>
      <c r="F46" s="8" t="s">
        <v>5447</v>
      </c>
      <c r="G46" s="8" t="n">
        <v>-30</v>
      </c>
      <c r="H46" s="8" t="n">
        <v>-71</v>
      </c>
      <c r="I46" s="8" t="s">
        <v>9722</v>
      </c>
      <c r="J46" s="8" t="s">
        <v>9723</v>
      </c>
    </row>
    <row r="47" customFormat="false" ht="15" hidden="false" customHeight="false" outlineLevel="0" collapsed="false">
      <c r="A47" s="8" t="s">
        <v>2532</v>
      </c>
      <c r="B47" s="8" t="s">
        <v>9724</v>
      </c>
      <c r="C47" s="8" t="s">
        <v>9349</v>
      </c>
      <c r="D47" s="8" t="s">
        <v>9725</v>
      </c>
      <c r="E47" s="8" t="s">
        <v>70</v>
      </c>
      <c r="F47" s="8" t="s">
        <v>2533</v>
      </c>
      <c r="G47" s="8" t="n">
        <v>35</v>
      </c>
      <c r="H47" s="8" t="n">
        <v>105</v>
      </c>
      <c r="I47" s="8" t="s">
        <v>9726</v>
      </c>
      <c r="J47" s="8" t="s">
        <v>9727</v>
      </c>
    </row>
    <row r="48" customFormat="false" ht="15" hidden="false" customHeight="false" outlineLevel="0" collapsed="false">
      <c r="A48" s="8" t="s">
        <v>9728</v>
      </c>
      <c r="B48" s="8" t="s">
        <v>9729</v>
      </c>
      <c r="C48" s="8" t="s">
        <v>9730</v>
      </c>
      <c r="D48" s="8" t="s">
        <v>9731</v>
      </c>
      <c r="E48" s="8" t="s">
        <v>74</v>
      </c>
      <c r="F48" s="8" t="s">
        <v>5916</v>
      </c>
      <c r="G48" s="8" t="n">
        <v>-10.5</v>
      </c>
      <c r="H48" s="8" t="n">
        <v>105.66666666</v>
      </c>
      <c r="I48" s="8"/>
      <c r="J48" s="8" t="s">
        <v>9732</v>
      </c>
    </row>
    <row r="49" customFormat="false" ht="15" hidden="false" customHeight="false" outlineLevel="0" collapsed="false">
      <c r="A49" s="8" t="s">
        <v>9733</v>
      </c>
      <c r="B49" s="8" t="s">
        <v>9734</v>
      </c>
      <c r="C49" s="8" t="s">
        <v>9735</v>
      </c>
      <c r="D49" s="8" t="s">
        <v>9736</v>
      </c>
      <c r="E49" s="8" t="s">
        <v>74</v>
      </c>
      <c r="F49" s="8" t="s">
        <v>5916</v>
      </c>
      <c r="G49" s="8" t="n">
        <v>-12.5</v>
      </c>
      <c r="H49" s="8" t="n">
        <v>96.83333333</v>
      </c>
      <c r="I49" s="8"/>
      <c r="J49" s="8" t="s">
        <v>9737</v>
      </c>
    </row>
    <row r="50" customFormat="false" ht="15" hidden="false" customHeight="false" outlineLevel="0" collapsed="false">
      <c r="A50" s="8" t="s">
        <v>5598</v>
      </c>
      <c r="B50" s="8" t="s">
        <v>9738</v>
      </c>
      <c r="C50" s="8" t="s">
        <v>9351</v>
      </c>
      <c r="D50" s="8" t="s">
        <v>9739</v>
      </c>
      <c r="E50" s="8" t="s">
        <v>72</v>
      </c>
      <c r="F50" s="8" t="s">
        <v>5447</v>
      </c>
      <c r="G50" s="8" t="n">
        <v>4</v>
      </c>
      <c r="H50" s="8" t="n">
        <v>-72</v>
      </c>
      <c r="I50" s="8" t="s">
        <v>9740</v>
      </c>
      <c r="J50" s="8" t="s">
        <v>9741</v>
      </c>
    </row>
    <row r="51" customFormat="false" ht="15" hidden="false" customHeight="false" outlineLevel="0" collapsed="false">
      <c r="A51" s="8" t="s">
        <v>9742</v>
      </c>
      <c r="B51" s="8" t="s">
        <v>9743</v>
      </c>
      <c r="C51" s="8" t="s">
        <v>9744</v>
      </c>
      <c r="D51" s="8" t="s">
        <v>9745</v>
      </c>
      <c r="E51" s="8" t="s">
        <v>73</v>
      </c>
      <c r="F51" s="8" t="s">
        <v>5818</v>
      </c>
      <c r="G51" s="8" t="n">
        <v>-12.16666666</v>
      </c>
      <c r="H51" s="8" t="n">
        <v>44.25</v>
      </c>
      <c r="I51" s="8"/>
      <c r="J51" s="8" t="s">
        <v>9746</v>
      </c>
    </row>
    <row r="52" customFormat="false" ht="15" hidden="false" customHeight="false" outlineLevel="0" collapsed="false">
      <c r="A52" s="8" t="s">
        <v>9747</v>
      </c>
      <c r="B52" s="8" t="s">
        <v>9748</v>
      </c>
      <c r="C52" s="8" t="s">
        <v>9749</v>
      </c>
      <c r="D52" s="8" t="s">
        <v>9750</v>
      </c>
      <c r="E52" s="8" t="s">
        <v>73</v>
      </c>
      <c r="F52" s="8" t="s">
        <v>9546</v>
      </c>
      <c r="G52" s="8" t="n">
        <v>-1</v>
      </c>
      <c r="H52" s="8" t="n">
        <v>15</v>
      </c>
      <c r="I52" s="8" t="s">
        <v>9751</v>
      </c>
      <c r="J52" s="8" t="s">
        <v>9752</v>
      </c>
    </row>
    <row r="53" customFormat="false" ht="15" hidden="false" customHeight="false" outlineLevel="0" collapsed="false">
      <c r="A53" s="8" t="s">
        <v>9753</v>
      </c>
      <c r="B53" s="8" t="s">
        <v>9753</v>
      </c>
      <c r="C53" s="8" t="s">
        <v>9754</v>
      </c>
      <c r="D53" s="8" t="s">
        <v>9755</v>
      </c>
      <c r="E53" s="8" t="s">
        <v>74</v>
      </c>
      <c r="F53" s="8" t="s">
        <v>9534</v>
      </c>
      <c r="G53" s="8" t="n">
        <v>-21.23333333</v>
      </c>
      <c r="H53" s="8" t="n">
        <v>-159.76666666</v>
      </c>
      <c r="I53" s="8"/>
      <c r="J53" s="8" t="s">
        <v>9756</v>
      </c>
    </row>
    <row r="54" customFormat="false" ht="15" hidden="false" customHeight="false" outlineLevel="0" collapsed="false">
      <c r="A54" s="8" t="s">
        <v>7580</v>
      </c>
      <c r="B54" s="8" t="s">
        <v>9757</v>
      </c>
      <c r="C54" s="8" t="s">
        <v>9354</v>
      </c>
      <c r="D54" s="8" t="s">
        <v>9758</v>
      </c>
      <c r="E54" s="8" t="s">
        <v>72</v>
      </c>
      <c r="F54" s="8" t="s">
        <v>9353</v>
      </c>
      <c r="G54" s="8" t="n">
        <v>10</v>
      </c>
      <c r="H54" s="8" t="n">
        <v>-84</v>
      </c>
      <c r="I54" s="8" t="s">
        <v>9759</v>
      </c>
      <c r="J54" s="8" t="s">
        <v>9760</v>
      </c>
    </row>
    <row r="55" customFormat="false" ht="15" hidden="false" customHeight="false" outlineLevel="0" collapsed="false">
      <c r="A55" s="8" t="s">
        <v>9761</v>
      </c>
      <c r="B55" s="8" t="s">
        <v>9762</v>
      </c>
      <c r="C55" s="8" t="s">
        <v>9763</v>
      </c>
      <c r="D55" s="8" t="s">
        <v>9764</v>
      </c>
      <c r="E55" s="8" t="s">
        <v>71</v>
      </c>
      <c r="F55" s="8" t="s">
        <v>4869</v>
      </c>
      <c r="G55" s="8" t="n">
        <v>45.16666666</v>
      </c>
      <c r="H55" s="8" t="n">
        <v>15.5</v>
      </c>
      <c r="I55" s="8" t="s">
        <v>9765</v>
      </c>
      <c r="J55" s="8" t="s">
        <v>9766</v>
      </c>
    </row>
    <row r="56" customFormat="false" ht="15" hidden="false" customHeight="false" outlineLevel="0" collapsed="false">
      <c r="A56" s="8" t="s">
        <v>5425</v>
      </c>
      <c r="B56" s="8" t="s">
        <v>9767</v>
      </c>
      <c r="C56" s="8" t="s">
        <v>9356</v>
      </c>
      <c r="D56" s="8" t="s">
        <v>9768</v>
      </c>
      <c r="E56" s="8" t="s">
        <v>72</v>
      </c>
      <c r="F56" s="8" t="s">
        <v>5406</v>
      </c>
      <c r="G56" s="8" t="n">
        <v>21.5</v>
      </c>
      <c r="H56" s="8" t="n">
        <v>-80</v>
      </c>
      <c r="I56" s="8"/>
      <c r="J56" s="8" t="s">
        <v>9769</v>
      </c>
    </row>
    <row r="57" customFormat="false" ht="15" hidden="false" customHeight="false" outlineLevel="0" collapsed="false">
      <c r="A57" s="8" t="s">
        <v>9770</v>
      </c>
      <c r="B57" s="8" t="s">
        <v>9771</v>
      </c>
      <c r="C57" s="8" t="s">
        <v>9772</v>
      </c>
      <c r="D57" s="8" t="s">
        <v>9773</v>
      </c>
      <c r="E57" s="8" t="s">
        <v>72</v>
      </c>
      <c r="F57" s="8" t="s">
        <v>5406</v>
      </c>
      <c r="G57" s="8" t="n">
        <v>12.116667</v>
      </c>
      <c r="H57" s="8" t="n">
        <v>-68.933333</v>
      </c>
      <c r="I57" s="8"/>
      <c r="J57" s="8" t="s">
        <v>9774</v>
      </c>
    </row>
    <row r="58" customFormat="false" ht="15" hidden="false" customHeight="false" outlineLevel="0" collapsed="false">
      <c r="A58" s="8" t="s">
        <v>9775</v>
      </c>
      <c r="B58" s="8" t="s">
        <v>9776</v>
      </c>
      <c r="C58" s="8" t="s">
        <v>9777</v>
      </c>
      <c r="D58" s="8" t="s">
        <v>9778</v>
      </c>
      <c r="E58" s="8" t="s">
        <v>71</v>
      </c>
      <c r="F58" s="8" t="s">
        <v>3829</v>
      </c>
      <c r="G58" s="8" t="n">
        <v>35</v>
      </c>
      <c r="H58" s="8" t="n">
        <v>33</v>
      </c>
      <c r="I58" s="8"/>
      <c r="J58" s="8" t="s">
        <v>9779</v>
      </c>
    </row>
    <row r="59" customFormat="false" ht="15" hidden="false" customHeight="false" outlineLevel="0" collapsed="false">
      <c r="A59" s="8" t="s">
        <v>7354</v>
      </c>
      <c r="B59" s="8" t="s">
        <v>9780</v>
      </c>
      <c r="C59" s="8" t="s">
        <v>9358</v>
      </c>
      <c r="D59" s="8" t="s">
        <v>9781</v>
      </c>
      <c r="E59" s="8" t="s">
        <v>71</v>
      </c>
      <c r="F59" s="8" t="s">
        <v>4584</v>
      </c>
      <c r="G59" s="8" t="n">
        <v>49.75</v>
      </c>
      <c r="H59" s="8" t="n">
        <v>15.5</v>
      </c>
      <c r="I59" s="8" t="s">
        <v>9782</v>
      </c>
      <c r="J59" s="8" t="s">
        <v>9783</v>
      </c>
    </row>
    <row r="60" customFormat="false" ht="15" hidden="false" customHeight="false" outlineLevel="0" collapsed="false">
      <c r="A60" s="8" t="s">
        <v>9784</v>
      </c>
      <c r="B60" s="8" t="s">
        <v>9785</v>
      </c>
      <c r="C60" s="8" t="s">
        <v>9786</v>
      </c>
      <c r="D60" s="8" t="s">
        <v>9787</v>
      </c>
      <c r="E60" s="8" t="s">
        <v>73</v>
      </c>
      <c r="F60" s="8" t="s">
        <v>9546</v>
      </c>
      <c r="G60" s="8" t="n">
        <v>0</v>
      </c>
      <c r="H60" s="8" t="n">
        <v>25</v>
      </c>
      <c r="I60" s="8" t="s">
        <v>9788</v>
      </c>
      <c r="J60" s="8" t="s">
        <v>9789</v>
      </c>
    </row>
    <row r="61" customFormat="false" ht="15" hidden="false" customHeight="false" outlineLevel="0" collapsed="false">
      <c r="A61" s="8" t="s">
        <v>4735</v>
      </c>
      <c r="B61" s="8" t="s">
        <v>9790</v>
      </c>
      <c r="C61" s="8" t="s">
        <v>9360</v>
      </c>
      <c r="D61" s="8" t="s">
        <v>9791</v>
      </c>
      <c r="E61" s="8" t="s">
        <v>71</v>
      </c>
      <c r="F61" s="8" t="s">
        <v>4449</v>
      </c>
      <c r="G61" s="8" t="n">
        <v>56</v>
      </c>
      <c r="H61" s="8" t="n">
        <v>10</v>
      </c>
      <c r="I61" s="8" t="s">
        <v>9792</v>
      </c>
      <c r="J61" s="8" t="s">
        <v>9793</v>
      </c>
    </row>
    <row r="62" customFormat="false" ht="15" hidden="false" customHeight="false" outlineLevel="0" collapsed="false">
      <c r="A62" s="8" t="s">
        <v>9794</v>
      </c>
      <c r="B62" s="8" t="s">
        <v>9795</v>
      </c>
      <c r="C62" s="8" t="s">
        <v>9796</v>
      </c>
      <c r="D62" s="8" t="s">
        <v>9797</v>
      </c>
      <c r="E62" s="8" t="s">
        <v>73</v>
      </c>
      <c r="F62" s="8" t="s">
        <v>5818</v>
      </c>
      <c r="G62" s="8" t="n">
        <v>11.5</v>
      </c>
      <c r="H62" s="8" t="n">
        <v>43</v>
      </c>
      <c r="I62" s="8" t="s">
        <v>9798</v>
      </c>
      <c r="J62" s="8" t="s">
        <v>9799</v>
      </c>
    </row>
    <row r="63" customFormat="false" ht="15" hidden="false" customHeight="false" outlineLevel="0" collapsed="false">
      <c r="A63" s="8" t="s">
        <v>9800</v>
      </c>
      <c r="B63" s="8" t="s">
        <v>9801</v>
      </c>
      <c r="C63" s="8" t="s">
        <v>9802</v>
      </c>
      <c r="D63" s="8" t="s">
        <v>9803</v>
      </c>
      <c r="E63" s="8" t="s">
        <v>72</v>
      </c>
      <c r="F63" s="8" t="s">
        <v>5406</v>
      </c>
      <c r="G63" s="8" t="n">
        <v>15.41666666</v>
      </c>
      <c r="H63" s="8" t="n">
        <v>-61.33333333</v>
      </c>
      <c r="I63" s="8"/>
      <c r="J63" s="8" t="s">
        <v>9804</v>
      </c>
    </row>
    <row r="64" customFormat="false" ht="15" hidden="false" customHeight="false" outlineLevel="0" collapsed="false">
      <c r="A64" s="8" t="s">
        <v>9805</v>
      </c>
      <c r="B64" s="8" t="s">
        <v>9805</v>
      </c>
      <c r="C64" s="8" t="s">
        <v>9806</v>
      </c>
      <c r="D64" s="8" t="s">
        <v>9807</v>
      </c>
      <c r="E64" s="8" t="s">
        <v>72</v>
      </c>
      <c r="F64" s="8" t="s">
        <v>5406</v>
      </c>
      <c r="G64" s="8" t="n">
        <v>19</v>
      </c>
      <c r="H64" s="8" t="n">
        <v>-70.66666666</v>
      </c>
      <c r="I64" s="8" t="s">
        <v>9808</v>
      </c>
      <c r="J64" s="8" t="s">
        <v>9809</v>
      </c>
    </row>
    <row r="65" customFormat="false" ht="15" hidden="false" customHeight="false" outlineLevel="0" collapsed="false">
      <c r="A65" s="8" t="s">
        <v>9810</v>
      </c>
      <c r="B65" s="8" t="s">
        <v>9811</v>
      </c>
      <c r="C65" s="8" t="s">
        <v>9812</v>
      </c>
      <c r="D65" s="8" t="s">
        <v>9813</v>
      </c>
      <c r="E65" s="8" t="s">
        <v>72</v>
      </c>
      <c r="F65" s="8" t="s">
        <v>5447</v>
      </c>
      <c r="G65" s="8" t="n">
        <v>-2</v>
      </c>
      <c r="H65" s="8" t="n">
        <v>-77.5</v>
      </c>
      <c r="I65" s="8" t="s">
        <v>9814</v>
      </c>
      <c r="J65" s="8" t="s">
        <v>9815</v>
      </c>
    </row>
    <row r="66" customFormat="false" ht="15" hidden="false" customHeight="false" outlineLevel="0" collapsed="false">
      <c r="A66" s="8" t="s">
        <v>5621</v>
      </c>
      <c r="B66" s="8" t="s">
        <v>9816</v>
      </c>
      <c r="C66" s="8" t="s">
        <v>9362</v>
      </c>
      <c r="D66" s="8" t="s">
        <v>9817</v>
      </c>
      <c r="E66" s="8" t="s">
        <v>73</v>
      </c>
      <c r="F66" s="8" t="s">
        <v>5622</v>
      </c>
      <c r="G66" s="8" t="n">
        <v>27</v>
      </c>
      <c r="H66" s="8" t="n">
        <v>30</v>
      </c>
      <c r="I66" s="8" t="s">
        <v>9818</v>
      </c>
      <c r="J66" s="8" t="s">
        <v>9819</v>
      </c>
    </row>
    <row r="67" customFormat="false" ht="15" hidden="false" customHeight="false" outlineLevel="0" collapsed="false">
      <c r="A67" s="8" t="s">
        <v>7380</v>
      </c>
      <c r="B67" s="8" t="s">
        <v>9820</v>
      </c>
      <c r="C67" s="8" t="s">
        <v>9364</v>
      </c>
      <c r="D67" s="8" t="s">
        <v>9821</v>
      </c>
      <c r="E67" s="8" t="s">
        <v>72</v>
      </c>
      <c r="F67" s="8" t="s">
        <v>9353</v>
      </c>
      <c r="G67" s="8" t="n">
        <v>13.83333333</v>
      </c>
      <c r="H67" s="8" t="n">
        <v>-88.91666666</v>
      </c>
      <c r="I67" s="8" t="s">
        <v>9822</v>
      </c>
      <c r="J67" s="8" t="s">
        <v>9823</v>
      </c>
    </row>
    <row r="68" customFormat="false" ht="15" hidden="false" customHeight="false" outlineLevel="0" collapsed="false">
      <c r="A68" s="8" t="s">
        <v>9824</v>
      </c>
      <c r="B68" s="8" t="s">
        <v>9825</v>
      </c>
      <c r="C68" s="8" t="s">
        <v>9826</v>
      </c>
      <c r="D68" s="8" t="s">
        <v>9827</v>
      </c>
      <c r="E68" s="8" t="s">
        <v>73</v>
      </c>
      <c r="F68" s="8" t="s">
        <v>9546</v>
      </c>
      <c r="G68" s="8" t="n">
        <v>2</v>
      </c>
      <c r="H68" s="8" t="n">
        <v>10</v>
      </c>
      <c r="I68" s="8" t="s">
        <v>9828</v>
      </c>
      <c r="J68" s="8" t="s">
        <v>9829</v>
      </c>
    </row>
    <row r="69" customFormat="false" ht="15" hidden="false" customHeight="false" outlineLevel="0" collapsed="false">
      <c r="A69" s="8" t="s">
        <v>9830</v>
      </c>
      <c r="B69" s="8" t="s">
        <v>9831</v>
      </c>
      <c r="C69" s="8" t="s">
        <v>9832</v>
      </c>
      <c r="D69" s="8" t="s">
        <v>9833</v>
      </c>
      <c r="E69" s="8" t="s">
        <v>73</v>
      </c>
      <c r="F69" s="8" t="s">
        <v>5818</v>
      </c>
      <c r="G69" s="8" t="n">
        <v>15</v>
      </c>
      <c r="H69" s="8" t="n">
        <v>39</v>
      </c>
      <c r="I69" s="8" t="s">
        <v>9834</v>
      </c>
      <c r="J69" s="8" t="s">
        <v>9835</v>
      </c>
    </row>
    <row r="70" customFormat="false" ht="15" hidden="false" customHeight="false" outlineLevel="0" collapsed="false">
      <c r="A70" s="8" t="s">
        <v>9836</v>
      </c>
      <c r="B70" s="8" t="s">
        <v>9837</v>
      </c>
      <c r="C70" s="8" t="s">
        <v>9838</v>
      </c>
      <c r="D70" s="8" t="s">
        <v>9839</v>
      </c>
      <c r="E70" s="8" t="s">
        <v>71</v>
      </c>
      <c r="F70" s="8" t="s">
        <v>4449</v>
      </c>
      <c r="G70" s="8" t="n">
        <v>59</v>
      </c>
      <c r="H70" s="8" t="n">
        <v>26</v>
      </c>
      <c r="I70" s="8" t="s">
        <v>9840</v>
      </c>
      <c r="J70" s="8" t="s">
        <v>9841</v>
      </c>
    </row>
    <row r="71" customFormat="false" ht="15" hidden="false" customHeight="false" outlineLevel="0" collapsed="false">
      <c r="A71" s="8" t="s">
        <v>9842</v>
      </c>
      <c r="B71" s="8" t="s">
        <v>9843</v>
      </c>
      <c r="C71" s="8" t="s">
        <v>9844</v>
      </c>
      <c r="D71" s="8" t="s">
        <v>9845</v>
      </c>
      <c r="E71" s="8" t="s">
        <v>73</v>
      </c>
      <c r="F71" s="8" t="s">
        <v>5873</v>
      </c>
      <c r="G71" s="8" t="n">
        <v>-26.5</v>
      </c>
      <c r="H71" s="8" t="n">
        <v>31.5</v>
      </c>
      <c r="I71" s="8" t="s">
        <v>9846</v>
      </c>
      <c r="J71" s="8" t="s">
        <v>9847</v>
      </c>
    </row>
    <row r="72" customFormat="false" ht="15" hidden="false" customHeight="false" outlineLevel="0" collapsed="false">
      <c r="A72" s="8" t="s">
        <v>5817</v>
      </c>
      <c r="B72" s="8" t="s">
        <v>9848</v>
      </c>
      <c r="C72" s="8" t="s">
        <v>9366</v>
      </c>
      <c r="D72" s="8" t="s">
        <v>9849</v>
      </c>
      <c r="E72" s="8" t="s">
        <v>73</v>
      </c>
      <c r="F72" s="8" t="s">
        <v>5818</v>
      </c>
      <c r="G72" s="8" t="n">
        <v>8</v>
      </c>
      <c r="H72" s="8" t="n">
        <v>38</v>
      </c>
      <c r="I72" s="8" t="s">
        <v>9850</v>
      </c>
      <c r="J72" s="8" t="s">
        <v>9851</v>
      </c>
    </row>
    <row r="73" customFormat="false" ht="15" hidden="false" customHeight="false" outlineLevel="0" collapsed="false">
      <c r="A73" s="8" t="s">
        <v>9852</v>
      </c>
      <c r="B73" s="8" t="s">
        <v>9852</v>
      </c>
      <c r="C73" s="8" t="s">
        <v>9853</v>
      </c>
      <c r="D73" s="8" t="s">
        <v>9854</v>
      </c>
      <c r="E73" s="8" t="s">
        <v>72</v>
      </c>
      <c r="F73" s="8" t="s">
        <v>5447</v>
      </c>
      <c r="G73" s="8" t="n">
        <v>-51.75</v>
      </c>
      <c r="H73" s="8" t="n">
        <v>-59</v>
      </c>
      <c r="I73" s="8"/>
      <c r="J73" s="8" t="s">
        <v>9855</v>
      </c>
    </row>
    <row r="74" customFormat="false" ht="15" hidden="false" customHeight="false" outlineLevel="0" collapsed="false">
      <c r="A74" s="8" t="s">
        <v>9856</v>
      </c>
      <c r="B74" s="8" t="s">
        <v>9856</v>
      </c>
      <c r="C74" s="8" t="s">
        <v>9857</v>
      </c>
      <c r="D74" s="8" t="s">
        <v>9858</v>
      </c>
      <c r="E74" s="8" t="s">
        <v>71</v>
      </c>
      <c r="F74" s="8" t="s">
        <v>4449</v>
      </c>
      <c r="G74" s="8" t="n">
        <v>62</v>
      </c>
      <c r="H74" s="8" t="n">
        <v>-7</v>
      </c>
      <c r="I74" s="8"/>
      <c r="J74" s="8" t="s">
        <v>9859</v>
      </c>
    </row>
    <row r="75" customFormat="false" ht="15" hidden="false" customHeight="false" outlineLevel="0" collapsed="false">
      <c r="A75" s="8" t="s">
        <v>7635</v>
      </c>
      <c r="B75" s="8" t="s">
        <v>9860</v>
      </c>
      <c r="C75" s="8" t="s">
        <v>9369</v>
      </c>
      <c r="D75" s="8" t="s">
        <v>9861</v>
      </c>
      <c r="E75" s="8" t="s">
        <v>74</v>
      </c>
      <c r="F75" s="8" t="s">
        <v>9368</v>
      </c>
      <c r="G75" s="8" t="n">
        <v>-18</v>
      </c>
      <c r="H75" s="8" t="n">
        <v>175</v>
      </c>
      <c r="I75" s="8"/>
      <c r="J75" s="8" t="s">
        <v>9862</v>
      </c>
    </row>
    <row r="76" customFormat="false" ht="15" hidden="false" customHeight="false" outlineLevel="0" collapsed="false">
      <c r="A76" s="8" t="s">
        <v>7551</v>
      </c>
      <c r="B76" s="8" t="s">
        <v>9863</v>
      </c>
      <c r="C76" s="8" t="s">
        <v>9371</v>
      </c>
      <c r="D76" s="8" t="s">
        <v>9864</v>
      </c>
      <c r="E76" s="8" t="s">
        <v>71</v>
      </c>
      <c r="F76" s="8" t="s">
        <v>4449</v>
      </c>
      <c r="G76" s="8" t="n">
        <v>64</v>
      </c>
      <c r="H76" s="8" t="n">
        <v>26</v>
      </c>
      <c r="I76" s="8" t="s">
        <v>9865</v>
      </c>
      <c r="J76" s="8" t="s">
        <v>9866</v>
      </c>
    </row>
    <row r="77" customFormat="false" ht="15" hidden="false" customHeight="false" outlineLevel="0" collapsed="false">
      <c r="A77" s="8" t="s">
        <v>4081</v>
      </c>
      <c r="B77" s="8" t="s">
        <v>9867</v>
      </c>
      <c r="C77" s="8" t="s">
        <v>9373</v>
      </c>
      <c r="D77" s="8" t="s">
        <v>9868</v>
      </c>
      <c r="E77" s="8" t="s">
        <v>71</v>
      </c>
      <c r="F77" s="8" t="s">
        <v>4082</v>
      </c>
      <c r="G77" s="8" t="n">
        <v>46</v>
      </c>
      <c r="H77" s="8" t="n">
        <v>2</v>
      </c>
      <c r="I77" s="8" t="s">
        <v>9869</v>
      </c>
      <c r="J77" s="8" t="s">
        <v>9870</v>
      </c>
    </row>
    <row r="78" customFormat="false" ht="15" hidden="false" customHeight="false" outlineLevel="0" collapsed="false">
      <c r="A78" s="8" t="s">
        <v>9871</v>
      </c>
      <c r="B78" s="8" t="s">
        <v>9872</v>
      </c>
      <c r="C78" s="8" t="s">
        <v>9873</v>
      </c>
      <c r="D78" s="8" t="s">
        <v>9874</v>
      </c>
      <c r="E78" s="8" t="s">
        <v>72</v>
      </c>
      <c r="F78" s="8" t="s">
        <v>5447</v>
      </c>
      <c r="G78" s="8" t="n">
        <v>4</v>
      </c>
      <c r="H78" s="8" t="n">
        <v>-53</v>
      </c>
      <c r="I78" s="8" t="s">
        <v>9875</v>
      </c>
      <c r="J78" s="8" t="s">
        <v>9876</v>
      </c>
    </row>
    <row r="79" customFormat="false" ht="15" hidden="false" customHeight="false" outlineLevel="0" collapsed="false">
      <c r="A79" s="8" t="s">
        <v>9877</v>
      </c>
      <c r="B79" s="8" t="s">
        <v>9877</v>
      </c>
      <c r="C79" s="8" t="s">
        <v>9878</v>
      </c>
      <c r="D79" s="8" t="s">
        <v>9879</v>
      </c>
      <c r="E79" s="8" t="s">
        <v>74</v>
      </c>
      <c r="F79" s="8" t="s">
        <v>9534</v>
      </c>
      <c r="G79" s="8" t="n">
        <v>-15</v>
      </c>
      <c r="H79" s="8" t="n">
        <v>-140</v>
      </c>
      <c r="I79" s="8"/>
      <c r="J79" s="8" t="s">
        <v>9880</v>
      </c>
    </row>
    <row r="80" customFormat="false" ht="15" hidden="false" customHeight="false" outlineLevel="0" collapsed="false">
      <c r="A80" s="8" t="s">
        <v>9881</v>
      </c>
      <c r="B80" s="8" t="s">
        <v>9882</v>
      </c>
      <c r="C80" s="8" t="s">
        <v>9883</v>
      </c>
      <c r="D80" s="8" t="s">
        <v>9884</v>
      </c>
      <c r="E80" s="8" t="s">
        <v>9556</v>
      </c>
      <c r="F80" s="8"/>
      <c r="G80" s="8" t="n">
        <v>-49.25</v>
      </c>
      <c r="H80" s="8" t="n">
        <v>69.167</v>
      </c>
      <c r="I80" s="8"/>
      <c r="J80" s="8" t="s">
        <v>9885</v>
      </c>
    </row>
    <row r="81" customFormat="false" ht="15" hidden="false" customHeight="false" outlineLevel="0" collapsed="false">
      <c r="A81" s="8" t="s">
        <v>9886</v>
      </c>
      <c r="B81" s="8" t="s">
        <v>9887</v>
      </c>
      <c r="C81" s="8" t="s">
        <v>9888</v>
      </c>
      <c r="D81" s="8" t="s">
        <v>9889</v>
      </c>
      <c r="E81" s="8" t="s">
        <v>73</v>
      </c>
      <c r="F81" s="8" t="s">
        <v>9546</v>
      </c>
      <c r="G81" s="8" t="n">
        <v>-1</v>
      </c>
      <c r="H81" s="8" t="n">
        <v>11.75</v>
      </c>
      <c r="I81" s="8" t="s">
        <v>9890</v>
      </c>
      <c r="J81" s="8" t="s">
        <v>9891</v>
      </c>
    </row>
    <row r="82" customFormat="false" ht="15" hidden="false" customHeight="false" outlineLevel="0" collapsed="false">
      <c r="A82" s="8" t="s">
        <v>9892</v>
      </c>
      <c r="B82" s="8" t="s">
        <v>9893</v>
      </c>
      <c r="C82" s="8" t="s">
        <v>9894</v>
      </c>
      <c r="D82" s="8" t="s">
        <v>9895</v>
      </c>
      <c r="E82" s="8" t="s">
        <v>73</v>
      </c>
      <c r="F82" s="8" t="s">
        <v>5830</v>
      </c>
      <c r="G82" s="8" t="n">
        <v>13.46666666</v>
      </c>
      <c r="H82" s="8" t="n">
        <v>-16.56666666</v>
      </c>
      <c r="I82" s="8" t="s">
        <v>9896</v>
      </c>
      <c r="J82" s="8" t="s">
        <v>9897</v>
      </c>
    </row>
    <row r="83" customFormat="false" ht="15" hidden="false" customHeight="false" outlineLevel="0" collapsed="false">
      <c r="A83" s="8" t="s">
        <v>4901</v>
      </c>
      <c r="B83" s="8" t="s">
        <v>4901</v>
      </c>
      <c r="C83" s="8" t="s">
        <v>9375</v>
      </c>
      <c r="D83" s="8" t="s">
        <v>9898</v>
      </c>
      <c r="E83" s="8" t="s">
        <v>70</v>
      </c>
      <c r="F83" s="8" t="s">
        <v>4902</v>
      </c>
      <c r="G83" s="8" t="n">
        <v>42</v>
      </c>
      <c r="H83" s="8" t="n">
        <v>43.5</v>
      </c>
      <c r="I83" s="8" t="s">
        <v>9899</v>
      </c>
      <c r="J83" s="8" t="s">
        <v>9900</v>
      </c>
    </row>
    <row r="84" customFormat="false" ht="15" hidden="false" customHeight="false" outlineLevel="0" collapsed="false">
      <c r="A84" s="8" t="s">
        <v>4613</v>
      </c>
      <c r="B84" s="8" t="s">
        <v>9901</v>
      </c>
      <c r="C84" s="8" t="s">
        <v>9377</v>
      </c>
      <c r="D84" s="8" t="s">
        <v>9792</v>
      </c>
      <c r="E84" s="8" t="s">
        <v>71</v>
      </c>
      <c r="F84" s="8" t="s">
        <v>4082</v>
      </c>
      <c r="G84" s="8" t="n">
        <v>51</v>
      </c>
      <c r="H84" s="8" t="n">
        <v>9</v>
      </c>
      <c r="I84" s="8" t="s">
        <v>9902</v>
      </c>
      <c r="J84" s="8" t="s">
        <v>9903</v>
      </c>
    </row>
    <row r="85" customFormat="false" ht="15" hidden="false" customHeight="false" outlineLevel="0" collapsed="false">
      <c r="A85" s="8" t="s">
        <v>5852</v>
      </c>
      <c r="B85" s="8" t="s">
        <v>9904</v>
      </c>
      <c r="C85" s="8" t="s">
        <v>9379</v>
      </c>
      <c r="D85" s="8" t="s">
        <v>9905</v>
      </c>
      <c r="E85" s="8" t="s">
        <v>73</v>
      </c>
      <c r="F85" s="8" t="s">
        <v>5830</v>
      </c>
      <c r="G85" s="8" t="n">
        <v>8</v>
      </c>
      <c r="H85" s="8" t="n">
        <v>-2</v>
      </c>
      <c r="I85" s="8" t="s">
        <v>9906</v>
      </c>
      <c r="J85" s="8" t="s">
        <v>9907</v>
      </c>
    </row>
    <row r="86" customFormat="false" ht="15" hidden="false" customHeight="false" outlineLevel="0" collapsed="false">
      <c r="A86" s="8" t="s">
        <v>9908</v>
      </c>
      <c r="B86" s="8" t="s">
        <v>9908</v>
      </c>
      <c r="C86" s="8" t="s">
        <v>9909</v>
      </c>
      <c r="D86" s="8" t="s">
        <v>9910</v>
      </c>
      <c r="E86" s="8" t="s">
        <v>71</v>
      </c>
      <c r="F86" s="8" t="s">
        <v>3829</v>
      </c>
      <c r="G86" s="8" t="n">
        <v>36.13333333</v>
      </c>
      <c r="H86" s="8" t="n">
        <v>-5.35</v>
      </c>
      <c r="I86" s="8" t="s">
        <v>9911</v>
      </c>
      <c r="J86" s="8" t="s">
        <v>9912</v>
      </c>
    </row>
    <row r="87" customFormat="false" ht="15" hidden="false" customHeight="false" outlineLevel="0" collapsed="false">
      <c r="A87" s="8" t="s">
        <v>4923</v>
      </c>
      <c r="B87" s="8" t="s">
        <v>9913</v>
      </c>
      <c r="C87" s="8" t="s">
        <v>9381</v>
      </c>
      <c r="D87" s="8" t="s">
        <v>9914</v>
      </c>
      <c r="E87" s="8" t="s">
        <v>71</v>
      </c>
      <c r="F87" s="8" t="s">
        <v>3829</v>
      </c>
      <c r="G87" s="8" t="n">
        <v>39</v>
      </c>
      <c r="H87" s="8" t="n">
        <v>22</v>
      </c>
      <c r="I87" s="8" t="s">
        <v>9915</v>
      </c>
      <c r="J87" s="8" t="s">
        <v>9916</v>
      </c>
    </row>
    <row r="88" customFormat="false" ht="15" hidden="false" customHeight="false" outlineLevel="0" collapsed="false">
      <c r="A88" s="8" t="s">
        <v>9917</v>
      </c>
      <c r="B88" s="8" t="s">
        <v>9917</v>
      </c>
      <c r="C88" s="8" t="s">
        <v>9918</v>
      </c>
      <c r="D88" s="8" t="s">
        <v>9919</v>
      </c>
      <c r="E88" s="8" t="s">
        <v>72</v>
      </c>
      <c r="F88" s="8" t="s">
        <v>5047</v>
      </c>
      <c r="G88" s="8" t="n">
        <v>72</v>
      </c>
      <c r="H88" s="8" t="n">
        <v>-40</v>
      </c>
      <c r="I88" s="8"/>
      <c r="J88" s="8" t="s">
        <v>9920</v>
      </c>
    </row>
    <row r="89" customFormat="false" ht="15" hidden="false" customHeight="false" outlineLevel="0" collapsed="false">
      <c r="A89" s="8" t="s">
        <v>9921</v>
      </c>
      <c r="B89" s="8" t="s">
        <v>9921</v>
      </c>
      <c r="C89" s="8" t="s">
        <v>9922</v>
      </c>
      <c r="D89" s="8" t="s">
        <v>9923</v>
      </c>
      <c r="E89" s="8" t="s">
        <v>72</v>
      </c>
      <c r="F89" s="8" t="s">
        <v>5406</v>
      </c>
      <c r="G89" s="8" t="n">
        <v>12.11666666</v>
      </c>
      <c r="H89" s="8" t="n">
        <v>-61.66666666</v>
      </c>
      <c r="I89" s="8"/>
      <c r="J89" s="8" t="s">
        <v>9924</v>
      </c>
    </row>
    <row r="90" customFormat="false" ht="15" hidden="false" customHeight="false" outlineLevel="0" collapsed="false">
      <c r="A90" s="8" t="s">
        <v>9925</v>
      </c>
      <c r="B90" s="8" t="s">
        <v>9925</v>
      </c>
      <c r="C90" s="8" t="s">
        <v>9926</v>
      </c>
      <c r="D90" s="8" t="s">
        <v>9927</v>
      </c>
      <c r="E90" s="8" t="s">
        <v>72</v>
      </c>
      <c r="F90" s="8" t="s">
        <v>5406</v>
      </c>
      <c r="G90" s="8" t="n">
        <v>16.25</v>
      </c>
      <c r="H90" s="8" t="n">
        <v>-61.583333</v>
      </c>
      <c r="I90" s="8"/>
      <c r="J90" s="8" t="s">
        <v>9928</v>
      </c>
    </row>
    <row r="91" customFormat="false" ht="15" hidden="false" customHeight="false" outlineLevel="0" collapsed="false">
      <c r="A91" s="8" t="s">
        <v>9929</v>
      </c>
      <c r="B91" s="8" t="s">
        <v>9929</v>
      </c>
      <c r="C91" s="8" t="s">
        <v>9930</v>
      </c>
      <c r="D91" s="8" t="s">
        <v>9931</v>
      </c>
      <c r="E91" s="8" t="s">
        <v>74</v>
      </c>
      <c r="F91" s="8" t="s">
        <v>9932</v>
      </c>
      <c r="G91" s="8" t="n">
        <v>13.46666666</v>
      </c>
      <c r="H91" s="8" t="n">
        <v>144.78333333</v>
      </c>
      <c r="I91" s="8"/>
      <c r="J91" s="8" t="s">
        <v>9933</v>
      </c>
    </row>
    <row r="92" customFormat="false" ht="15" hidden="false" customHeight="false" outlineLevel="0" collapsed="false">
      <c r="A92" s="8" t="s">
        <v>9934</v>
      </c>
      <c r="B92" s="8" t="s">
        <v>9935</v>
      </c>
      <c r="C92" s="8" t="s">
        <v>9936</v>
      </c>
      <c r="D92" s="8" t="s">
        <v>9937</v>
      </c>
      <c r="E92" s="8" t="s">
        <v>72</v>
      </c>
      <c r="F92" s="8" t="s">
        <v>9353</v>
      </c>
      <c r="G92" s="8" t="n">
        <v>15.5</v>
      </c>
      <c r="H92" s="8" t="n">
        <v>-90.25</v>
      </c>
      <c r="I92" s="8" t="s">
        <v>9938</v>
      </c>
      <c r="J92" s="8" t="s">
        <v>9939</v>
      </c>
    </row>
    <row r="93" customFormat="false" ht="15" hidden="false" customHeight="false" outlineLevel="0" collapsed="false">
      <c r="A93" s="8" t="s">
        <v>9940</v>
      </c>
      <c r="B93" s="8" t="s">
        <v>9941</v>
      </c>
      <c r="C93" s="8" t="s">
        <v>9942</v>
      </c>
      <c r="D93" s="8" t="s">
        <v>9943</v>
      </c>
      <c r="E93" s="8" t="s">
        <v>71</v>
      </c>
      <c r="F93" s="8" t="s">
        <v>4449</v>
      </c>
      <c r="G93" s="8" t="n">
        <v>49.46666666</v>
      </c>
      <c r="H93" s="8" t="n">
        <v>-2.58333333</v>
      </c>
      <c r="I93" s="8"/>
      <c r="J93" s="8" t="s">
        <v>9944</v>
      </c>
    </row>
    <row r="94" customFormat="false" ht="15" hidden="false" customHeight="false" outlineLevel="0" collapsed="false">
      <c r="A94" s="8" t="s">
        <v>9945</v>
      </c>
      <c r="B94" s="8" t="s">
        <v>9946</v>
      </c>
      <c r="C94" s="8" t="s">
        <v>9947</v>
      </c>
      <c r="D94" s="8" t="s">
        <v>9948</v>
      </c>
      <c r="E94" s="8" t="s">
        <v>73</v>
      </c>
      <c r="F94" s="8" t="s">
        <v>5830</v>
      </c>
      <c r="G94" s="8" t="n">
        <v>11</v>
      </c>
      <c r="H94" s="8" t="n">
        <v>-10</v>
      </c>
      <c r="I94" s="8" t="s">
        <v>9949</v>
      </c>
      <c r="J94" s="8" t="s">
        <v>9950</v>
      </c>
    </row>
    <row r="95" customFormat="false" ht="15" hidden="false" customHeight="false" outlineLevel="0" collapsed="false">
      <c r="A95" s="8" t="s">
        <v>9951</v>
      </c>
      <c r="B95" s="8" t="s">
        <v>9952</v>
      </c>
      <c r="C95" s="8" t="s">
        <v>9953</v>
      </c>
      <c r="D95" s="8" t="s">
        <v>9954</v>
      </c>
      <c r="E95" s="8" t="s">
        <v>73</v>
      </c>
      <c r="F95" s="8" t="s">
        <v>5830</v>
      </c>
      <c r="G95" s="8" t="n">
        <v>12</v>
      </c>
      <c r="H95" s="8" t="n">
        <v>-15</v>
      </c>
      <c r="I95" s="8" t="s">
        <v>9955</v>
      </c>
      <c r="J95" s="8" t="s">
        <v>9956</v>
      </c>
    </row>
    <row r="96" customFormat="false" ht="15" hidden="false" customHeight="false" outlineLevel="0" collapsed="false">
      <c r="A96" s="8" t="s">
        <v>9957</v>
      </c>
      <c r="B96" s="8" t="s">
        <v>9958</v>
      </c>
      <c r="C96" s="8" t="s">
        <v>9959</v>
      </c>
      <c r="D96" s="8" t="s">
        <v>9960</v>
      </c>
      <c r="E96" s="8" t="s">
        <v>72</v>
      </c>
      <c r="F96" s="8" t="s">
        <v>5447</v>
      </c>
      <c r="G96" s="8" t="n">
        <v>5</v>
      </c>
      <c r="H96" s="8" t="n">
        <v>-59</v>
      </c>
      <c r="I96" s="8" t="s">
        <v>9961</v>
      </c>
      <c r="J96" s="8" t="s">
        <v>9962</v>
      </c>
    </row>
    <row r="97" customFormat="false" ht="15" hidden="false" customHeight="false" outlineLevel="0" collapsed="false">
      <c r="A97" s="8" t="s">
        <v>9963</v>
      </c>
      <c r="B97" s="8" t="s">
        <v>9964</v>
      </c>
      <c r="C97" s="8" t="s">
        <v>9965</v>
      </c>
      <c r="D97" s="8" t="s">
        <v>9808</v>
      </c>
      <c r="E97" s="8" t="s">
        <v>72</v>
      </c>
      <c r="F97" s="8" t="s">
        <v>5406</v>
      </c>
      <c r="G97" s="8" t="n">
        <v>19</v>
      </c>
      <c r="H97" s="8" t="n">
        <v>-72.41666666</v>
      </c>
      <c r="I97" s="8" t="s">
        <v>9807</v>
      </c>
      <c r="J97" s="8" t="s">
        <v>9966</v>
      </c>
    </row>
    <row r="98" customFormat="false" ht="15" hidden="false" customHeight="false" outlineLevel="0" collapsed="false">
      <c r="A98" s="8" t="s">
        <v>9967</v>
      </c>
      <c r="B98" s="8" t="s">
        <v>9967</v>
      </c>
      <c r="C98" s="8" t="s">
        <v>9968</v>
      </c>
      <c r="D98" s="8" t="s">
        <v>9969</v>
      </c>
      <c r="E98" s="8" t="s">
        <v>9556</v>
      </c>
      <c r="F98" s="8"/>
      <c r="G98" s="8" t="n">
        <v>-53.1</v>
      </c>
      <c r="H98" s="8" t="n">
        <v>72.51666666</v>
      </c>
      <c r="I98" s="8"/>
      <c r="J98" s="8" t="s">
        <v>9970</v>
      </c>
    </row>
    <row r="99" customFormat="false" ht="15" hidden="false" customHeight="false" outlineLevel="0" collapsed="false">
      <c r="A99" s="8" t="s">
        <v>9971</v>
      </c>
      <c r="B99" s="8" t="s">
        <v>9972</v>
      </c>
      <c r="C99" s="8" t="s">
        <v>9973</v>
      </c>
      <c r="D99" s="8" t="s">
        <v>9974</v>
      </c>
      <c r="E99" s="8" t="s">
        <v>72</v>
      </c>
      <c r="F99" s="8" t="s">
        <v>9353</v>
      </c>
      <c r="G99" s="8" t="n">
        <v>15</v>
      </c>
      <c r="H99" s="8" t="n">
        <v>-86.5</v>
      </c>
      <c r="I99" s="8" t="s">
        <v>9975</v>
      </c>
      <c r="J99" s="8" t="s">
        <v>9976</v>
      </c>
    </row>
    <row r="100" customFormat="false" ht="15" hidden="false" customHeight="false" outlineLevel="0" collapsed="false">
      <c r="A100" s="8" t="s">
        <v>2745</v>
      </c>
      <c r="B100" s="8" t="s">
        <v>9977</v>
      </c>
      <c r="C100" s="8" t="s">
        <v>9978</v>
      </c>
      <c r="D100" s="8" t="s">
        <v>9979</v>
      </c>
      <c r="E100" s="8" t="s">
        <v>70</v>
      </c>
      <c r="F100" s="8" t="s">
        <v>2533</v>
      </c>
      <c r="G100" s="8" t="n">
        <v>22.267</v>
      </c>
      <c r="H100" s="8" t="n">
        <v>114.188</v>
      </c>
      <c r="I100" s="8" t="s">
        <v>9725</v>
      </c>
      <c r="J100" s="8" t="s">
        <v>9980</v>
      </c>
    </row>
    <row r="101" customFormat="false" ht="15" hidden="false" customHeight="false" outlineLevel="0" collapsed="false">
      <c r="A101" s="8" t="s">
        <v>4768</v>
      </c>
      <c r="B101" s="8" t="s">
        <v>4768</v>
      </c>
      <c r="C101" s="8" t="s">
        <v>9383</v>
      </c>
      <c r="D101" s="8" t="s">
        <v>9981</v>
      </c>
      <c r="E101" s="8" t="s">
        <v>71</v>
      </c>
      <c r="F101" s="8" t="s">
        <v>4584</v>
      </c>
      <c r="G101" s="8" t="n">
        <v>47</v>
      </c>
      <c r="H101" s="8" t="n">
        <v>20</v>
      </c>
      <c r="I101" s="8" t="s">
        <v>9982</v>
      </c>
      <c r="J101" s="8" t="s">
        <v>9983</v>
      </c>
    </row>
    <row r="102" customFormat="false" ht="15" hidden="false" customHeight="false" outlineLevel="0" collapsed="false">
      <c r="A102" s="8" t="s">
        <v>9984</v>
      </c>
      <c r="B102" s="8" t="s">
        <v>9984</v>
      </c>
      <c r="C102" s="8" t="s">
        <v>9985</v>
      </c>
      <c r="D102" s="8" t="s">
        <v>9986</v>
      </c>
      <c r="E102" s="8" t="s">
        <v>71</v>
      </c>
      <c r="F102" s="8" t="s">
        <v>4449</v>
      </c>
      <c r="G102" s="8" t="n">
        <v>65</v>
      </c>
      <c r="H102" s="8" t="n">
        <v>-18</v>
      </c>
      <c r="I102" s="8"/>
      <c r="J102" s="8" t="s">
        <v>9987</v>
      </c>
    </row>
    <row r="103" customFormat="false" ht="15" hidden="false" customHeight="false" outlineLevel="0" collapsed="false">
      <c r="A103" s="8" t="s">
        <v>206</v>
      </c>
      <c r="B103" s="8" t="s">
        <v>9988</v>
      </c>
      <c r="C103" s="8" t="s">
        <v>9385</v>
      </c>
      <c r="D103" s="8" t="s">
        <v>9989</v>
      </c>
      <c r="E103" s="8" t="s">
        <v>70</v>
      </c>
      <c r="F103" s="8" t="s">
        <v>207</v>
      </c>
      <c r="G103" s="8" t="n">
        <v>20</v>
      </c>
      <c r="H103" s="8" t="n">
        <v>77</v>
      </c>
      <c r="I103" s="8" t="s">
        <v>9990</v>
      </c>
      <c r="J103" s="8" t="s">
        <v>9991</v>
      </c>
    </row>
    <row r="104" customFormat="false" ht="15" hidden="false" customHeight="false" outlineLevel="0" collapsed="false">
      <c r="A104" s="8" t="s">
        <v>3547</v>
      </c>
      <c r="B104" s="8" t="s">
        <v>9992</v>
      </c>
      <c r="C104" s="8" t="s">
        <v>177</v>
      </c>
      <c r="D104" s="8" t="s">
        <v>9993</v>
      </c>
      <c r="E104" s="8" t="s">
        <v>70</v>
      </c>
      <c r="F104" s="8" t="s">
        <v>2789</v>
      </c>
      <c r="G104" s="8" t="n">
        <v>-5</v>
      </c>
      <c r="H104" s="8" t="n">
        <v>120</v>
      </c>
      <c r="I104" s="8" t="s">
        <v>9994</v>
      </c>
      <c r="J104" s="8" t="s">
        <v>9995</v>
      </c>
    </row>
    <row r="105" customFormat="false" ht="15" hidden="false" customHeight="false" outlineLevel="0" collapsed="false">
      <c r="A105" s="8" t="s">
        <v>5747</v>
      </c>
      <c r="B105" s="8" t="s">
        <v>9996</v>
      </c>
      <c r="C105" s="8" t="s">
        <v>9389</v>
      </c>
      <c r="D105" s="8" t="s">
        <v>9997</v>
      </c>
      <c r="E105" s="8" t="s">
        <v>70</v>
      </c>
      <c r="F105" s="8" t="s">
        <v>207</v>
      </c>
      <c r="G105" s="8" t="n">
        <v>32</v>
      </c>
      <c r="H105" s="8" t="n">
        <v>53</v>
      </c>
      <c r="I105" s="8" t="s">
        <v>9998</v>
      </c>
      <c r="J105" s="8" t="s">
        <v>9999</v>
      </c>
    </row>
    <row r="106" customFormat="false" ht="15" hidden="false" customHeight="false" outlineLevel="0" collapsed="false">
      <c r="A106" s="8" t="s">
        <v>7598</v>
      </c>
      <c r="B106" s="8" t="s">
        <v>10000</v>
      </c>
      <c r="C106" s="8" t="s">
        <v>9391</v>
      </c>
      <c r="D106" s="8" t="s">
        <v>10001</v>
      </c>
      <c r="E106" s="8" t="s">
        <v>70</v>
      </c>
      <c r="F106" s="8" t="s">
        <v>4902</v>
      </c>
      <c r="G106" s="8" t="n">
        <v>33</v>
      </c>
      <c r="H106" s="8" t="n">
        <v>44</v>
      </c>
      <c r="I106" s="8" t="s">
        <v>10002</v>
      </c>
      <c r="J106" s="8" t="s">
        <v>10003</v>
      </c>
    </row>
    <row r="107" customFormat="false" ht="15" hidden="false" customHeight="false" outlineLevel="0" collapsed="false">
      <c r="A107" s="8" t="s">
        <v>4574</v>
      </c>
      <c r="B107" s="8" t="s">
        <v>10004</v>
      </c>
      <c r="C107" s="8" t="s">
        <v>9393</v>
      </c>
      <c r="D107" s="8" t="s">
        <v>10005</v>
      </c>
      <c r="E107" s="8" t="s">
        <v>71</v>
      </c>
      <c r="F107" s="8" t="s">
        <v>4449</v>
      </c>
      <c r="G107" s="8" t="n">
        <v>53</v>
      </c>
      <c r="H107" s="8" t="n">
        <v>-8</v>
      </c>
      <c r="I107" s="8" t="s">
        <v>10006</v>
      </c>
      <c r="J107" s="8" t="s">
        <v>10007</v>
      </c>
    </row>
    <row r="108" customFormat="false" ht="15" hidden="false" customHeight="false" outlineLevel="0" collapsed="false">
      <c r="A108" s="8" t="s">
        <v>10008</v>
      </c>
      <c r="B108" s="8" t="s">
        <v>10008</v>
      </c>
      <c r="C108" s="8" t="s">
        <v>10009</v>
      </c>
      <c r="D108" s="8" t="s">
        <v>10010</v>
      </c>
      <c r="E108" s="8" t="s">
        <v>71</v>
      </c>
      <c r="F108" s="8" t="s">
        <v>4449</v>
      </c>
      <c r="G108" s="8" t="n">
        <v>54.25</v>
      </c>
      <c r="H108" s="8" t="n">
        <v>-4.5</v>
      </c>
      <c r="I108" s="8"/>
      <c r="J108" s="8" t="s">
        <v>10011</v>
      </c>
    </row>
    <row r="109" customFormat="false" ht="15" hidden="false" customHeight="false" outlineLevel="0" collapsed="false">
      <c r="A109" s="8" t="s">
        <v>5687</v>
      </c>
      <c r="B109" s="8" t="s">
        <v>10012</v>
      </c>
      <c r="C109" s="8" t="s">
        <v>9395</v>
      </c>
      <c r="D109" s="8" t="s">
        <v>10013</v>
      </c>
      <c r="E109" s="8" t="s">
        <v>70</v>
      </c>
      <c r="F109" s="8" t="s">
        <v>4902</v>
      </c>
      <c r="G109" s="8" t="n">
        <v>31.47</v>
      </c>
      <c r="H109" s="8" t="n">
        <v>35.13</v>
      </c>
      <c r="I109" s="8" t="s">
        <v>10014</v>
      </c>
      <c r="J109" s="8" t="s">
        <v>10015</v>
      </c>
    </row>
    <row r="110" customFormat="false" ht="15" hidden="false" customHeight="false" outlineLevel="0" collapsed="false">
      <c r="A110" s="8" t="s">
        <v>3828</v>
      </c>
      <c r="B110" s="8" t="s">
        <v>10016</v>
      </c>
      <c r="C110" s="8" t="s">
        <v>9397</v>
      </c>
      <c r="D110" s="8" t="s">
        <v>10017</v>
      </c>
      <c r="E110" s="8" t="s">
        <v>71</v>
      </c>
      <c r="F110" s="8" t="s">
        <v>3829</v>
      </c>
      <c r="G110" s="8" t="n">
        <v>42.83333333</v>
      </c>
      <c r="H110" s="8" t="n">
        <v>12.83333333</v>
      </c>
      <c r="I110" s="8" t="s">
        <v>10018</v>
      </c>
      <c r="J110" s="8" t="s">
        <v>10019</v>
      </c>
    </row>
    <row r="111" customFormat="false" ht="15" hidden="false" customHeight="false" outlineLevel="0" collapsed="false">
      <c r="A111" s="8" t="s">
        <v>10020</v>
      </c>
      <c r="B111" s="8" t="s">
        <v>10021</v>
      </c>
      <c r="C111" s="8" t="s">
        <v>10022</v>
      </c>
      <c r="D111" s="8" t="s">
        <v>10023</v>
      </c>
      <c r="E111" s="8" t="s">
        <v>73</v>
      </c>
      <c r="F111" s="8" t="s">
        <v>5830</v>
      </c>
      <c r="G111" s="8" t="n">
        <v>8</v>
      </c>
      <c r="H111" s="8" t="n">
        <v>-5</v>
      </c>
      <c r="I111" s="8" t="s">
        <v>10024</v>
      </c>
      <c r="J111" s="8" t="s">
        <v>10025</v>
      </c>
    </row>
    <row r="112" customFormat="false" ht="15" hidden="false" customHeight="false" outlineLevel="0" collapsed="false">
      <c r="A112" s="8" t="s">
        <v>5405</v>
      </c>
      <c r="B112" s="8" t="s">
        <v>5405</v>
      </c>
      <c r="C112" s="8" t="s">
        <v>9399</v>
      </c>
      <c r="D112" s="8" t="s">
        <v>10026</v>
      </c>
      <c r="E112" s="8" t="s">
        <v>72</v>
      </c>
      <c r="F112" s="8" t="s">
        <v>5406</v>
      </c>
      <c r="G112" s="8" t="n">
        <v>18.25</v>
      </c>
      <c r="H112" s="8" t="n">
        <v>-77.5</v>
      </c>
      <c r="I112" s="8"/>
      <c r="J112" s="8" t="s">
        <v>10027</v>
      </c>
    </row>
    <row r="113" customFormat="false" ht="15" hidden="false" customHeight="false" outlineLevel="0" collapsed="false">
      <c r="A113" s="8" t="s">
        <v>2859</v>
      </c>
      <c r="B113" s="8" t="s">
        <v>2859</v>
      </c>
      <c r="C113" s="8" t="s">
        <v>9401</v>
      </c>
      <c r="D113" s="8" t="s">
        <v>10028</v>
      </c>
      <c r="E113" s="8" t="s">
        <v>70</v>
      </c>
      <c r="F113" s="8" t="s">
        <v>2533</v>
      </c>
      <c r="G113" s="8" t="n">
        <v>36</v>
      </c>
      <c r="H113" s="8" t="n">
        <v>138</v>
      </c>
      <c r="I113" s="8"/>
      <c r="J113" s="8" t="s">
        <v>10029</v>
      </c>
    </row>
    <row r="114" customFormat="false" ht="15" hidden="false" customHeight="false" outlineLevel="0" collapsed="false">
      <c r="A114" s="8" t="s">
        <v>10030</v>
      </c>
      <c r="B114" s="8" t="s">
        <v>10031</v>
      </c>
      <c r="C114" s="8" t="s">
        <v>10032</v>
      </c>
      <c r="D114" s="8" t="s">
        <v>10033</v>
      </c>
      <c r="E114" s="8" t="s">
        <v>71</v>
      </c>
      <c r="F114" s="8" t="s">
        <v>4449</v>
      </c>
      <c r="G114" s="8" t="n">
        <v>49.25</v>
      </c>
      <c r="H114" s="8" t="n">
        <v>-2.16666666</v>
      </c>
      <c r="I114" s="8"/>
      <c r="J114" s="8" t="s">
        <v>10034</v>
      </c>
    </row>
    <row r="115" customFormat="false" ht="15" hidden="false" customHeight="false" outlineLevel="0" collapsed="false">
      <c r="A115" s="8" t="s">
        <v>5699</v>
      </c>
      <c r="B115" s="8" t="s">
        <v>10035</v>
      </c>
      <c r="C115" s="8" t="s">
        <v>9403</v>
      </c>
      <c r="D115" s="8" t="s">
        <v>10036</v>
      </c>
      <c r="E115" s="8" t="s">
        <v>70</v>
      </c>
      <c r="F115" s="8" t="s">
        <v>4902</v>
      </c>
      <c r="G115" s="8" t="n">
        <v>31</v>
      </c>
      <c r="H115" s="8" t="n">
        <v>36</v>
      </c>
      <c r="I115" s="8" t="s">
        <v>10037</v>
      </c>
      <c r="J115" s="8" t="s">
        <v>10038</v>
      </c>
    </row>
    <row r="116" customFormat="false" ht="15" hidden="false" customHeight="false" outlineLevel="0" collapsed="false">
      <c r="A116" s="8" t="s">
        <v>7508</v>
      </c>
      <c r="B116" s="8" t="s">
        <v>10039</v>
      </c>
      <c r="C116" s="8" t="s">
        <v>9405</v>
      </c>
      <c r="D116" s="8" t="s">
        <v>10040</v>
      </c>
      <c r="E116" s="8" t="s">
        <v>70</v>
      </c>
      <c r="F116" s="8" t="s">
        <v>3813</v>
      </c>
      <c r="G116" s="8" t="n">
        <v>48</v>
      </c>
      <c r="H116" s="8" t="n">
        <v>68</v>
      </c>
      <c r="I116" s="8" t="s">
        <v>10041</v>
      </c>
      <c r="J116" s="8" t="s">
        <v>10042</v>
      </c>
    </row>
    <row r="117" customFormat="false" ht="15" hidden="false" customHeight="false" outlineLevel="0" collapsed="false">
      <c r="A117" s="8" t="s">
        <v>5903</v>
      </c>
      <c r="B117" s="8" t="s">
        <v>10043</v>
      </c>
      <c r="C117" s="8" t="s">
        <v>9407</v>
      </c>
      <c r="D117" s="8" t="s">
        <v>10044</v>
      </c>
      <c r="E117" s="8" t="s">
        <v>73</v>
      </c>
      <c r="F117" s="8" t="s">
        <v>5818</v>
      </c>
      <c r="G117" s="8" t="n">
        <v>1</v>
      </c>
      <c r="H117" s="8" t="n">
        <v>38</v>
      </c>
      <c r="I117" s="8" t="s">
        <v>10045</v>
      </c>
      <c r="J117" s="8" t="s">
        <v>10046</v>
      </c>
    </row>
    <row r="118" customFormat="false" ht="15" hidden="false" customHeight="false" outlineLevel="0" collapsed="false">
      <c r="A118" s="8" t="s">
        <v>10047</v>
      </c>
      <c r="B118" s="8" t="s">
        <v>10048</v>
      </c>
      <c r="C118" s="8" t="s">
        <v>10049</v>
      </c>
      <c r="D118" s="8" t="s">
        <v>10050</v>
      </c>
      <c r="E118" s="8" t="s">
        <v>74</v>
      </c>
      <c r="F118" s="8" t="s">
        <v>9932</v>
      </c>
      <c r="G118" s="8" t="n">
        <v>1.41666666</v>
      </c>
      <c r="H118" s="8" t="n">
        <v>173</v>
      </c>
      <c r="I118" s="8"/>
      <c r="J118" s="8" t="s">
        <v>10051</v>
      </c>
    </row>
    <row r="119" customFormat="false" ht="15" hidden="false" customHeight="false" outlineLevel="0" collapsed="false">
      <c r="A119" s="8" t="s">
        <v>10052</v>
      </c>
      <c r="B119" s="8" t="s">
        <v>10053</v>
      </c>
      <c r="C119" s="8" t="s">
        <v>10054</v>
      </c>
      <c r="D119" s="8" t="s">
        <v>10055</v>
      </c>
      <c r="E119" s="8" t="s">
        <v>71</v>
      </c>
      <c r="F119" s="8" t="s">
        <v>4869</v>
      </c>
      <c r="G119" s="8" t="n">
        <v>42.666667</v>
      </c>
      <c r="H119" s="8" t="n">
        <v>21.166667</v>
      </c>
      <c r="I119" s="8" t="s">
        <v>10056</v>
      </c>
      <c r="J119" s="8" t="s">
        <v>10057</v>
      </c>
    </row>
    <row r="120" customFormat="false" ht="15" hidden="false" customHeight="false" outlineLevel="0" collapsed="false">
      <c r="A120" s="8" t="s">
        <v>10058</v>
      </c>
      <c r="B120" s="8" t="s">
        <v>10059</v>
      </c>
      <c r="C120" s="8" t="s">
        <v>10060</v>
      </c>
      <c r="D120" s="8" t="s">
        <v>10061</v>
      </c>
      <c r="E120" s="8" t="s">
        <v>70</v>
      </c>
      <c r="F120" s="8" t="s">
        <v>4902</v>
      </c>
      <c r="G120" s="8" t="n">
        <v>29.5</v>
      </c>
      <c r="H120" s="8" t="n">
        <v>45.75</v>
      </c>
      <c r="I120" s="8" t="s">
        <v>10062</v>
      </c>
      <c r="J120" s="8" t="s">
        <v>10063</v>
      </c>
    </row>
    <row r="121" customFormat="false" ht="15" hidden="false" customHeight="false" outlineLevel="0" collapsed="false">
      <c r="A121" s="8" t="s">
        <v>10064</v>
      </c>
      <c r="B121" s="8" t="s">
        <v>10065</v>
      </c>
      <c r="C121" s="8" t="s">
        <v>10066</v>
      </c>
      <c r="D121" s="8" t="s">
        <v>10067</v>
      </c>
      <c r="E121" s="8" t="s">
        <v>70</v>
      </c>
      <c r="F121" s="8" t="s">
        <v>3813</v>
      </c>
      <c r="G121" s="8" t="n">
        <v>41</v>
      </c>
      <c r="H121" s="8" t="n">
        <v>75</v>
      </c>
      <c r="I121" s="8" t="s">
        <v>10068</v>
      </c>
      <c r="J121" s="8" t="s">
        <v>10069</v>
      </c>
    </row>
    <row r="122" customFormat="false" ht="15" hidden="false" customHeight="false" outlineLevel="0" collapsed="false">
      <c r="A122" s="8" t="s">
        <v>7855</v>
      </c>
      <c r="B122" s="8" t="s">
        <v>10070</v>
      </c>
      <c r="C122" s="8" t="s">
        <v>9409</v>
      </c>
      <c r="D122" s="8" t="s">
        <v>10071</v>
      </c>
      <c r="E122" s="8" t="s">
        <v>70</v>
      </c>
      <c r="F122" s="8" t="s">
        <v>2789</v>
      </c>
      <c r="G122" s="8" t="n">
        <v>18</v>
      </c>
      <c r="H122" s="8" t="n">
        <v>105</v>
      </c>
      <c r="I122" s="8" t="s">
        <v>10072</v>
      </c>
      <c r="J122" s="8" t="s">
        <v>10073</v>
      </c>
    </row>
    <row r="123" customFormat="false" ht="15" hidden="false" customHeight="false" outlineLevel="0" collapsed="false">
      <c r="A123" s="8" t="s">
        <v>10074</v>
      </c>
      <c r="B123" s="8" t="s">
        <v>10075</v>
      </c>
      <c r="C123" s="8" t="s">
        <v>10076</v>
      </c>
      <c r="D123" s="8" t="s">
        <v>10077</v>
      </c>
      <c r="E123" s="8" t="s">
        <v>71</v>
      </c>
      <c r="F123" s="8" t="s">
        <v>4449</v>
      </c>
      <c r="G123" s="8" t="n">
        <v>57</v>
      </c>
      <c r="H123" s="8" t="n">
        <v>25</v>
      </c>
      <c r="I123" s="8" t="s">
        <v>10078</v>
      </c>
      <c r="J123" s="8" t="s">
        <v>10079</v>
      </c>
    </row>
    <row r="124" customFormat="false" ht="15" hidden="false" customHeight="false" outlineLevel="0" collapsed="false">
      <c r="A124" s="8" t="s">
        <v>5609</v>
      </c>
      <c r="B124" s="8" t="s">
        <v>10080</v>
      </c>
      <c r="C124" s="8" t="s">
        <v>9411</v>
      </c>
      <c r="D124" s="8" t="s">
        <v>10081</v>
      </c>
      <c r="E124" s="8" t="s">
        <v>70</v>
      </c>
      <c r="F124" s="8" t="s">
        <v>4902</v>
      </c>
      <c r="G124" s="8" t="n">
        <v>33.83333333</v>
      </c>
      <c r="H124" s="8" t="n">
        <v>35.83333333</v>
      </c>
      <c r="I124" s="8" t="s">
        <v>10082</v>
      </c>
      <c r="J124" s="8" t="s">
        <v>10083</v>
      </c>
    </row>
    <row r="125" customFormat="false" ht="15" hidden="false" customHeight="false" outlineLevel="0" collapsed="false">
      <c r="A125" s="8" t="s">
        <v>10084</v>
      </c>
      <c r="B125" s="8" t="s">
        <v>10085</v>
      </c>
      <c r="C125" s="8" t="s">
        <v>10086</v>
      </c>
      <c r="D125" s="8" t="s">
        <v>10087</v>
      </c>
      <c r="E125" s="8" t="s">
        <v>73</v>
      </c>
      <c r="F125" s="8" t="s">
        <v>5873</v>
      </c>
      <c r="G125" s="8" t="n">
        <v>-29.5</v>
      </c>
      <c r="H125" s="8" t="n">
        <v>28.5</v>
      </c>
      <c r="I125" s="8" t="s">
        <v>10088</v>
      </c>
      <c r="J125" s="8" t="s">
        <v>10089</v>
      </c>
    </row>
    <row r="126" customFormat="false" ht="15" hidden="false" customHeight="false" outlineLevel="0" collapsed="false">
      <c r="A126" s="8" t="s">
        <v>10090</v>
      </c>
      <c r="B126" s="8" t="s">
        <v>10091</v>
      </c>
      <c r="C126" s="8" t="s">
        <v>10092</v>
      </c>
      <c r="D126" s="8" t="s">
        <v>10093</v>
      </c>
      <c r="E126" s="8" t="s">
        <v>73</v>
      </c>
      <c r="F126" s="8" t="s">
        <v>5830</v>
      </c>
      <c r="G126" s="8" t="n">
        <v>6.5</v>
      </c>
      <c r="H126" s="8" t="n">
        <v>-9.5</v>
      </c>
      <c r="I126" s="8" t="s">
        <v>10094</v>
      </c>
      <c r="J126" s="8" t="s">
        <v>10095</v>
      </c>
    </row>
    <row r="127" customFormat="false" ht="15" hidden="false" customHeight="false" outlineLevel="0" collapsed="false">
      <c r="A127" s="8" t="s">
        <v>10096</v>
      </c>
      <c r="B127" s="8" t="s">
        <v>10097</v>
      </c>
      <c r="C127" s="8" t="s">
        <v>10098</v>
      </c>
      <c r="D127" s="8" t="s">
        <v>10099</v>
      </c>
      <c r="E127" s="8" t="s">
        <v>73</v>
      </c>
      <c r="F127" s="8" t="s">
        <v>5622</v>
      </c>
      <c r="G127" s="8" t="n">
        <v>25</v>
      </c>
      <c r="H127" s="8" t="n">
        <v>17</v>
      </c>
      <c r="I127" s="8" t="s">
        <v>10100</v>
      </c>
      <c r="J127" s="8" t="s">
        <v>10101</v>
      </c>
    </row>
    <row r="128" customFormat="false" ht="15" hidden="false" customHeight="false" outlineLevel="0" collapsed="false">
      <c r="A128" s="8" t="s">
        <v>10102</v>
      </c>
      <c r="B128" s="8" t="s">
        <v>10103</v>
      </c>
      <c r="C128" s="8" t="s">
        <v>10104</v>
      </c>
      <c r="D128" s="8" t="s">
        <v>10105</v>
      </c>
      <c r="E128" s="8" t="s">
        <v>71</v>
      </c>
      <c r="F128" s="8" t="s">
        <v>4082</v>
      </c>
      <c r="G128" s="8" t="n">
        <v>47.26666666</v>
      </c>
      <c r="H128" s="8" t="n">
        <v>9.53333333</v>
      </c>
      <c r="I128" s="8" t="s">
        <v>10106</v>
      </c>
      <c r="J128" s="8" t="s">
        <v>10107</v>
      </c>
    </row>
    <row r="129" customFormat="false" ht="15" hidden="false" customHeight="false" outlineLevel="0" collapsed="false">
      <c r="A129" s="8" t="s">
        <v>10108</v>
      </c>
      <c r="B129" s="8" t="s">
        <v>10109</v>
      </c>
      <c r="C129" s="8" t="s">
        <v>10110</v>
      </c>
      <c r="D129" s="8" t="s">
        <v>10111</v>
      </c>
      <c r="E129" s="8" t="s">
        <v>71</v>
      </c>
      <c r="F129" s="8" t="s">
        <v>4449</v>
      </c>
      <c r="G129" s="8" t="n">
        <v>56</v>
      </c>
      <c r="H129" s="8" t="n">
        <v>24</v>
      </c>
      <c r="I129" s="8" t="s">
        <v>10112</v>
      </c>
      <c r="J129" s="8" t="s">
        <v>10113</v>
      </c>
    </row>
    <row r="130" customFormat="false" ht="15" hidden="false" customHeight="false" outlineLevel="0" collapsed="false">
      <c r="A130" s="8" t="s">
        <v>10114</v>
      </c>
      <c r="B130" s="8" t="s">
        <v>10115</v>
      </c>
      <c r="C130" s="8" t="s">
        <v>10116</v>
      </c>
      <c r="D130" s="8" t="s">
        <v>10117</v>
      </c>
      <c r="E130" s="8" t="s">
        <v>71</v>
      </c>
      <c r="F130" s="8" t="s">
        <v>4082</v>
      </c>
      <c r="G130" s="8" t="n">
        <v>49.75</v>
      </c>
      <c r="H130" s="8" t="n">
        <v>6.16666666</v>
      </c>
      <c r="I130" s="8" t="s">
        <v>10118</v>
      </c>
      <c r="J130" s="8" t="s">
        <v>10119</v>
      </c>
    </row>
    <row r="131" customFormat="false" ht="15" hidden="false" customHeight="false" outlineLevel="0" collapsed="false">
      <c r="A131" s="8" t="s">
        <v>10120</v>
      </c>
      <c r="B131" s="8" t="s">
        <v>10121</v>
      </c>
      <c r="C131" s="8" t="s">
        <v>10122</v>
      </c>
      <c r="D131" s="8" t="s">
        <v>10123</v>
      </c>
      <c r="E131" s="8" t="s">
        <v>70</v>
      </c>
      <c r="F131" s="8" t="s">
        <v>2533</v>
      </c>
      <c r="G131" s="8" t="n">
        <v>22.16666666</v>
      </c>
      <c r="H131" s="8" t="n">
        <v>113.55</v>
      </c>
      <c r="I131" s="8" t="s">
        <v>9725</v>
      </c>
      <c r="J131" s="8" t="s">
        <v>10124</v>
      </c>
    </row>
    <row r="132" customFormat="false" ht="15" hidden="false" customHeight="false" outlineLevel="0" collapsed="false">
      <c r="A132" s="8" t="s">
        <v>7626</v>
      </c>
      <c r="B132" s="8" t="s">
        <v>10125</v>
      </c>
      <c r="C132" s="8" t="s">
        <v>9413</v>
      </c>
      <c r="D132" s="8" t="s">
        <v>10126</v>
      </c>
      <c r="E132" s="8" t="s">
        <v>73</v>
      </c>
      <c r="F132" s="8" t="s">
        <v>5818</v>
      </c>
      <c r="G132" s="8" t="n">
        <v>-20</v>
      </c>
      <c r="H132" s="8" t="n">
        <v>47</v>
      </c>
      <c r="I132" s="8"/>
      <c r="J132" s="8" t="s">
        <v>10127</v>
      </c>
    </row>
    <row r="133" customFormat="false" ht="15" hidden="false" customHeight="false" outlineLevel="0" collapsed="false">
      <c r="A133" s="8" t="s">
        <v>10128</v>
      </c>
      <c r="B133" s="8" t="s">
        <v>10129</v>
      </c>
      <c r="C133" s="8" t="s">
        <v>10130</v>
      </c>
      <c r="D133" s="8" t="s">
        <v>10131</v>
      </c>
      <c r="E133" s="8" t="s">
        <v>73</v>
      </c>
      <c r="F133" s="8" t="s">
        <v>5818</v>
      </c>
      <c r="G133" s="8" t="n">
        <v>-13.5</v>
      </c>
      <c r="H133" s="8" t="n">
        <v>34</v>
      </c>
      <c r="I133" s="8" t="s">
        <v>10132</v>
      </c>
      <c r="J133" s="8" t="s">
        <v>10133</v>
      </c>
    </row>
    <row r="134" customFormat="false" ht="15" hidden="false" customHeight="false" outlineLevel="0" collapsed="false">
      <c r="A134" s="8" t="s">
        <v>3508</v>
      </c>
      <c r="B134" s="8" t="s">
        <v>3508</v>
      </c>
      <c r="C134" s="8" t="s">
        <v>9415</v>
      </c>
      <c r="D134" s="8" t="s">
        <v>9668</v>
      </c>
      <c r="E134" s="8" t="s">
        <v>70</v>
      </c>
      <c r="F134" s="8" t="s">
        <v>2789</v>
      </c>
      <c r="G134" s="8" t="n">
        <v>2.5</v>
      </c>
      <c r="H134" s="8" t="n">
        <v>112.5</v>
      </c>
      <c r="I134" s="8" t="s">
        <v>10134</v>
      </c>
      <c r="J134" s="8" t="s">
        <v>10135</v>
      </c>
    </row>
    <row r="135" customFormat="false" ht="15" hidden="false" customHeight="false" outlineLevel="0" collapsed="false">
      <c r="A135" s="8" t="s">
        <v>10136</v>
      </c>
      <c r="B135" s="8" t="s">
        <v>10137</v>
      </c>
      <c r="C135" s="8" t="s">
        <v>10138</v>
      </c>
      <c r="D135" s="8" t="s">
        <v>10139</v>
      </c>
      <c r="E135" s="8" t="s">
        <v>70</v>
      </c>
      <c r="F135" s="8" t="s">
        <v>207</v>
      </c>
      <c r="G135" s="8" t="n">
        <v>3.25</v>
      </c>
      <c r="H135" s="8" t="n">
        <v>73</v>
      </c>
      <c r="I135" s="8"/>
      <c r="J135" s="8" t="s">
        <v>10140</v>
      </c>
    </row>
    <row r="136" customFormat="false" ht="15" hidden="false" customHeight="false" outlineLevel="0" collapsed="false">
      <c r="A136" s="8" t="s">
        <v>10141</v>
      </c>
      <c r="B136" s="8" t="s">
        <v>10142</v>
      </c>
      <c r="C136" s="8" t="s">
        <v>10143</v>
      </c>
      <c r="D136" s="8" t="s">
        <v>10144</v>
      </c>
      <c r="E136" s="8" t="s">
        <v>73</v>
      </c>
      <c r="F136" s="8" t="s">
        <v>5830</v>
      </c>
      <c r="G136" s="8" t="n">
        <v>17</v>
      </c>
      <c r="H136" s="8" t="n">
        <v>-4</v>
      </c>
      <c r="I136" s="8" t="s">
        <v>10145</v>
      </c>
      <c r="J136" s="8" t="s">
        <v>10146</v>
      </c>
    </row>
    <row r="137" customFormat="false" ht="15" hidden="false" customHeight="false" outlineLevel="0" collapsed="false">
      <c r="A137" s="8" t="s">
        <v>10147</v>
      </c>
      <c r="B137" s="8" t="s">
        <v>10148</v>
      </c>
      <c r="C137" s="8" t="s">
        <v>10149</v>
      </c>
      <c r="D137" s="8" t="s">
        <v>10150</v>
      </c>
      <c r="E137" s="8" t="s">
        <v>71</v>
      </c>
      <c r="F137" s="8" t="s">
        <v>3829</v>
      </c>
      <c r="G137" s="8" t="n">
        <v>35.83333333</v>
      </c>
      <c r="H137" s="8" t="n">
        <v>14.58333333</v>
      </c>
      <c r="I137" s="8"/>
      <c r="J137" s="8" t="s">
        <v>10151</v>
      </c>
    </row>
    <row r="138" customFormat="false" ht="15" hidden="false" customHeight="false" outlineLevel="0" collapsed="false">
      <c r="A138" s="8" t="s">
        <v>10152</v>
      </c>
      <c r="B138" s="8" t="s">
        <v>10153</v>
      </c>
      <c r="C138" s="8" t="s">
        <v>10154</v>
      </c>
      <c r="D138" s="8" t="s">
        <v>10155</v>
      </c>
      <c r="E138" s="8" t="s">
        <v>74</v>
      </c>
      <c r="F138" s="8" t="s">
        <v>9932</v>
      </c>
      <c r="G138" s="8" t="n">
        <v>9</v>
      </c>
      <c r="H138" s="8" t="n">
        <v>168</v>
      </c>
      <c r="I138" s="8"/>
      <c r="J138" s="8" t="s">
        <v>10156</v>
      </c>
    </row>
    <row r="139" customFormat="false" ht="15" hidden="false" customHeight="false" outlineLevel="0" collapsed="false">
      <c r="A139" s="8" t="s">
        <v>10157</v>
      </c>
      <c r="B139" s="8" t="s">
        <v>10157</v>
      </c>
      <c r="C139" s="8" t="s">
        <v>10158</v>
      </c>
      <c r="D139" s="8" t="s">
        <v>10159</v>
      </c>
      <c r="E139" s="8" t="s">
        <v>72</v>
      </c>
      <c r="F139" s="8" t="s">
        <v>5406</v>
      </c>
      <c r="G139" s="8" t="n">
        <v>14.666667</v>
      </c>
      <c r="H139" s="8" t="n">
        <v>-61</v>
      </c>
      <c r="I139" s="8"/>
      <c r="J139" s="8" t="s">
        <v>10160</v>
      </c>
    </row>
    <row r="140" customFormat="false" ht="15" hidden="false" customHeight="false" outlineLevel="0" collapsed="false">
      <c r="A140" s="8" t="s">
        <v>10161</v>
      </c>
      <c r="B140" s="8" t="s">
        <v>10162</v>
      </c>
      <c r="C140" s="8" t="s">
        <v>10163</v>
      </c>
      <c r="D140" s="8" t="s">
        <v>10164</v>
      </c>
      <c r="E140" s="8" t="s">
        <v>73</v>
      </c>
      <c r="F140" s="8" t="s">
        <v>5830</v>
      </c>
      <c r="G140" s="8" t="n">
        <v>20</v>
      </c>
      <c r="H140" s="8" t="n">
        <v>-12</v>
      </c>
      <c r="I140" s="8" t="s">
        <v>10165</v>
      </c>
      <c r="J140" s="8" t="s">
        <v>10166</v>
      </c>
    </row>
    <row r="141" customFormat="false" ht="15" hidden="false" customHeight="false" outlineLevel="0" collapsed="false">
      <c r="A141" s="8" t="s">
        <v>10167</v>
      </c>
      <c r="B141" s="8" t="s">
        <v>10168</v>
      </c>
      <c r="C141" s="8" t="s">
        <v>10169</v>
      </c>
      <c r="D141" s="8" t="s">
        <v>10170</v>
      </c>
      <c r="E141" s="8" t="s">
        <v>73</v>
      </c>
      <c r="F141" s="8" t="s">
        <v>5818</v>
      </c>
      <c r="G141" s="8" t="n">
        <v>-20.28333333</v>
      </c>
      <c r="H141" s="8" t="n">
        <v>57.55</v>
      </c>
      <c r="I141" s="8"/>
      <c r="J141" s="8" t="s">
        <v>10171</v>
      </c>
    </row>
    <row r="142" customFormat="false" ht="15" hidden="false" customHeight="false" outlineLevel="0" collapsed="false">
      <c r="A142" s="8" t="s">
        <v>10172</v>
      </c>
      <c r="B142" s="8" t="s">
        <v>10173</v>
      </c>
      <c r="C142" s="8" t="s">
        <v>10174</v>
      </c>
      <c r="D142" s="8" t="s">
        <v>10175</v>
      </c>
      <c r="E142" s="8" t="s">
        <v>73</v>
      </c>
      <c r="F142" s="8" t="s">
        <v>5818</v>
      </c>
      <c r="G142" s="8" t="n">
        <v>-12.83333333</v>
      </c>
      <c r="H142" s="8" t="n">
        <v>45.16666666</v>
      </c>
      <c r="I142" s="8"/>
      <c r="J142" s="8" t="s">
        <v>10176</v>
      </c>
    </row>
    <row r="143" customFormat="false" ht="15" hidden="false" customHeight="false" outlineLevel="0" collapsed="false">
      <c r="A143" s="8" t="s">
        <v>5207</v>
      </c>
      <c r="B143" s="8" t="s">
        <v>10177</v>
      </c>
      <c r="C143" s="8" t="s">
        <v>9417</v>
      </c>
      <c r="D143" s="8" t="s">
        <v>10178</v>
      </c>
      <c r="E143" s="8" t="s">
        <v>72</v>
      </c>
      <c r="F143" s="8" t="s">
        <v>5047</v>
      </c>
      <c r="G143" s="8" t="n">
        <v>23</v>
      </c>
      <c r="H143" s="8" t="n">
        <v>-102</v>
      </c>
      <c r="I143" s="8" t="s">
        <v>10179</v>
      </c>
      <c r="J143" s="8" t="s">
        <v>10180</v>
      </c>
    </row>
    <row r="144" customFormat="false" ht="15" hidden="false" customHeight="false" outlineLevel="0" collapsed="false">
      <c r="A144" s="8" t="s">
        <v>9932</v>
      </c>
      <c r="B144" s="8" t="s">
        <v>10181</v>
      </c>
      <c r="C144" s="8" t="s">
        <v>10182</v>
      </c>
      <c r="D144" s="8" t="s">
        <v>10183</v>
      </c>
      <c r="E144" s="8" t="s">
        <v>74</v>
      </c>
      <c r="F144" s="8" t="s">
        <v>9932</v>
      </c>
      <c r="G144" s="8" t="n">
        <v>6.91666666</v>
      </c>
      <c r="H144" s="8" t="n">
        <v>158.25</v>
      </c>
      <c r="I144" s="8"/>
      <c r="J144" s="8" t="s">
        <v>10184</v>
      </c>
    </row>
    <row r="145" customFormat="false" ht="15" hidden="false" customHeight="false" outlineLevel="0" collapsed="false">
      <c r="A145" s="8" t="s">
        <v>10185</v>
      </c>
      <c r="B145" s="8" t="s">
        <v>10186</v>
      </c>
      <c r="C145" s="8" t="s">
        <v>10187</v>
      </c>
      <c r="D145" s="8" t="s">
        <v>10188</v>
      </c>
      <c r="E145" s="8" t="s">
        <v>71</v>
      </c>
      <c r="F145" s="8" t="s">
        <v>4813</v>
      </c>
      <c r="G145" s="8" t="n">
        <v>47</v>
      </c>
      <c r="H145" s="8" t="n">
        <v>29</v>
      </c>
      <c r="I145" s="8" t="s">
        <v>10189</v>
      </c>
      <c r="J145" s="8" t="s">
        <v>10190</v>
      </c>
    </row>
    <row r="146" customFormat="false" ht="15" hidden="false" customHeight="false" outlineLevel="0" collapsed="false">
      <c r="A146" s="8" t="s">
        <v>10191</v>
      </c>
      <c r="B146" s="8" t="s">
        <v>10192</v>
      </c>
      <c r="C146" s="8" t="s">
        <v>10193</v>
      </c>
      <c r="D146" s="8" t="s">
        <v>10194</v>
      </c>
      <c r="E146" s="8" t="s">
        <v>71</v>
      </c>
      <c r="F146" s="8" t="s">
        <v>4082</v>
      </c>
      <c r="G146" s="8" t="n">
        <v>43.73333333</v>
      </c>
      <c r="H146" s="8" t="n">
        <v>7.4</v>
      </c>
      <c r="I146" s="8" t="s">
        <v>9868</v>
      </c>
      <c r="J146" s="8" t="s">
        <v>10195</v>
      </c>
    </row>
    <row r="147" customFormat="false" ht="15" hidden="false" customHeight="false" outlineLevel="0" collapsed="false">
      <c r="A147" s="8" t="s">
        <v>7708</v>
      </c>
      <c r="B147" s="8" t="s">
        <v>7708</v>
      </c>
      <c r="C147" s="8" t="s">
        <v>9419</v>
      </c>
      <c r="D147" s="8" t="s">
        <v>10196</v>
      </c>
      <c r="E147" s="8" t="s">
        <v>70</v>
      </c>
      <c r="F147" s="8" t="s">
        <v>2533</v>
      </c>
      <c r="G147" s="8" t="n">
        <v>46</v>
      </c>
      <c r="H147" s="8" t="n">
        <v>105</v>
      </c>
      <c r="I147" s="8" t="s">
        <v>10197</v>
      </c>
      <c r="J147" s="8" t="s">
        <v>10198</v>
      </c>
    </row>
    <row r="148" customFormat="false" ht="15" hidden="false" customHeight="false" outlineLevel="0" collapsed="false">
      <c r="A148" s="8" t="s">
        <v>10199</v>
      </c>
      <c r="B148" s="8" t="s">
        <v>10199</v>
      </c>
      <c r="C148" s="8" t="s">
        <v>10200</v>
      </c>
      <c r="D148" s="8" t="s">
        <v>10201</v>
      </c>
      <c r="E148" s="8" t="s">
        <v>71</v>
      </c>
      <c r="F148" s="8" t="s">
        <v>4869</v>
      </c>
      <c r="G148" s="8" t="n">
        <v>42.5</v>
      </c>
      <c r="H148" s="8" t="n">
        <v>19.3</v>
      </c>
      <c r="I148" s="8" t="s">
        <v>10202</v>
      </c>
      <c r="J148" s="8" t="s">
        <v>10203</v>
      </c>
    </row>
    <row r="149" customFormat="false" ht="15" hidden="false" customHeight="false" outlineLevel="0" collapsed="false">
      <c r="A149" s="8" t="s">
        <v>10204</v>
      </c>
      <c r="B149" s="8" t="s">
        <v>10204</v>
      </c>
      <c r="C149" s="8" t="s">
        <v>10205</v>
      </c>
      <c r="D149" s="8" t="s">
        <v>10206</v>
      </c>
      <c r="E149" s="8" t="s">
        <v>72</v>
      </c>
      <c r="F149" s="8" t="s">
        <v>5406</v>
      </c>
      <c r="G149" s="8" t="n">
        <v>16.75</v>
      </c>
      <c r="H149" s="8" t="n">
        <v>-62.2</v>
      </c>
      <c r="I149" s="8"/>
      <c r="J149" s="8" t="s">
        <v>10207</v>
      </c>
    </row>
    <row r="150" customFormat="false" ht="15" hidden="false" customHeight="false" outlineLevel="0" collapsed="false">
      <c r="A150" s="8" t="s">
        <v>5783</v>
      </c>
      <c r="B150" s="8" t="s">
        <v>10208</v>
      </c>
      <c r="C150" s="8" t="s">
        <v>9421</v>
      </c>
      <c r="D150" s="8" t="s">
        <v>10209</v>
      </c>
      <c r="E150" s="8" t="s">
        <v>73</v>
      </c>
      <c r="F150" s="8" t="s">
        <v>5622</v>
      </c>
      <c r="G150" s="8" t="n">
        <v>32</v>
      </c>
      <c r="H150" s="8" t="n">
        <v>-5</v>
      </c>
      <c r="I150" s="8" t="s">
        <v>10210</v>
      </c>
      <c r="J150" s="8" t="s">
        <v>10211</v>
      </c>
    </row>
    <row r="151" customFormat="false" ht="15" hidden="false" customHeight="false" outlineLevel="0" collapsed="false">
      <c r="A151" s="8" t="s">
        <v>7623</v>
      </c>
      <c r="B151" s="8" t="s">
        <v>10212</v>
      </c>
      <c r="C151" s="8" t="s">
        <v>9423</v>
      </c>
      <c r="D151" s="8" t="s">
        <v>10213</v>
      </c>
      <c r="E151" s="8" t="s">
        <v>73</v>
      </c>
      <c r="F151" s="8" t="s">
        <v>5818</v>
      </c>
      <c r="G151" s="8" t="n">
        <v>-18.25</v>
      </c>
      <c r="H151" s="8" t="n">
        <v>35</v>
      </c>
      <c r="I151" s="8" t="s">
        <v>10214</v>
      </c>
      <c r="J151" s="8" t="s">
        <v>10215</v>
      </c>
    </row>
    <row r="152" customFormat="false" ht="15" hidden="false" customHeight="false" outlineLevel="0" collapsed="false">
      <c r="A152" s="8" t="s">
        <v>3729</v>
      </c>
      <c r="B152" s="8" t="s">
        <v>10216</v>
      </c>
      <c r="C152" s="8" t="s">
        <v>9425</v>
      </c>
      <c r="D152" s="8" t="s">
        <v>10217</v>
      </c>
      <c r="E152" s="8" t="s">
        <v>70</v>
      </c>
      <c r="F152" s="8" t="s">
        <v>2789</v>
      </c>
      <c r="G152" s="8" t="n">
        <v>22</v>
      </c>
      <c r="H152" s="8" t="n">
        <v>98</v>
      </c>
      <c r="I152" s="8" t="s">
        <v>10218</v>
      </c>
      <c r="J152" s="8" t="s">
        <v>10219</v>
      </c>
    </row>
    <row r="153" customFormat="false" ht="15" hidden="false" customHeight="false" outlineLevel="0" collapsed="false">
      <c r="A153" s="8" t="s">
        <v>10220</v>
      </c>
      <c r="B153" s="8" t="s">
        <v>10221</v>
      </c>
      <c r="C153" s="8" t="s">
        <v>10222</v>
      </c>
      <c r="D153" s="8" t="s">
        <v>10223</v>
      </c>
      <c r="E153" s="8" t="s">
        <v>73</v>
      </c>
      <c r="F153" s="8" t="s">
        <v>5873</v>
      </c>
      <c r="G153" s="8" t="n">
        <v>-22</v>
      </c>
      <c r="H153" s="8" t="n">
        <v>17</v>
      </c>
      <c r="I153" s="8" t="s">
        <v>10224</v>
      </c>
      <c r="J153" s="8" t="s">
        <v>10225</v>
      </c>
    </row>
    <row r="154" customFormat="false" ht="15" hidden="false" customHeight="false" outlineLevel="0" collapsed="false">
      <c r="A154" s="8" t="s">
        <v>10226</v>
      </c>
      <c r="B154" s="8" t="s">
        <v>10227</v>
      </c>
      <c r="C154" s="8" t="s">
        <v>10228</v>
      </c>
      <c r="D154" s="8" t="s">
        <v>10229</v>
      </c>
      <c r="E154" s="8" t="s">
        <v>74</v>
      </c>
      <c r="F154" s="8" t="s">
        <v>9932</v>
      </c>
      <c r="G154" s="8" t="n">
        <v>-0.53333333</v>
      </c>
      <c r="H154" s="8" t="n">
        <v>166.91666666</v>
      </c>
      <c r="I154" s="8"/>
      <c r="J154" s="8" t="s">
        <v>10230</v>
      </c>
    </row>
    <row r="155" customFormat="false" ht="15" hidden="false" customHeight="false" outlineLevel="0" collapsed="false">
      <c r="A155" s="8" t="s">
        <v>3763</v>
      </c>
      <c r="B155" s="8" t="s">
        <v>10231</v>
      </c>
      <c r="C155" s="8" t="s">
        <v>9427</v>
      </c>
      <c r="D155" s="8" t="s">
        <v>10232</v>
      </c>
      <c r="E155" s="8" t="s">
        <v>70</v>
      </c>
      <c r="F155" s="8" t="s">
        <v>207</v>
      </c>
      <c r="G155" s="8" t="n">
        <v>28</v>
      </c>
      <c r="H155" s="8" t="n">
        <v>84</v>
      </c>
      <c r="I155" s="8" t="s">
        <v>9632</v>
      </c>
      <c r="J155" s="8" t="s">
        <v>10233</v>
      </c>
    </row>
    <row r="156" customFormat="false" ht="15" hidden="false" customHeight="false" outlineLevel="0" collapsed="false">
      <c r="A156" s="8" t="s">
        <v>4701</v>
      </c>
      <c r="B156" s="8" t="s">
        <v>10234</v>
      </c>
      <c r="C156" s="8" t="s">
        <v>9429</v>
      </c>
      <c r="D156" s="8" t="s">
        <v>10235</v>
      </c>
      <c r="E156" s="8" t="s">
        <v>71</v>
      </c>
      <c r="F156" s="8" t="s">
        <v>4082</v>
      </c>
      <c r="G156" s="8" t="n">
        <v>52.5</v>
      </c>
      <c r="H156" s="8" t="n">
        <v>5.75</v>
      </c>
      <c r="I156" s="8" t="s">
        <v>10236</v>
      </c>
      <c r="J156" s="8" t="s">
        <v>10237</v>
      </c>
    </row>
    <row r="157" customFormat="false" ht="15" hidden="false" customHeight="false" outlineLevel="0" collapsed="false">
      <c r="A157" s="8" t="s">
        <v>10238</v>
      </c>
      <c r="B157" s="8" t="s">
        <v>10238</v>
      </c>
      <c r="C157" s="8" t="s">
        <v>10239</v>
      </c>
      <c r="D157" s="8" t="s">
        <v>10240</v>
      </c>
      <c r="E157" s="8" t="s">
        <v>74</v>
      </c>
      <c r="F157" s="8" t="s">
        <v>9368</v>
      </c>
      <c r="G157" s="8" t="n">
        <v>-21.5</v>
      </c>
      <c r="H157" s="8" t="n">
        <v>165.5</v>
      </c>
      <c r="I157" s="8"/>
      <c r="J157" s="8" t="s">
        <v>10241</v>
      </c>
    </row>
    <row r="158" customFormat="false" ht="15" hidden="false" customHeight="false" outlineLevel="0" collapsed="false">
      <c r="A158" s="8" t="s">
        <v>5926</v>
      </c>
      <c r="B158" s="8" t="s">
        <v>5926</v>
      </c>
      <c r="C158" s="8" t="s">
        <v>9431</v>
      </c>
      <c r="D158" s="8" t="s">
        <v>10242</v>
      </c>
      <c r="E158" s="8" t="s">
        <v>74</v>
      </c>
      <c r="F158" s="8" t="s">
        <v>5916</v>
      </c>
      <c r="G158" s="8" t="n">
        <v>-41</v>
      </c>
      <c r="H158" s="8" t="n">
        <v>174</v>
      </c>
      <c r="I158" s="8"/>
      <c r="J158" s="8" t="s">
        <v>10243</v>
      </c>
    </row>
    <row r="159" customFormat="false" ht="15" hidden="false" customHeight="false" outlineLevel="0" collapsed="false">
      <c r="A159" s="8" t="s">
        <v>10244</v>
      </c>
      <c r="B159" s="8" t="s">
        <v>10245</v>
      </c>
      <c r="C159" s="8" t="s">
        <v>10246</v>
      </c>
      <c r="D159" s="8" t="s">
        <v>10247</v>
      </c>
      <c r="E159" s="8" t="s">
        <v>72</v>
      </c>
      <c r="F159" s="8" t="s">
        <v>9353</v>
      </c>
      <c r="G159" s="8" t="n">
        <v>13</v>
      </c>
      <c r="H159" s="8" t="n">
        <v>-85</v>
      </c>
      <c r="I159" s="8" t="s">
        <v>10248</v>
      </c>
      <c r="J159" s="8" t="s">
        <v>10249</v>
      </c>
    </row>
    <row r="160" customFormat="false" ht="15" hidden="false" customHeight="false" outlineLevel="0" collapsed="false">
      <c r="A160" s="8" t="s">
        <v>10250</v>
      </c>
      <c r="B160" s="8" t="s">
        <v>10251</v>
      </c>
      <c r="C160" s="8" t="s">
        <v>10252</v>
      </c>
      <c r="D160" s="8" t="s">
        <v>10253</v>
      </c>
      <c r="E160" s="8" t="s">
        <v>73</v>
      </c>
      <c r="F160" s="8" t="s">
        <v>5830</v>
      </c>
      <c r="G160" s="8" t="n">
        <v>16</v>
      </c>
      <c r="H160" s="8" t="n">
        <v>8</v>
      </c>
      <c r="I160" s="8" t="s">
        <v>10254</v>
      </c>
      <c r="J160" s="8" t="s">
        <v>10255</v>
      </c>
    </row>
    <row r="161" customFormat="false" ht="15" hidden="false" customHeight="false" outlineLevel="0" collapsed="false">
      <c r="A161" s="8" t="s">
        <v>5829</v>
      </c>
      <c r="B161" s="8" t="s">
        <v>10256</v>
      </c>
      <c r="C161" s="8" t="s">
        <v>9433</v>
      </c>
      <c r="D161" s="8" t="s">
        <v>10257</v>
      </c>
      <c r="E161" s="8" t="s">
        <v>73</v>
      </c>
      <c r="F161" s="8" t="s">
        <v>5830</v>
      </c>
      <c r="G161" s="8" t="n">
        <v>10</v>
      </c>
      <c r="H161" s="8" t="n">
        <v>8</v>
      </c>
      <c r="I161" s="8" t="s">
        <v>10258</v>
      </c>
      <c r="J161" s="8" t="s">
        <v>10259</v>
      </c>
    </row>
    <row r="162" customFormat="false" ht="15" hidden="false" customHeight="false" outlineLevel="0" collapsed="false">
      <c r="A162" s="8" t="s">
        <v>10260</v>
      </c>
      <c r="B162" s="8" t="s">
        <v>10260</v>
      </c>
      <c r="C162" s="8" t="s">
        <v>10261</v>
      </c>
      <c r="D162" s="8" t="s">
        <v>10262</v>
      </c>
      <c r="E162" s="8" t="s">
        <v>74</v>
      </c>
      <c r="F162" s="8" t="s">
        <v>9534</v>
      </c>
      <c r="G162" s="8" t="n">
        <v>-19.03333333</v>
      </c>
      <c r="H162" s="8" t="n">
        <v>-169.86666666</v>
      </c>
      <c r="I162" s="8"/>
      <c r="J162" s="8" t="s">
        <v>10263</v>
      </c>
    </row>
    <row r="163" customFormat="false" ht="15" hidden="false" customHeight="false" outlineLevel="0" collapsed="false">
      <c r="A163" s="8" t="s">
        <v>10264</v>
      </c>
      <c r="B163" s="8" t="s">
        <v>10265</v>
      </c>
      <c r="C163" s="8" t="s">
        <v>10266</v>
      </c>
      <c r="D163" s="8" t="s">
        <v>10267</v>
      </c>
      <c r="E163" s="8" t="s">
        <v>74</v>
      </c>
      <c r="F163" s="8" t="s">
        <v>5916</v>
      </c>
      <c r="G163" s="8" t="n">
        <v>-29.03333333</v>
      </c>
      <c r="H163" s="8" t="n">
        <v>167.95</v>
      </c>
      <c r="I163" s="8"/>
      <c r="J163" s="8" t="s">
        <v>10268</v>
      </c>
    </row>
    <row r="164" customFormat="false" ht="15" hidden="false" customHeight="false" outlineLevel="0" collapsed="false">
      <c r="A164" s="8" t="s">
        <v>10269</v>
      </c>
      <c r="B164" s="8" t="s">
        <v>10270</v>
      </c>
      <c r="C164" s="8" t="s">
        <v>10271</v>
      </c>
      <c r="D164" s="8" t="s">
        <v>10272</v>
      </c>
      <c r="E164" s="8" t="s">
        <v>70</v>
      </c>
      <c r="F164" s="8" t="s">
        <v>2533</v>
      </c>
      <c r="G164" s="8" t="n">
        <v>40</v>
      </c>
      <c r="H164" s="8" t="n">
        <v>127</v>
      </c>
      <c r="I164" s="8" t="s">
        <v>10273</v>
      </c>
      <c r="J164" s="8" t="s">
        <v>10274</v>
      </c>
    </row>
    <row r="165" customFormat="false" ht="15" hidden="false" customHeight="false" outlineLevel="0" collapsed="false">
      <c r="A165" s="8" t="s">
        <v>10275</v>
      </c>
      <c r="B165" s="8" t="s">
        <v>10276</v>
      </c>
      <c r="C165" s="8" t="s">
        <v>10277</v>
      </c>
      <c r="D165" s="8" t="s">
        <v>10278</v>
      </c>
      <c r="E165" s="8" t="s">
        <v>71</v>
      </c>
      <c r="F165" s="8" t="s">
        <v>4869</v>
      </c>
      <c r="G165" s="8" t="n">
        <v>41.83333333</v>
      </c>
      <c r="H165" s="8" t="n">
        <v>22</v>
      </c>
      <c r="I165" s="8" t="s">
        <v>10279</v>
      </c>
      <c r="J165" s="8" t="s">
        <v>10280</v>
      </c>
    </row>
    <row r="166" customFormat="false" ht="15" hidden="false" customHeight="false" outlineLevel="0" collapsed="false">
      <c r="A166" s="8" t="s">
        <v>10281</v>
      </c>
      <c r="B166" s="8" t="s">
        <v>10282</v>
      </c>
      <c r="C166" s="8" t="s">
        <v>10283</v>
      </c>
      <c r="D166" s="8" t="s">
        <v>10284</v>
      </c>
      <c r="E166" s="8" t="s">
        <v>74</v>
      </c>
      <c r="F166" s="8" t="s">
        <v>9932</v>
      </c>
      <c r="G166" s="8" t="n">
        <v>15.2</v>
      </c>
      <c r="H166" s="8" t="n">
        <v>145.75</v>
      </c>
      <c r="I166" s="8"/>
      <c r="J166" s="8" t="s">
        <v>10285</v>
      </c>
    </row>
    <row r="167" customFormat="false" ht="15" hidden="false" customHeight="false" outlineLevel="0" collapsed="false">
      <c r="A167" s="8" t="s">
        <v>7721</v>
      </c>
      <c r="B167" s="8" t="s">
        <v>10286</v>
      </c>
      <c r="C167" s="8" t="s">
        <v>9435</v>
      </c>
      <c r="D167" s="8" t="s">
        <v>10287</v>
      </c>
      <c r="E167" s="8" t="s">
        <v>71</v>
      </c>
      <c r="F167" s="8" t="s">
        <v>4449</v>
      </c>
      <c r="G167" s="8" t="n">
        <v>62</v>
      </c>
      <c r="H167" s="8" t="n">
        <v>10</v>
      </c>
      <c r="I167" s="8" t="s">
        <v>10288</v>
      </c>
      <c r="J167" s="8" t="s">
        <v>10289</v>
      </c>
    </row>
    <row r="168" customFormat="false" ht="15" hidden="false" customHeight="false" outlineLevel="0" collapsed="false">
      <c r="A168" s="8" t="s">
        <v>10290</v>
      </c>
      <c r="B168" s="8" t="s">
        <v>10291</v>
      </c>
      <c r="C168" s="8" t="s">
        <v>10292</v>
      </c>
      <c r="D168" s="8" t="s">
        <v>10293</v>
      </c>
      <c r="E168" s="8" t="s">
        <v>70</v>
      </c>
      <c r="F168" s="8" t="s">
        <v>4902</v>
      </c>
      <c r="G168" s="8" t="n">
        <v>21</v>
      </c>
      <c r="H168" s="8" t="n">
        <v>57</v>
      </c>
      <c r="I168" s="8" t="s">
        <v>10294</v>
      </c>
      <c r="J168" s="8" t="s">
        <v>10295</v>
      </c>
    </row>
    <row r="169" customFormat="false" ht="15" hidden="false" customHeight="false" outlineLevel="0" collapsed="false">
      <c r="A169" s="8" t="s">
        <v>3782</v>
      </c>
      <c r="B169" s="8" t="s">
        <v>10296</v>
      </c>
      <c r="C169" s="8" t="s">
        <v>9437</v>
      </c>
      <c r="D169" s="8" t="s">
        <v>10297</v>
      </c>
      <c r="E169" s="8" t="s">
        <v>70</v>
      </c>
      <c r="F169" s="8" t="s">
        <v>207</v>
      </c>
      <c r="G169" s="8" t="n">
        <v>30</v>
      </c>
      <c r="H169" s="8" t="n">
        <v>70</v>
      </c>
      <c r="I169" s="8" t="s">
        <v>10298</v>
      </c>
      <c r="J169" s="8" t="s">
        <v>10299</v>
      </c>
    </row>
    <row r="170" customFormat="false" ht="15" hidden="false" customHeight="false" outlineLevel="0" collapsed="false">
      <c r="A170" s="8" t="s">
        <v>10300</v>
      </c>
      <c r="B170" s="8" t="s">
        <v>10301</v>
      </c>
      <c r="C170" s="8" t="s">
        <v>10302</v>
      </c>
      <c r="D170" s="8" t="s">
        <v>10303</v>
      </c>
      <c r="E170" s="8" t="s">
        <v>74</v>
      </c>
      <c r="F170" s="8" t="s">
        <v>9932</v>
      </c>
      <c r="G170" s="8" t="n">
        <v>7.5</v>
      </c>
      <c r="H170" s="8" t="n">
        <v>134.5</v>
      </c>
      <c r="I170" s="8"/>
      <c r="J170" s="8" t="s">
        <v>10304</v>
      </c>
    </row>
    <row r="171" customFormat="false" ht="15" hidden="false" customHeight="false" outlineLevel="0" collapsed="false">
      <c r="A171" s="8" t="s">
        <v>5707</v>
      </c>
      <c r="B171" s="8" t="s">
        <v>10305</v>
      </c>
      <c r="C171" s="8" t="s">
        <v>9439</v>
      </c>
      <c r="D171" s="8" t="s">
        <v>10306</v>
      </c>
      <c r="E171" s="8" t="s">
        <v>70</v>
      </c>
      <c r="F171" s="8" t="s">
        <v>4902</v>
      </c>
      <c r="G171" s="8" t="n">
        <v>31.9</v>
      </c>
      <c r="H171" s="8" t="n">
        <v>35.2</v>
      </c>
      <c r="I171" s="8" t="s">
        <v>10307</v>
      </c>
      <c r="J171" s="8" t="s">
        <v>10308</v>
      </c>
    </row>
    <row r="172" customFormat="false" ht="15" hidden="false" customHeight="false" outlineLevel="0" collapsed="false">
      <c r="A172" s="8" t="s">
        <v>10309</v>
      </c>
      <c r="B172" s="8" t="s">
        <v>10310</v>
      </c>
      <c r="C172" s="8" t="s">
        <v>10311</v>
      </c>
      <c r="D172" s="8" t="s">
        <v>10312</v>
      </c>
      <c r="E172" s="8" t="s">
        <v>72</v>
      </c>
      <c r="F172" s="8" t="s">
        <v>9353</v>
      </c>
      <c r="G172" s="8" t="n">
        <v>9</v>
      </c>
      <c r="H172" s="8" t="n">
        <v>-80</v>
      </c>
      <c r="I172" s="8" t="s">
        <v>10313</v>
      </c>
      <c r="J172" s="8" t="s">
        <v>10314</v>
      </c>
    </row>
    <row r="173" customFormat="false" ht="15" hidden="false" customHeight="false" outlineLevel="0" collapsed="false">
      <c r="A173" s="8" t="s">
        <v>10315</v>
      </c>
      <c r="B173" s="8" t="s">
        <v>10316</v>
      </c>
      <c r="C173" s="8" t="s">
        <v>10317</v>
      </c>
      <c r="D173" s="8" t="s">
        <v>10318</v>
      </c>
      <c r="E173" s="8" t="s">
        <v>74</v>
      </c>
      <c r="F173" s="8" t="s">
        <v>9368</v>
      </c>
      <c r="G173" s="8" t="n">
        <v>-6</v>
      </c>
      <c r="H173" s="8" t="n">
        <v>147</v>
      </c>
      <c r="I173" s="8" t="s">
        <v>9993</v>
      </c>
      <c r="J173" s="8" t="s">
        <v>10319</v>
      </c>
    </row>
    <row r="174" customFormat="false" ht="15" hidden="false" customHeight="false" outlineLevel="0" collapsed="false">
      <c r="A174" s="8" t="s">
        <v>10320</v>
      </c>
      <c r="B174" s="8" t="s">
        <v>10321</v>
      </c>
      <c r="C174" s="8" t="s">
        <v>10322</v>
      </c>
      <c r="D174" s="8" t="s">
        <v>10323</v>
      </c>
      <c r="E174" s="8" t="s">
        <v>72</v>
      </c>
      <c r="F174" s="8" t="s">
        <v>5447</v>
      </c>
      <c r="G174" s="8" t="n">
        <v>-23</v>
      </c>
      <c r="H174" s="8" t="n">
        <v>-58</v>
      </c>
      <c r="I174" s="8" t="s">
        <v>10324</v>
      </c>
      <c r="J174" s="8" t="s">
        <v>10325</v>
      </c>
    </row>
    <row r="175" customFormat="false" ht="15" hidden="false" customHeight="false" outlineLevel="0" collapsed="false">
      <c r="A175" s="8" t="s">
        <v>5446</v>
      </c>
      <c r="B175" s="8" t="s">
        <v>10326</v>
      </c>
      <c r="C175" s="8" t="s">
        <v>9441</v>
      </c>
      <c r="D175" s="8" t="s">
        <v>10327</v>
      </c>
      <c r="E175" s="8" t="s">
        <v>72</v>
      </c>
      <c r="F175" s="8" t="s">
        <v>5447</v>
      </c>
      <c r="G175" s="8" t="n">
        <v>-10</v>
      </c>
      <c r="H175" s="8" t="n">
        <v>-76</v>
      </c>
      <c r="I175" s="8" t="s">
        <v>10328</v>
      </c>
      <c r="J175" s="8" t="s">
        <v>10329</v>
      </c>
    </row>
    <row r="176" customFormat="false" ht="15" hidden="false" customHeight="false" outlineLevel="0" collapsed="false">
      <c r="A176" s="8" t="s">
        <v>3653</v>
      </c>
      <c r="B176" s="8" t="s">
        <v>10330</v>
      </c>
      <c r="C176" s="8" t="s">
        <v>9443</v>
      </c>
      <c r="D176" s="8" t="s">
        <v>10331</v>
      </c>
      <c r="E176" s="8" t="s">
        <v>70</v>
      </c>
      <c r="F176" s="8" t="s">
        <v>2789</v>
      </c>
      <c r="G176" s="8" t="n">
        <v>13</v>
      </c>
      <c r="H176" s="8" t="n">
        <v>122</v>
      </c>
      <c r="I176" s="8"/>
      <c r="J176" s="8" t="s">
        <v>10332</v>
      </c>
    </row>
    <row r="177" customFormat="false" ht="15" hidden="false" customHeight="false" outlineLevel="0" collapsed="false">
      <c r="A177" s="8" t="s">
        <v>10333</v>
      </c>
      <c r="B177" s="8" t="s">
        <v>10334</v>
      </c>
      <c r="C177" s="8" t="s">
        <v>10335</v>
      </c>
      <c r="D177" s="8" t="s">
        <v>10336</v>
      </c>
      <c r="E177" s="8" t="s">
        <v>74</v>
      </c>
      <c r="F177" s="8" t="s">
        <v>9534</v>
      </c>
      <c r="G177" s="8" t="n">
        <v>-25.06666666</v>
      </c>
      <c r="H177" s="8" t="n">
        <v>-130.1</v>
      </c>
      <c r="I177" s="8"/>
      <c r="J177" s="8" t="s">
        <v>10337</v>
      </c>
    </row>
    <row r="178" customFormat="false" ht="15" hidden="false" customHeight="false" outlineLevel="0" collapsed="false">
      <c r="A178" s="8" t="s">
        <v>4795</v>
      </c>
      <c r="B178" s="8" t="s">
        <v>10338</v>
      </c>
      <c r="C178" s="8" t="s">
        <v>9445</v>
      </c>
      <c r="D178" s="8" t="s">
        <v>10339</v>
      </c>
      <c r="E178" s="8" t="s">
        <v>71</v>
      </c>
      <c r="F178" s="8" t="s">
        <v>4584</v>
      </c>
      <c r="G178" s="8" t="n">
        <v>52</v>
      </c>
      <c r="H178" s="8" t="n">
        <v>20</v>
      </c>
      <c r="I178" s="8" t="s">
        <v>10340</v>
      </c>
      <c r="J178" s="8" t="s">
        <v>10341</v>
      </c>
    </row>
    <row r="179" customFormat="false" ht="15" hidden="false" customHeight="false" outlineLevel="0" collapsed="false">
      <c r="A179" s="8" t="s">
        <v>4403</v>
      </c>
      <c r="B179" s="8" t="s">
        <v>10342</v>
      </c>
      <c r="C179" s="8" t="s">
        <v>9447</v>
      </c>
      <c r="D179" s="8" t="s">
        <v>10343</v>
      </c>
      <c r="E179" s="8" t="s">
        <v>71</v>
      </c>
      <c r="F179" s="8" t="s">
        <v>3829</v>
      </c>
      <c r="G179" s="8" t="n">
        <v>39.5</v>
      </c>
      <c r="H179" s="8" t="n">
        <v>-8</v>
      </c>
      <c r="I179" s="8" t="s">
        <v>9911</v>
      </c>
      <c r="J179" s="8" t="s">
        <v>10344</v>
      </c>
    </row>
    <row r="180" customFormat="false" ht="15" hidden="false" customHeight="false" outlineLevel="0" collapsed="false">
      <c r="A180" s="8" t="s">
        <v>5985</v>
      </c>
      <c r="B180" s="8" t="s">
        <v>10345</v>
      </c>
      <c r="C180" s="8" t="s">
        <v>9449</v>
      </c>
      <c r="D180" s="8" t="s">
        <v>10346</v>
      </c>
      <c r="E180" s="8" t="s">
        <v>72</v>
      </c>
      <c r="F180" s="8" t="s">
        <v>5406</v>
      </c>
      <c r="G180" s="8" t="n">
        <v>18.25</v>
      </c>
      <c r="H180" s="8" t="n">
        <v>-66.5</v>
      </c>
      <c r="I180" s="8"/>
      <c r="J180" s="8" t="s">
        <v>10347</v>
      </c>
    </row>
    <row r="181" customFormat="false" ht="15" hidden="false" customHeight="false" outlineLevel="0" collapsed="false">
      <c r="A181" s="8" t="s">
        <v>10348</v>
      </c>
      <c r="B181" s="8" t="s">
        <v>10349</v>
      </c>
      <c r="C181" s="8" t="s">
        <v>10350</v>
      </c>
      <c r="D181" s="8" t="s">
        <v>10351</v>
      </c>
      <c r="E181" s="8" t="s">
        <v>70</v>
      </c>
      <c r="F181" s="8" t="s">
        <v>4902</v>
      </c>
      <c r="G181" s="8" t="n">
        <v>25.5</v>
      </c>
      <c r="H181" s="8" t="n">
        <v>51.25</v>
      </c>
      <c r="I181" s="8" t="s">
        <v>10352</v>
      </c>
      <c r="J181" s="8" t="s">
        <v>10353</v>
      </c>
    </row>
    <row r="182" customFormat="false" ht="15" hidden="false" customHeight="false" outlineLevel="0" collapsed="false">
      <c r="A182" s="8" t="s">
        <v>7726</v>
      </c>
      <c r="B182" s="8" t="s">
        <v>7726</v>
      </c>
      <c r="C182" s="8" t="s">
        <v>9451</v>
      </c>
      <c r="D182" s="8" t="s">
        <v>10354</v>
      </c>
      <c r="E182" s="8" t="s">
        <v>71</v>
      </c>
      <c r="F182" s="8" t="s">
        <v>4869</v>
      </c>
      <c r="G182" s="8" t="n">
        <v>46</v>
      </c>
      <c r="H182" s="8" t="n">
        <v>25</v>
      </c>
      <c r="I182" s="8" t="s">
        <v>10355</v>
      </c>
      <c r="J182" s="8" t="s">
        <v>10356</v>
      </c>
    </row>
    <row r="183" customFormat="false" ht="15" hidden="false" customHeight="false" outlineLevel="0" collapsed="false">
      <c r="A183" s="8" t="s">
        <v>4833</v>
      </c>
      <c r="B183" s="8" t="s">
        <v>10357</v>
      </c>
      <c r="C183" s="8" t="s">
        <v>9453</v>
      </c>
      <c r="D183" s="8" t="s">
        <v>10358</v>
      </c>
      <c r="E183" s="8" t="s">
        <v>71</v>
      </c>
      <c r="F183" s="8" t="s">
        <v>4813</v>
      </c>
      <c r="G183" s="8" t="n">
        <v>60</v>
      </c>
      <c r="H183" s="8" t="n">
        <v>100</v>
      </c>
      <c r="I183" s="8" t="s">
        <v>10359</v>
      </c>
      <c r="J183" s="8" t="s">
        <v>10360</v>
      </c>
    </row>
    <row r="184" customFormat="false" ht="15" hidden="false" customHeight="false" outlineLevel="0" collapsed="false">
      <c r="A184" s="8" t="s">
        <v>10361</v>
      </c>
      <c r="B184" s="8" t="s">
        <v>10362</v>
      </c>
      <c r="C184" s="8" t="s">
        <v>10363</v>
      </c>
      <c r="D184" s="8" t="s">
        <v>10364</v>
      </c>
      <c r="E184" s="8" t="s">
        <v>73</v>
      </c>
      <c r="F184" s="8" t="s">
        <v>5818</v>
      </c>
      <c r="G184" s="8" t="n">
        <v>-2</v>
      </c>
      <c r="H184" s="8" t="n">
        <v>30</v>
      </c>
      <c r="I184" s="8" t="s">
        <v>10365</v>
      </c>
      <c r="J184" s="8" t="s">
        <v>10366</v>
      </c>
    </row>
    <row r="185" customFormat="false" ht="15" hidden="false" customHeight="false" outlineLevel="0" collapsed="false">
      <c r="A185" s="8" t="s">
        <v>10367</v>
      </c>
      <c r="B185" s="8" t="s">
        <v>10368</v>
      </c>
      <c r="C185" s="8" t="s">
        <v>10369</v>
      </c>
      <c r="D185" s="8" t="s">
        <v>10370</v>
      </c>
      <c r="E185" s="8" t="s">
        <v>73</v>
      </c>
      <c r="F185" s="8" t="s">
        <v>5818</v>
      </c>
      <c r="G185" s="8" t="n">
        <v>-21.15</v>
      </c>
      <c r="H185" s="8" t="n">
        <v>55.5</v>
      </c>
      <c r="I185" s="8"/>
      <c r="J185" s="8" t="s">
        <v>10371</v>
      </c>
    </row>
    <row r="186" customFormat="false" ht="15" hidden="false" customHeight="false" outlineLevel="0" collapsed="false">
      <c r="A186" s="8" t="s">
        <v>10372</v>
      </c>
      <c r="B186" s="8" t="s">
        <v>10373</v>
      </c>
      <c r="C186" s="8" t="s">
        <v>10374</v>
      </c>
      <c r="D186" s="8" t="s">
        <v>10375</v>
      </c>
      <c r="E186" s="8" t="s">
        <v>72</v>
      </c>
      <c r="F186" s="8" t="s">
        <v>5406</v>
      </c>
      <c r="G186" s="8" t="n">
        <v>18.5</v>
      </c>
      <c r="H186" s="8" t="n">
        <v>-63.41666666</v>
      </c>
      <c r="I186" s="8"/>
      <c r="J186" s="8" t="s">
        <v>10376</v>
      </c>
    </row>
    <row r="187" customFormat="false" ht="15" hidden="false" customHeight="false" outlineLevel="0" collapsed="false">
      <c r="A187" s="8" t="s">
        <v>10377</v>
      </c>
      <c r="B187" s="8" t="s">
        <v>10377</v>
      </c>
      <c r="C187" s="8" t="s">
        <v>10378</v>
      </c>
      <c r="D187" s="8" t="s">
        <v>10379</v>
      </c>
      <c r="E187" s="8" t="s">
        <v>73</v>
      </c>
      <c r="F187" s="8" t="s">
        <v>5830</v>
      </c>
      <c r="G187" s="8" t="n">
        <v>-15.95</v>
      </c>
      <c r="H187" s="8" t="n">
        <v>-5.72</v>
      </c>
      <c r="I187" s="8"/>
      <c r="J187" s="8" t="s">
        <v>10380</v>
      </c>
    </row>
    <row r="188" customFormat="false" ht="15" hidden="false" customHeight="false" outlineLevel="0" collapsed="false">
      <c r="A188" s="8" t="s">
        <v>10381</v>
      </c>
      <c r="B188" s="8" t="s">
        <v>10382</v>
      </c>
      <c r="C188" s="8" t="s">
        <v>10383</v>
      </c>
      <c r="D188" s="8" t="s">
        <v>10384</v>
      </c>
      <c r="E188" s="8" t="s">
        <v>72</v>
      </c>
      <c r="F188" s="8" t="s">
        <v>5406</v>
      </c>
      <c r="G188" s="8" t="n">
        <v>17.33333333</v>
      </c>
      <c r="H188" s="8" t="n">
        <v>-62.75</v>
      </c>
      <c r="I188" s="8"/>
      <c r="J188" s="8" t="s">
        <v>10385</v>
      </c>
    </row>
    <row r="189" customFormat="false" ht="15" hidden="false" customHeight="false" outlineLevel="0" collapsed="false">
      <c r="A189" s="8" t="s">
        <v>10386</v>
      </c>
      <c r="B189" s="8" t="s">
        <v>10386</v>
      </c>
      <c r="C189" s="8" t="s">
        <v>10387</v>
      </c>
      <c r="D189" s="8" t="s">
        <v>10388</v>
      </c>
      <c r="E189" s="8" t="s">
        <v>72</v>
      </c>
      <c r="F189" s="8" t="s">
        <v>5406</v>
      </c>
      <c r="G189" s="8" t="n">
        <v>13.88333333</v>
      </c>
      <c r="H189" s="8" t="n">
        <v>-60.96666666</v>
      </c>
      <c r="I189" s="8"/>
      <c r="J189" s="8" t="s">
        <v>10389</v>
      </c>
    </row>
    <row r="190" customFormat="false" ht="15" hidden="false" customHeight="false" outlineLevel="0" collapsed="false">
      <c r="A190" s="8" t="s">
        <v>10390</v>
      </c>
      <c r="B190" s="8" t="s">
        <v>10390</v>
      </c>
      <c r="C190" s="8" t="s">
        <v>10391</v>
      </c>
      <c r="D190" s="8" t="s">
        <v>10392</v>
      </c>
      <c r="E190" s="8" t="s">
        <v>72</v>
      </c>
      <c r="F190" s="8" t="s">
        <v>5406</v>
      </c>
      <c r="G190" s="8" t="n">
        <v>18.08333333</v>
      </c>
      <c r="H190" s="8" t="n">
        <v>-63.95</v>
      </c>
      <c r="I190" s="8" t="s">
        <v>10393</v>
      </c>
      <c r="J190" s="8" t="s">
        <v>10394</v>
      </c>
    </row>
    <row r="191" customFormat="false" ht="15" hidden="false" customHeight="false" outlineLevel="0" collapsed="false">
      <c r="A191" s="8" t="s">
        <v>10395</v>
      </c>
      <c r="B191" s="8" t="s">
        <v>10395</v>
      </c>
      <c r="C191" s="8" t="s">
        <v>10396</v>
      </c>
      <c r="D191" s="8" t="s">
        <v>10397</v>
      </c>
      <c r="E191" s="8" t="s">
        <v>72</v>
      </c>
      <c r="F191" s="8" t="s">
        <v>5047</v>
      </c>
      <c r="G191" s="8" t="n">
        <v>46.83333333</v>
      </c>
      <c r="H191" s="8" t="n">
        <v>-56.33333333</v>
      </c>
      <c r="I191" s="8"/>
      <c r="J191" s="8" t="s">
        <v>10398</v>
      </c>
    </row>
    <row r="192" customFormat="false" ht="15" hidden="false" customHeight="false" outlineLevel="0" collapsed="false">
      <c r="A192" s="8" t="s">
        <v>10399</v>
      </c>
      <c r="B192" s="8" t="s">
        <v>10399</v>
      </c>
      <c r="C192" s="8" t="s">
        <v>10400</v>
      </c>
      <c r="D192" s="8" t="s">
        <v>10401</v>
      </c>
      <c r="E192" s="8" t="s">
        <v>72</v>
      </c>
      <c r="F192" s="8" t="s">
        <v>5406</v>
      </c>
      <c r="G192" s="8" t="n">
        <v>13.25</v>
      </c>
      <c r="H192" s="8" t="n">
        <v>-61.2</v>
      </c>
      <c r="I192" s="8"/>
      <c r="J192" s="8" t="s">
        <v>10402</v>
      </c>
    </row>
    <row r="193" customFormat="false" ht="15" hidden="false" customHeight="false" outlineLevel="0" collapsed="false">
      <c r="A193" s="8" t="s">
        <v>10403</v>
      </c>
      <c r="B193" s="8" t="s">
        <v>10404</v>
      </c>
      <c r="C193" s="8" t="s">
        <v>10405</v>
      </c>
      <c r="D193" s="8" t="s">
        <v>10406</v>
      </c>
      <c r="E193" s="8" t="s">
        <v>74</v>
      </c>
      <c r="F193" s="8" t="s">
        <v>9534</v>
      </c>
      <c r="G193" s="8" t="n">
        <v>-13.58333333</v>
      </c>
      <c r="H193" s="8" t="n">
        <v>-172.33333333</v>
      </c>
      <c r="I193" s="8"/>
      <c r="J193" s="8" t="s">
        <v>10407</v>
      </c>
    </row>
    <row r="194" customFormat="false" ht="15" hidden="false" customHeight="false" outlineLevel="0" collapsed="false">
      <c r="A194" s="8" t="s">
        <v>10408</v>
      </c>
      <c r="B194" s="8" t="s">
        <v>10409</v>
      </c>
      <c r="C194" s="8" t="s">
        <v>10410</v>
      </c>
      <c r="D194" s="8" t="s">
        <v>10411</v>
      </c>
      <c r="E194" s="8" t="s">
        <v>71</v>
      </c>
      <c r="F194" s="8" t="s">
        <v>3829</v>
      </c>
      <c r="G194" s="8" t="n">
        <v>43.76666666</v>
      </c>
      <c r="H194" s="8" t="n">
        <v>12.41666666</v>
      </c>
      <c r="I194" s="8" t="s">
        <v>10017</v>
      </c>
      <c r="J194" s="8" t="s">
        <v>10412</v>
      </c>
    </row>
    <row r="195" customFormat="false" ht="15" hidden="false" customHeight="false" outlineLevel="0" collapsed="false">
      <c r="A195" s="8" t="s">
        <v>5725</v>
      </c>
      <c r="B195" s="8" t="s">
        <v>10413</v>
      </c>
      <c r="C195" s="8" t="s">
        <v>9455</v>
      </c>
      <c r="D195" s="8" t="s">
        <v>10352</v>
      </c>
      <c r="E195" s="8" t="s">
        <v>70</v>
      </c>
      <c r="F195" s="8" t="s">
        <v>4902</v>
      </c>
      <c r="G195" s="8" t="n">
        <v>25</v>
      </c>
      <c r="H195" s="8" t="n">
        <v>45</v>
      </c>
      <c r="I195" s="8" t="s">
        <v>10414</v>
      </c>
      <c r="J195" s="8" t="s">
        <v>10415</v>
      </c>
    </row>
    <row r="196" customFormat="false" ht="15" hidden="false" customHeight="false" outlineLevel="0" collapsed="false">
      <c r="A196" s="8" t="s">
        <v>5862</v>
      </c>
      <c r="B196" s="8" t="s">
        <v>10416</v>
      </c>
      <c r="C196" s="8" t="s">
        <v>9457</v>
      </c>
      <c r="D196" s="8" t="s">
        <v>9896</v>
      </c>
      <c r="E196" s="8" t="s">
        <v>73</v>
      </c>
      <c r="F196" s="8" t="s">
        <v>5830</v>
      </c>
      <c r="G196" s="8" t="n">
        <v>14</v>
      </c>
      <c r="H196" s="8" t="n">
        <v>-14</v>
      </c>
      <c r="I196" s="8" t="s">
        <v>10417</v>
      </c>
      <c r="J196" s="8" t="s">
        <v>10418</v>
      </c>
    </row>
    <row r="197" customFormat="false" ht="15" hidden="false" customHeight="false" outlineLevel="0" collapsed="false">
      <c r="A197" s="8" t="s">
        <v>7359</v>
      </c>
      <c r="B197" s="8" t="s">
        <v>10419</v>
      </c>
      <c r="C197" s="8" t="s">
        <v>9459</v>
      </c>
      <c r="D197" s="8" t="s">
        <v>10420</v>
      </c>
      <c r="E197" s="8" t="s">
        <v>71</v>
      </c>
      <c r="F197" s="8" t="s">
        <v>4869</v>
      </c>
      <c r="G197" s="8" t="n">
        <v>44</v>
      </c>
      <c r="H197" s="8" t="n">
        <v>21</v>
      </c>
      <c r="I197" s="8" t="s">
        <v>10421</v>
      </c>
      <c r="J197" s="8" t="s">
        <v>10422</v>
      </c>
    </row>
    <row r="198" customFormat="false" ht="15" hidden="false" customHeight="false" outlineLevel="0" collapsed="false">
      <c r="A198" s="8" t="s">
        <v>10423</v>
      </c>
      <c r="B198" s="8" t="s">
        <v>10424</v>
      </c>
      <c r="C198" s="8" t="s">
        <v>10425</v>
      </c>
      <c r="D198" s="8" t="s">
        <v>10426</v>
      </c>
      <c r="E198" s="8" t="s">
        <v>73</v>
      </c>
      <c r="F198" s="8" t="s">
        <v>5818</v>
      </c>
      <c r="G198" s="8" t="n">
        <v>-4.58333333</v>
      </c>
      <c r="H198" s="8" t="n">
        <v>55.66666666</v>
      </c>
      <c r="I198" s="8"/>
      <c r="J198" s="8" t="s">
        <v>10427</v>
      </c>
    </row>
    <row r="199" customFormat="false" ht="15" hidden="false" customHeight="false" outlineLevel="0" collapsed="false">
      <c r="A199" s="8" t="s">
        <v>10428</v>
      </c>
      <c r="B199" s="8" t="s">
        <v>10429</v>
      </c>
      <c r="C199" s="8" t="s">
        <v>10430</v>
      </c>
      <c r="D199" s="8" t="s">
        <v>10431</v>
      </c>
      <c r="E199" s="8" t="s">
        <v>73</v>
      </c>
      <c r="F199" s="8" t="s">
        <v>5830</v>
      </c>
      <c r="G199" s="8" t="n">
        <v>8.5</v>
      </c>
      <c r="H199" s="8" t="n">
        <v>-11.5</v>
      </c>
      <c r="I199" s="8" t="s">
        <v>10432</v>
      </c>
      <c r="J199" s="8" t="s">
        <v>10433</v>
      </c>
    </row>
    <row r="200" customFormat="false" ht="15" hidden="false" customHeight="false" outlineLevel="0" collapsed="false">
      <c r="A200" s="8" t="s">
        <v>2788</v>
      </c>
      <c r="B200" s="8" t="s">
        <v>10434</v>
      </c>
      <c r="C200" s="8" t="s">
        <v>9461</v>
      </c>
      <c r="D200" s="8" t="s">
        <v>10435</v>
      </c>
      <c r="E200" s="8" t="s">
        <v>70</v>
      </c>
      <c r="F200" s="8" t="s">
        <v>2789</v>
      </c>
      <c r="G200" s="8" t="n">
        <v>1.36666666</v>
      </c>
      <c r="H200" s="8" t="n">
        <v>103.8</v>
      </c>
      <c r="I200" s="8"/>
      <c r="J200" s="8" t="s">
        <v>10436</v>
      </c>
    </row>
    <row r="201" customFormat="false" ht="15" hidden="false" customHeight="false" outlineLevel="0" collapsed="false">
      <c r="A201" s="8" t="s">
        <v>10437</v>
      </c>
      <c r="B201" s="8" t="s">
        <v>10437</v>
      </c>
      <c r="C201" s="8" t="s">
        <v>10438</v>
      </c>
      <c r="D201" s="8" t="s">
        <v>10393</v>
      </c>
      <c r="E201" s="8" t="s">
        <v>72</v>
      </c>
      <c r="F201" s="8" t="s">
        <v>5406</v>
      </c>
      <c r="G201" s="8" t="n">
        <v>18.033333</v>
      </c>
      <c r="H201" s="8" t="n">
        <v>-63.05</v>
      </c>
      <c r="I201" s="8" t="s">
        <v>10392</v>
      </c>
      <c r="J201" s="8" t="s">
        <v>10439</v>
      </c>
    </row>
    <row r="202" customFormat="false" ht="15" hidden="false" customHeight="false" outlineLevel="0" collapsed="false">
      <c r="A202" s="8" t="s">
        <v>10440</v>
      </c>
      <c r="B202" s="8" t="s">
        <v>10441</v>
      </c>
      <c r="C202" s="8" t="s">
        <v>10442</v>
      </c>
      <c r="D202" s="8" t="s">
        <v>10443</v>
      </c>
      <c r="E202" s="8" t="s">
        <v>71</v>
      </c>
      <c r="F202" s="8" t="s">
        <v>4584</v>
      </c>
      <c r="G202" s="8" t="n">
        <v>48.66666666</v>
      </c>
      <c r="H202" s="8" t="n">
        <v>19.5</v>
      </c>
      <c r="I202" s="8" t="s">
        <v>10444</v>
      </c>
      <c r="J202" s="8" t="s">
        <v>10445</v>
      </c>
    </row>
    <row r="203" customFormat="false" ht="15" hidden="false" customHeight="false" outlineLevel="0" collapsed="false">
      <c r="A203" s="8" t="s">
        <v>10446</v>
      </c>
      <c r="B203" s="8" t="s">
        <v>10447</v>
      </c>
      <c r="C203" s="8" t="s">
        <v>10448</v>
      </c>
      <c r="D203" s="8" t="s">
        <v>10449</v>
      </c>
      <c r="E203" s="8" t="s">
        <v>71</v>
      </c>
      <c r="F203" s="8" t="s">
        <v>4584</v>
      </c>
      <c r="G203" s="8" t="n">
        <v>46.11666666</v>
      </c>
      <c r="H203" s="8" t="n">
        <v>14.81666666</v>
      </c>
      <c r="I203" s="8" t="s">
        <v>10450</v>
      </c>
      <c r="J203" s="8" t="s">
        <v>10451</v>
      </c>
    </row>
    <row r="204" customFormat="false" ht="15" hidden="false" customHeight="false" outlineLevel="0" collapsed="false">
      <c r="A204" s="8" t="s">
        <v>10452</v>
      </c>
      <c r="B204" s="8" t="s">
        <v>10452</v>
      </c>
      <c r="C204" s="8" t="s">
        <v>10453</v>
      </c>
      <c r="D204" s="8" t="s">
        <v>10454</v>
      </c>
      <c r="E204" s="8" t="s">
        <v>74</v>
      </c>
      <c r="F204" s="8" t="s">
        <v>9368</v>
      </c>
      <c r="G204" s="8" t="n">
        <v>-8</v>
      </c>
      <c r="H204" s="8" t="n">
        <v>159</v>
      </c>
      <c r="I204" s="8"/>
      <c r="J204" s="8" t="s">
        <v>10455</v>
      </c>
    </row>
    <row r="205" customFormat="false" ht="15" hidden="false" customHeight="false" outlineLevel="0" collapsed="false">
      <c r="A205" s="8" t="s">
        <v>10456</v>
      </c>
      <c r="B205" s="8" t="s">
        <v>10457</v>
      </c>
      <c r="C205" s="8" t="s">
        <v>10458</v>
      </c>
      <c r="D205" s="8" t="s">
        <v>10459</v>
      </c>
      <c r="E205" s="8" t="s">
        <v>73</v>
      </c>
      <c r="F205" s="8" t="s">
        <v>5818</v>
      </c>
      <c r="G205" s="8" t="n">
        <v>10</v>
      </c>
      <c r="H205" s="8" t="n">
        <v>49</v>
      </c>
      <c r="I205" s="8" t="s">
        <v>10460</v>
      </c>
      <c r="J205" s="8" t="s">
        <v>10461</v>
      </c>
    </row>
    <row r="206" customFormat="false" ht="15" hidden="false" customHeight="false" outlineLevel="0" collapsed="false">
      <c r="A206" s="8" t="s">
        <v>5872</v>
      </c>
      <c r="B206" s="8" t="s">
        <v>10462</v>
      </c>
      <c r="C206" s="8" t="s">
        <v>9463</v>
      </c>
      <c r="D206" s="8" t="s">
        <v>10088</v>
      </c>
      <c r="E206" s="8" t="s">
        <v>73</v>
      </c>
      <c r="F206" s="8" t="s">
        <v>5873</v>
      </c>
      <c r="G206" s="8" t="n">
        <v>-29</v>
      </c>
      <c r="H206" s="8" t="n">
        <v>24</v>
      </c>
      <c r="I206" s="8" t="s">
        <v>10463</v>
      </c>
      <c r="J206" s="8" t="s">
        <v>10464</v>
      </c>
    </row>
    <row r="207" customFormat="false" ht="15" hidden="false" customHeight="false" outlineLevel="0" collapsed="false">
      <c r="A207" s="8" t="s">
        <v>10465</v>
      </c>
      <c r="B207" s="8" t="s">
        <v>10466</v>
      </c>
      <c r="C207" s="8" t="s">
        <v>10467</v>
      </c>
      <c r="D207" s="8" t="s">
        <v>10468</v>
      </c>
      <c r="E207" s="8" t="s">
        <v>9556</v>
      </c>
      <c r="F207" s="8"/>
      <c r="G207" s="8" t="n">
        <v>-54.5</v>
      </c>
      <c r="H207" s="8" t="n">
        <v>-37</v>
      </c>
      <c r="I207" s="8"/>
      <c r="J207" s="8" t="s">
        <v>10469</v>
      </c>
    </row>
    <row r="208" customFormat="false" ht="15" hidden="false" customHeight="false" outlineLevel="0" collapsed="false">
      <c r="A208" s="8" t="s">
        <v>3137</v>
      </c>
      <c r="B208" s="8" t="s">
        <v>10470</v>
      </c>
      <c r="C208" s="8" t="s">
        <v>9465</v>
      </c>
      <c r="D208" s="8" t="s">
        <v>10471</v>
      </c>
      <c r="E208" s="8" t="s">
        <v>70</v>
      </c>
      <c r="F208" s="8" t="s">
        <v>2533</v>
      </c>
      <c r="G208" s="8" t="n">
        <v>37</v>
      </c>
      <c r="H208" s="8" t="n">
        <v>127.5</v>
      </c>
      <c r="I208" s="8" t="s">
        <v>10272</v>
      </c>
      <c r="J208" s="8" t="s">
        <v>10472</v>
      </c>
    </row>
    <row r="209" customFormat="false" ht="15" hidden="false" customHeight="false" outlineLevel="0" collapsed="false">
      <c r="A209" s="8" t="s">
        <v>10473</v>
      </c>
      <c r="B209" s="8" t="s">
        <v>10474</v>
      </c>
      <c r="C209" s="8" t="s">
        <v>10475</v>
      </c>
      <c r="D209" s="8" t="s">
        <v>10476</v>
      </c>
      <c r="E209" s="8" t="s">
        <v>73</v>
      </c>
      <c r="F209" s="8" t="s">
        <v>9546</v>
      </c>
      <c r="G209" s="8" t="n">
        <v>7</v>
      </c>
      <c r="H209" s="8" t="n">
        <v>30</v>
      </c>
      <c r="I209" s="8" t="s">
        <v>10477</v>
      </c>
      <c r="J209" s="8" t="s">
        <v>10478</v>
      </c>
    </row>
    <row r="210" customFormat="false" ht="15" hidden="false" customHeight="false" outlineLevel="0" collapsed="false">
      <c r="A210" s="8" t="s">
        <v>4325</v>
      </c>
      <c r="B210" s="8" t="s">
        <v>10479</v>
      </c>
      <c r="C210" s="8" t="s">
        <v>9467</v>
      </c>
      <c r="D210" s="8" t="s">
        <v>9911</v>
      </c>
      <c r="E210" s="8" t="s">
        <v>71</v>
      </c>
      <c r="F210" s="8" t="s">
        <v>3829</v>
      </c>
      <c r="G210" s="8" t="n">
        <v>40</v>
      </c>
      <c r="H210" s="8" t="n">
        <v>-4</v>
      </c>
      <c r="I210" s="8" t="s">
        <v>10480</v>
      </c>
      <c r="J210" s="8" t="s">
        <v>10481</v>
      </c>
    </row>
    <row r="211" customFormat="false" ht="15" hidden="false" customHeight="false" outlineLevel="0" collapsed="false">
      <c r="A211" s="8" t="s">
        <v>3739</v>
      </c>
      <c r="B211" s="8" t="s">
        <v>10482</v>
      </c>
      <c r="C211" s="8" t="s">
        <v>9469</v>
      </c>
      <c r="D211" s="8" t="s">
        <v>10483</v>
      </c>
      <c r="E211" s="8" t="s">
        <v>70</v>
      </c>
      <c r="F211" s="8" t="s">
        <v>207</v>
      </c>
      <c r="G211" s="8" t="n">
        <v>7</v>
      </c>
      <c r="H211" s="8" t="n">
        <v>81</v>
      </c>
      <c r="I211" s="8" t="s">
        <v>9989</v>
      </c>
      <c r="J211" s="8" t="s">
        <v>10484</v>
      </c>
    </row>
    <row r="212" customFormat="false" ht="15" hidden="false" customHeight="false" outlineLevel="0" collapsed="false">
      <c r="A212" s="8" t="s">
        <v>10485</v>
      </c>
      <c r="B212" s="8" t="s">
        <v>10486</v>
      </c>
      <c r="C212" s="8" t="s">
        <v>10487</v>
      </c>
      <c r="D212" s="8" t="s">
        <v>10488</v>
      </c>
      <c r="E212" s="8" t="s">
        <v>73</v>
      </c>
      <c r="F212" s="8" t="s">
        <v>5622</v>
      </c>
      <c r="G212" s="8" t="n">
        <v>15</v>
      </c>
      <c r="H212" s="8" t="n">
        <v>30</v>
      </c>
      <c r="I212" s="8" t="s">
        <v>10489</v>
      </c>
      <c r="J212" s="8" t="s">
        <v>10490</v>
      </c>
    </row>
    <row r="213" customFormat="false" ht="15" hidden="false" customHeight="false" outlineLevel="0" collapsed="false">
      <c r="A213" s="8" t="s">
        <v>10491</v>
      </c>
      <c r="B213" s="8" t="s">
        <v>10492</v>
      </c>
      <c r="C213" s="8" t="s">
        <v>10493</v>
      </c>
      <c r="D213" s="8" t="s">
        <v>10494</v>
      </c>
      <c r="E213" s="8" t="s">
        <v>72</v>
      </c>
      <c r="F213" s="8" t="s">
        <v>5447</v>
      </c>
      <c r="G213" s="8" t="n">
        <v>4</v>
      </c>
      <c r="H213" s="8" t="n">
        <v>-56</v>
      </c>
      <c r="I213" s="8" t="s">
        <v>10495</v>
      </c>
      <c r="J213" s="8" t="s">
        <v>10496</v>
      </c>
    </row>
    <row r="214" customFormat="false" ht="15" hidden="false" customHeight="false" outlineLevel="0" collapsed="false">
      <c r="A214" s="8" t="s">
        <v>10497</v>
      </c>
      <c r="B214" s="8" t="s">
        <v>10498</v>
      </c>
      <c r="C214" s="8" t="s">
        <v>10499</v>
      </c>
      <c r="D214" s="8" t="s">
        <v>10500</v>
      </c>
      <c r="E214" s="8" t="s">
        <v>71</v>
      </c>
      <c r="F214" s="8" t="s">
        <v>4449</v>
      </c>
      <c r="G214" s="8" t="n">
        <v>78</v>
      </c>
      <c r="H214" s="8" t="n">
        <v>20</v>
      </c>
      <c r="I214" s="8"/>
      <c r="J214" s="8" t="s">
        <v>10501</v>
      </c>
    </row>
    <row r="215" customFormat="false" ht="15" hidden="false" customHeight="false" outlineLevel="0" collapsed="false">
      <c r="A215" s="8" t="s">
        <v>4713</v>
      </c>
      <c r="B215" s="8" t="s">
        <v>10502</v>
      </c>
      <c r="C215" s="8" t="s">
        <v>9471</v>
      </c>
      <c r="D215" s="8" t="s">
        <v>10503</v>
      </c>
      <c r="E215" s="8" t="s">
        <v>71</v>
      </c>
      <c r="F215" s="8" t="s">
        <v>4449</v>
      </c>
      <c r="G215" s="8" t="n">
        <v>62</v>
      </c>
      <c r="H215" s="8" t="n">
        <v>15</v>
      </c>
      <c r="I215" s="8" t="s">
        <v>10504</v>
      </c>
      <c r="J215" s="8" t="s">
        <v>10505</v>
      </c>
    </row>
    <row r="216" customFormat="false" ht="15" hidden="false" customHeight="false" outlineLevel="0" collapsed="false">
      <c r="A216" s="8" t="s">
        <v>4296</v>
      </c>
      <c r="B216" s="8" t="s">
        <v>10506</v>
      </c>
      <c r="C216" s="8" t="s">
        <v>9473</v>
      </c>
      <c r="D216" s="8" t="s">
        <v>10507</v>
      </c>
      <c r="E216" s="8" t="s">
        <v>71</v>
      </c>
      <c r="F216" s="8" t="s">
        <v>4082</v>
      </c>
      <c r="G216" s="8" t="n">
        <v>47</v>
      </c>
      <c r="H216" s="8" t="n">
        <v>8</v>
      </c>
      <c r="I216" s="8" t="s">
        <v>10508</v>
      </c>
      <c r="J216" s="8" t="s">
        <v>10509</v>
      </c>
    </row>
    <row r="217" customFormat="false" ht="15" hidden="false" customHeight="false" outlineLevel="0" collapsed="false">
      <c r="A217" s="8" t="s">
        <v>8076</v>
      </c>
      <c r="B217" s="8" t="s">
        <v>10510</v>
      </c>
      <c r="C217" s="8" t="s">
        <v>9475</v>
      </c>
      <c r="D217" s="8" t="s">
        <v>10511</v>
      </c>
      <c r="E217" s="8" t="s">
        <v>70</v>
      </c>
      <c r="F217" s="8" t="s">
        <v>4902</v>
      </c>
      <c r="G217" s="8" t="n">
        <v>35</v>
      </c>
      <c r="H217" s="8" t="n">
        <v>38</v>
      </c>
      <c r="I217" s="8" t="s">
        <v>10512</v>
      </c>
      <c r="J217" s="8" t="s">
        <v>10513</v>
      </c>
    </row>
    <row r="218" customFormat="false" ht="15" hidden="false" customHeight="false" outlineLevel="0" collapsed="false">
      <c r="A218" s="8" t="s">
        <v>10514</v>
      </c>
      <c r="B218" s="8" t="s">
        <v>10515</v>
      </c>
      <c r="C218" s="8" t="s">
        <v>10516</v>
      </c>
      <c r="D218" s="8" t="s">
        <v>10517</v>
      </c>
      <c r="E218" s="8" t="s">
        <v>73</v>
      </c>
      <c r="F218" s="8" t="s">
        <v>9546</v>
      </c>
      <c r="G218" s="8" t="n">
        <v>1</v>
      </c>
      <c r="H218" s="8" t="n">
        <v>7</v>
      </c>
      <c r="I218" s="8"/>
      <c r="J218" s="8" t="s">
        <v>10518</v>
      </c>
    </row>
    <row r="219" customFormat="false" ht="15" hidden="false" customHeight="false" outlineLevel="0" collapsed="false">
      <c r="A219" s="8" t="s">
        <v>6793</v>
      </c>
      <c r="B219" s="8" t="s">
        <v>10519</v>
      </c>
      <c r="C219" s="8" t="s">
        <v>9477</v>
      </c>
      <c r="D219" s="8" t="s">
        <v>10520</v>
      </c>
      <c r="E219" s="8" t="s">
        <v>70</v>
      </c>
      <c r="F219" s="8" t="s">
        <v>2533</v>
      </c>
      <c r="G219" s="8" t="n">
        <v>23.5</v>
      </c>
      <c r="H219" s="8" t="n">
        <v>121</v>
      </c>
      <c r="I219" s="8"/>
      <c r="J219" s="8" t="s">
        <v>10521</v>
      </c>
    </row>
    <row r="220" customFormat="false" ht="15" hidden="false" customHeight="false" outlineLevel="0" collapsed="false">
      <c r="A220" s="8" t="s">
        <v>10522</v>
      </c>
      <c r="B220" s="8" t="s">
        <v>10523</v>
      </c>
      <c r="C220" s="8" t="s">
        <v>10524</v>
      </c>
      <c r="D220" s="8" t="s">
        <v>10525</v>
      </c>
      <c r="E220" s="8" t="s">
        <v>70</v>
      </c>
      <c r="F220" s="8" t="s">
        <v>3813</v>
      </c>
      <c r="G220" s="8" t="n">
        <v>39</v>
      </c>
      <c r="H220" s="8" t="n">
        <v>71</v>
      </c>
      <c r="I220" s="8" t="s">
        <v>10526</v>
      </c>
      <c r="J220" s="8" t="s">
        <v>10527</v>
      </c>
    </row>
    <row r="221" customFormat="false" ht="15" hidden="false" customHeight="false" outlineLevel="0" collapsed="false">
      <c r="A221" s="8" t="s">
        <v>7617</v>
      </c>
      <c r="B221" s="8" t="s">
        <v>10528</v>
      </c>
      <c r="C221" s="8" t="s">
        <v>9479</v>
      </c>
      <c r="D221" s="8" t="s">
        <v>10529</v>
      </c>
      <c r="E221" s="8" t="s">
        <v>73</v>
      </c>
      <c r="F221" s="8" t="s">
        <v>5818</v>
      </c>
      <c r="G221" s="8" t="n">
        <v>-6</v>
      </c>
      <c r="H221" s="8" t="n">
        <v>35</v>
      </c>
      <c r="I221" s="8" t="s">
        <v>10530</v>
      </c>
      <c r="J221" s="8" t="s">
        <v>10531</v>
      </c>
    </row>
    <row r="222" customFormat="false" ht="15" hidden="false" customHeight="false" outlineLevel="0" collapsed="false">
      <c r="A222" s="8" t="s">
        <v>3309</v>
      </c>
      <c r="B222" s="8" t="s">
        <v>10532</v>
      </c>
      <c r="C222" s="8" t="s">
        <v>9481</v>
      </c>
      <c r="D222" s="8" t="s">
        <v>10533</v>
      </c>
      <c r="E222" s="8" t="s">
        <v>70</v>
      </c>
      <c r="F222" s="8" t="s">
        <v>2789</v>
      </c>
      <c r="G222" s="8" t="n">
        <v>15</v>
      </c>
      <c r="H222" s="8" t="n">
        <v>100</v>
      </c>
      <c r="I222" s="8" t="s">
        <v>10534</v>
      </c>
      <c r="J222" s="8" t="s">
        <v>10535</v>
      </c>
    </row>
    <row r="223" customFormat="false" ht="15" hidden="false" customHeight="false" outlineLevel="0" collapsed="false">
      <c r="A223" s="8" t="s">
        <v>10536</v>
      </c>
      <c r="B223" s="8" t="s">
        <v>10537</v>
      </c>
      <c r="C223" s="8" t="s">
        <v>10538</v>
      </c>
      <c r="D223" s="8" t="s">
        <v>10539</v>
      </c>
      <c r="E223" s="8" t="s">
        <v>70</v>
      </c>
      <c r="F223" s="8" t="s">
        <v>2789</v>
      </c>
      <c r="G223" s="8" t="n">
        <v>-8.83333333</v>
      </c>
      <c r="H223" s="8" t="n">
        <v>125.91666666</v>
      </c>
      <c r="I223" s="8" t="s">
        <v>9993</v>
      </c>
      <c r="J223" s="8" t="s">
        <v>10540</v>
      </c>
    </row>
    <row r="224" customFormat="false" ht="15" hidden="false" customHeight="false" outlineLevel="0" collapsed="false">
      <c r="A224" s="8" t="s">
        <v>10541</v>
      </c>
      <c r="B224" s="8" t="s">
        <v>10542</v>
      </c>
      <c r="C224" s="8" t="s">
        <v>10543</v>
      </c>
      <c r="D224" s="8" t="s">
        <v>10544</v>
      </c>
      <c r="E224" s="8" t="s">
        <v>73</v>
      </c>
      <c r="F224" s="8" t="s">
        <v>5830</v>
      </c>
      <c r="G224" s="8" t="n">
        <v>8</v>
      </c>
      <c r="H224" s="8" t="n">
        <v>1.16666666</v>
      </c>
      <c r="I224" s="8" t="s">
        <v>10545</v>
      </c>
      <c r="J224" s="8" t="s">
        <v>10546</v>
      </c>
    </row>
    <row r="225" customFormat="false" ht="15" hidden="false" customHeight="false" outlineLevel="0" collapsed="false">
      <c r="A225" s="8" t="s">
        <v>10547</v>
      </c>
      <c r="B225" s="8" t="s">
        <v>10547</v>
      </c>
      <c r="C225" s="8" t="s">
        <v>10548</v>
      </c>
      <c r="D225" s="8" t="s">
        <v>10549</v>
      </c>
      <c r="E225" s="8" t="s">
        <v>74</v>
      </c>
      <c r="F225" s="8" t="s">
        <v>9534</v>
      </c>
      <c r="G225" s="8" t="n">
        <v>-9</v>
      </c>
      <c r="H225" s="8" t="n">
        <v>-172</v>
      </c>
      <c r="I225" s="8"/>
      <c r="J225" s="8" t="s">
        <v>10550</v>
      </c>
    </row>
    <row r="226" customFormat="false" ht="15" hidden="false" customHeight="false" outlineLevel="0" collapsed="false">
      <c r="A226" s="8" t="s">
        <v>10551</v>
      </c>
      <c r="B226" s="8" t="s">
        <v>10552</v>
      </c>
      <c r="C226" s="8" t="s">
        <v>10553</v>
      </c>
      <c r="D226" s="8" t="s">
        <v>10554</v>
      </c>
      <c r="E226" s="8" t="s">
        <v>74</v>
      </c>
      <c r="F226" s="8" t="s">
        <v>9534</v>
      </c>
      <c r="G226" s="8" t="n">
        <v>-20</v>
      </c>
      <c r="H226" s="8" t="n">
        <v>-175</v>
      </c>
      <c r="I226" s="8"/>
      <c r="J226" s="8" t="s">
        <v>10555</v>
      </c>
    </row>
    <row r="227" customFormat="false" ht="15" hidden="false" customHeight="false" outlineLevel="0" collapsed="false">
      <c r="A227" s="8" t="s">
        <v>7583</v>
      </c>
      <c r="B227" s="8" t="s">
        <v>10556</v>
      </c>
      <c r="C227" s="8" t="s">
        <v>9483</v>
      </c>
      <c r="D227" s="8" t="s">
        <v>10557</v>
      </c>
      <c r="E227" s="8" t="s">
        <v>72</v>
      </c>
      <c r="F227" s="8" t="s">
        <v>5406</v>
      </c>
      <c r="G227" s="8" t="n">
        <v>11</v>
      </c>
      <c r="H227" s="8" t="n">
        <v>-61</v>
      </c>
      <c r="I227" s="8"/>
      <c r="J227" s="8" t="s">
        <v>10558</v>
      </c>
    </row>
    <row r="228" customFormat="false" ht="15" hidden="false" customHeight="false" outlineLevel="0" collapsed="false">
      <c r="A228" s="8" t="s">
        <v>7417</v>
      </c>
      <c r="B228" s="8" t="s">
        <v>10559</v>
      </c>
      <c r="C228" s="8" t="s">
        <v>9485</v>
      </c>
      <c r="D228" s="8" t="s">
        <v>10560</v>
      </c>
      <c r="E228" s="8" t="s">
        <v>73</v>
      </c>
      <c r="F228" s="8" t="s">
        <v>5622</v>
      </c>
      <c r="G228" s="8" t="n">
        <v>34</v>
      </c>
      <c r="H228" s="8" t="n">
        <v>9</v>
      </c>
      <c r="I228" s="8" t="s">
        <v>10561</v>
      </c>
      <c r="J228" s="8" t="s">
        <v>10562</v>
      </c>
    </row>
    <row r="229" customFormat="false" ht="15" hidden="false" customHeight="false" outlineLevel="0" collapsed="false">
      <c r="A229" s="8" t="s">
        <v>10563</v>
      </c>
      <c r="B229" s="8" t="s">
        <v>10563</v>
      </c>
      <c r="C229" s="8" t="s">
        <v>10564</v>
      </c>
      <c r="D229" s="8" t="s">
        <v>10565</v>
      </c>
      <c r="E229" s="8" t="s">
        <v>70</v>
      </c>
      <c r="F229" s="8" t="s">
        <v>3813</v>
      </c>
      <c r="G229" s="8" t="n">
        <v>40</v>
      </c>
      <c r="H229" s="8" t="n">
        <v>60</v>
      </c>
      <c r="I229" s="8" t="s">
        <v>10566</v>
      </c>
      <c r="J229" s="8" t="s">
        <v>10567</v>
      </c>
    </row>
    <row r="230" customFormat="false" ht="15" hidden="false" customHeight="false" outlineLevel="0" collapsed="false">
      <c r="A230" s="8" t="s">
        <v>10568</v>
      </c>
      <c r="B230" s="8" t="s">
        <v>10568</v>
      </c>
      <c r="C230" s="8" t="s">
        <v>10569</v>
      </c>
      <c r="D230" s="8" t="s">
        <v>10570</v>
      </c>
      <c r="E230" s="8" t="s">
        <v>72</v>
      </c>
      <c r="F230" s="8" t="s">
        <v>5406</v>
      </c>
      <c r="G230" s="8" t="n">
        <v>21.75</v>
      </c>
      <c r="H230" s="8" t="n">
        <v>-71.58333333</v>
      </c>
      <c r="I230" s="8"/>
      <c r="J230" s="8" t="s">
        <v>10571</v>
      </c>
    </row>
    <row r="231" customFormat="false" ht="15" hidden="false" customHeight="false" outlineLevel="0" collapsed="false">
      <c r="A231" s="8" t="s">
        <v>10572</v>
      </c>
      <c r="B231" s="8" t="s">
        <v>10572</v>
      </c>
      <c r="C231" s="8" t="s">
        <v>10573</v>
      </c>
      <c r="D231" s="8" t="s">
        <v>10574</v>
      </c>
      <c r="E231" s="8" t="s">
        <v>74</v>
      </c>
      <c r="F231" s="8" t="s">
        <v>9534</v>
      </c>
      <c r="G231" s="8" t="n">
        <v>-8</v>
      </c>
      <c r="H231" s="8" t="n">
        <v>178</v>
      </c>
      <c r="I231" s="8"/>
      <c r="J231" s="8" t="s">
        <v>10575</v>
      </c>
    </row>
    <row r="232" customFormat="false" ht="15" hidden="false" customHeight="false" outlineLevel="0" collapsed="false">
      <c r="A232" s="8" t="s">
        <v>10576</v>
      </c>
      <c r="B232" s="8" t="s">
        <v>10577</v>
      </c>
      <c r="C232" s="8" t="s">
        <v>9487</v>
      </c>
      <c r="D232" s="8" t="s">
        <v>10578</v>
      </c>
      <c r="E232" s="8" t="s">
        <v>70</v>
      </c>
      <c r="F232" s="8" t="s">
        <v>4902</v>
      </c>
      <c r="G232" s="8" t="n">
        <v>39</v>
      </c>
      <c r="H232" s="8" t="n">
        <v>35</v>
      </c>
      <c r="I232" s="8" t="s">
        <v>10579</v>
      </c>
      <c r="J232" s="8" t="s">
        <v>10580</v>
      </c>
    </row>
    <row r="233" customFormat="false" ht="15" hidden="false" customHeight="false" outlineLevel="0" collapsed="false">
      <c r="A233" s="8" t="s">
        <v>7620</v>
      </c>
      <c r="B233" s="8" t="s">
        <v>10581</v>
      </c>
      <c r="C233" s="8" t="s">
        <v>9489</v>
      </c>
      <c r="D233" s="8" t="s">
        <v>10582</v>
      </c>
      <c r="E233" s="8" t="s">
        <v>73</v>
      </c>
      <c r="F233" s="8" t="s">
        <v>5818</v>
      </c>
      <c r="G233" s="8" t="n">
        <v>1</v>
      </c>
      <c r="H233" s="8" t="n">
        <v>32</v>
      </c>
      <c r="I233" s="8" t="s">
        <v>10583</v>
      </c>
      <c r="J233" s="8" t="s">
        <v>10584</v>
      </c>
    </row>
    <row r="234" customFormat="false" ht="15" hidden="false" customHeight="false" outlineLevel="0" collapsed="false">
      <c r="A234" s="8" t="s">
        <v>4812</v>
      </c>
      <c r="B234" s="8" t="s">
        <v>4812</v>
      </c>
      <c r="C234" s="8" t="s">
        <v>9491</v>
      </c>
      <c r="D234" s="8" t="s">
        <v>10585</v>
      </c>
      <c r="E234" s="8" t="s">
        <v>71</v>
      </c>
      <c r="F234" s="8" t="s">
        <v>4813</v>
      </c>
      <c r="G234" s="8" t="n">
        <v>49</v>
      </c>
      <c r="H234" s="8" t="n">
        <v>32</v>
      </c>
      <c r="I234" s="8" t="s">
        <v>10586</v>
      </c>
      <c r="J234" s="8" t="s">
        <v>10587</v>
      </c>
    </row>
    <row r="235" customFormat="false" ht="15" hidden="false" customHeight="false" outlineLevel="0" collapsed="false">
      <c r="A235" s="8" t="s">
        <v>7404</v>
      </c>
      <c r="B235" s="8" t="s">
        <v>7404</v>
      </c>
      <c r="C235" s="8" t="s">
        <v>9493</v>
      </c>
      <c r="D235" s="8" t="s">
        <v>10588</v>
      </c>
      <c r="E235" s="8" t="s">
        <v>70</v>
      </c>
      <c r="F235" s="8" t="s">
        <v>4902</v>
      </c>
      <c r="G235" s="8" t="n">
        <v>24</v>
      </c>
      <c r="H235" s="8" t="n">
        <v>54</v>
      </c>
      <c r="I235" s="8" t="s">
        <v>10589</v>
      </c>
      <c r="J235" s="8" t="s">
        <v>10590</v>
      </c>
    </row>
    <row r="236" customFormat="false" ht="15" hidden="false" customHeight="false" outlineLevel="0" collapsed="false">
      <c r="A236" s="8" t="s">
        <v>4448</v>
      </c>
      <c r="B236" s="8" t="s">
        <v>10591</v>
      </c>
      <c r="C236" s="8" t="s">
        <v>9495</v>
      </c>
      <c r="D236" s="8" t="s">
        <v>10006</v>
      </c>
      <c r="E236" s="8" t="s">
        <v>71</v>
      </c>
      <c r="F236" s="8" t="s">
        <v>4449</v>
      </c>
      <c r="G236" s="8" t="n">
        <v>54</v>
      </c>
      <c r="H236" s="8" t="n">
        <v>-2</v>
      </c>
      <c r="I236" s="8" t="s">
        <v>10005</v>
      </c>
      <c r="J236" s="8" t="s">
        <v>10592</v>
      </c>
    </row>
    <row r="237" customFormat="false" ht="15" hidden="false" customHeight="false" outlineLevel="0" collapsed="false">
      <c r="A237" s="8" t="s">
        <v>5046</v>
      </c>
      <c r="B237" s="8" t="s">
        <v>10593</v>
      </c>
      <c r="C237" s="8" t="s">
        <v>9497</v>
      </c>
      <c r="D237" s="8" t="s">
        <v>9696</v>
      </c>
      <c r="E237" s="8" t="s">
        <v>72</v>
      </c>
      <c r="F237" s="8" t="s">
        <v>5047</v>
      </c>
      <c r="G237" s="8" t="n">
        <v>38</v>
      </c>
      <c r="H237" s="8" t="n">
        <v>-97</v>
      </c>
      <c r="I237" s="8" t="s">
        <v>10594</v>
      </c>
      <c r="J237" s="8" t="s">
        <v>10595</v>
      </c>
    </row>
    <row r="238" customFormat="false" ht="15" hidden="false" customHeight="false" outlineLevel="0" collapsed="false">
      <c r="A238" s="8" t="s">
        <v>10596</v>
      </c>
      <c r="B238" s="8" t="s">
        <v>10596</v>
      </c>
      <c r="C238" s="8" t="s">
        <v>10597</v>
      </c>
      <c r="D238" s="8" t="s">
        <v>10598</v>
      </c>
      <c r="E238" s="8" t="s">
        <v>72</v>
      </c>
      <c r="F238" s="8" t="s">
        <v>5047</v>
      </c>
      <c r="G238" s="8" t="n">
        <v>19.3</v>
      </c>
      <c r="H238" s="8" t="n">
        <v>166.633333</v>
      </c>
      <c r="I238" s="8"/>
      <c r="J238" s="8" t="s">
        <v>10599</v>
      </c>
    </row>
    <row r="239" customFormat="false" ht="15" hidden="false" customHeight="false" outlineLevel="0" collapsed="false">
      <c r="A239" s="8" t="s">
        <v>10600</v>
      </c>
      <c r="B239" s="8" t="s">
        <v>10601</v>
      </c>
      <c r="C239" s="8" t="s">
        <v>10602</v>
      </c>
      <c r="D239" s="8" t="s">
        <v>10603</v>
      </c>
      <c r="E239" s="8" t="s">
        <v>72</v>
      </c>
      <c r="F239" s="8" t="s">
        <v>5406</v>
      </c>
      <c r="G239" s="8" t="n">
        <v>18.35</v>
      </c>
      <c r="H239" s="8" t="n">
        <v>-64.933333</v>
      </c>
      <c r="I239" s="8"/>
      <c r="J239" s="8" t="s">
        <v>10604</v>
      </c>
    </row>
    <row r="240" customFormat="false" ht="15" hidden="false" customHeight="false" outlineLevel="0" collapsed="false">
      <c r="A240" s="8" t="s">
        <v>7399</v>
      </c>
      <c r="B240" s="8" t="s">
        <v>10605</v>
      </c>
      <c r="C240" s="8" t="s">
        <v>9499</v>
      </c>
      <c r="D240" s="8" t="s">
        <v>10606</v>
      </c>
      <c r="E240" s="8" t="s">
        <v>72</v>
      </c>
      <c r="F240" s="8" t="s">
        <v>5447</v>
      </c>
      <c r="G240" s="8" t="n">
        <v>-33</v>
      </c>
      <c r="H240" s="8" t="n">
        <v>-56</v>
      </c>
      <c r="I240" s="8" t="s">
        <v>10607</v>
      </c>
      <c r="J240" s="8" t="s">
        <v>10608</v>
      </c>
    </row>
    <row r="241" customFormat="false" ht="15" hidden="false" customHeight="false" outlineLevel="0" collapsed="false">
      <c r="A241" s="8" t="s">
        <v>3812</v>
      </c>
      <c r="B241" s="8" t="s">
        <v>10609</v>
      </c>
      <c r="C241" s="8" t="s">
        <v>9501</v>
      </c>
      <c r="D241" s="8" t="s">
        <v>10610</v>
      </c>
      <c r="E241" s="8" t="s">
        <v>70</v>
      </c>
      <c r="F241" s="8" t="s">
        <v>3813</v>
      </c>
      <c r="G241" s="8" t="n">
        <v>41</v>
      </c>
      <c r="H241" s="8" t="n">
        <v>64</v>
      </c>
      <c r="I241" s="8" t="s">
        <v>10611</v>
      </c>
      <c r="J241" s="8" t="s">
        <v>10612</v>
      </c>
    </row>
    <row r="242" customFormat="false" ht="15" hidden="false" customHeight="false" outlineLevel="0" collapsed="false">
      <c r="A242" s="8" t="s">
        <v>10613</v>
      </c>
      <c r="B242" s="8" t="s">
        <v>10614</v>
      </c>
      <c r="C242" s="8" t="s">
        <v>10615</v>
      </c>
      <c r="D242" s="8" t="s">
        <v>10616</v>
      </c>
      <c r="E242" s="8" t="s">
        <v>74</v>
      </c>
      <c r="F242" s="8" t="s">
        <v>9368</v>
      </c>
      <c r="G242" s="8" t="n">
        <v>-16</v>
      </c>
      <c r="H242" s="8" t="n">
        <v>167</v>
      </c>
      <c r="I242" s="8"/>
      <c r="J242" s="8" t="s">
        <v>10617</v>
      </c>
    </row>
    <row r="243" customFormat="false" ht="15" hidden="false" customHeight="false" outlineLevel="0" collapsed="false">
      <c r="A243" s="8" t="s">
        <v>10618</v>
      </c>
      <c r="B243" s="8" t="s">
        <v>10619</v>
      </c>
      <c r="C243" s="8" t="s">
        <v>10620</v>
      </c>
      <c r="D243" s="8" t="s">
        <v>10621</v>
      </c>
      <c r="E243" s="8" t="s">
        <v>71</v>
      </c>
      <c r="F243" s="8" t="s">
        <v>3829</v>
      </c>
      <c r="G243" s="8" t="n">
        <v>41.9</v>
      </c>
      <c r="H243" s="8" t="n">
        <v>12.45</v>
      </c>
      <c r="I243" s="8" t="s">
        <v>10017</v>
      </c>
      <c r="J243" s="8" t="s">
        <v>10622</v>
      </c>
    </row>
    <row r="244" customFormat="false" ht="15" hidden="false" customHeight="false" outlineLevel="0" collapsed="false">
      <c r="A244" s="8" t="s">
        <v>5588</v>
      </c>
      <c r="B244" s="8" t="s">
        <v>10623</v>
      </c>
      <c r="C244" s="8" t="s">
        <v>9503</v>
      </c>
      <c r="D244" s="8" t="s">
        <v>10624</v>
      </c>
      <c r="E244" s="8" t="s">
        <v>72</v>
      </c>
      <c r="F244" s="8" t="s">
        <v>5447</v>
      </c>
      <c r="G244" s="8" t="n">
        <v>8</v>
      </c>
      <c r="H244" s="8" t="n">
        <v>-66</v>
      </c>
      <c r="I244" s="8" t="s">
        <v>10625</v>
      </c>
      <c r="J244" s="8" t="s">
        <v>10626</v>
      </c>
    </row>
    <row r="245" customFormat="false" ht="15" hidden="false" customHeight="false" outlineLevel="0" collapsed="false">
      <c r="A245" s="8" t="s">
        <v>3435</v>
      </c>
      <c r="B245" s="8" t="s">
        <v>10627</v>
      </c>
      <c r="C245" s="8" t="s">
        <v>9505</v>
      </c>
      <c r="D245" s="8" t="s">
        <v>10628</v>
      </c>
      <c r="E245" s="8" t="s">
        <v>70</v>
      </c>
      <c r="F245" s="8" t="s">
        <v>2789</v>
      </c>
      <c r="G245" s="8" t="n">
        <v>16.16666666</v>
      </c>
      <c r="H245" s="8" t="n">
        <v>107.83333333</v>
      </c>
      <c r="I245" s="8" t="s">
        <v>10629</v>
      </c>
      <c r="J245" s="8" t="s">
        <v>10630</v>
      </c>
    </row>
    <row r="246" customFormat="false" ht="15" hidden="false" customHeight="false" outlineLevel="0" collapsed="false">
      <c r="A246" s="8" t="s">
        <v>10631</v>
      </c>
      <c r="B246" s="8" t="s">
        <v>10632</v>
      </c>
      <c r="C246" s="8" t="s">
        <v>10633</v>
      </c>
      <c r="D246" s="8" t="s">
        <v>10634</v>
      </c>
      <c r="E246" s="8" t="s">
        <v>74</v>
      </c>
      <c r="F246" s="8" t="s">
        <v>9534</v>
      </c>
      <c r="G246" s="8" t="n">
        <v>-13.3</v>
      </c>
      <c r="H246" s="8" t="n">
        <v>-176.2</v>
      </c>
      <c r="I246" s="8"/>
      <c r="J246" s="8" t="s">
        <v>10635</v>
      </c>
    </row>
    <row r="247" customFormat="false" ht="15" hidden="false" customHeight="false" outlineLevel="0" collapsed="false">
      <c r="A247" s="8" t="s">
        <v>10636</v>
      </c>
      <c r="B247" s="8" t="s">
        <v>10637</v>
      </c>
      <c r="C247" s="8" t="s">
        <v>10638</v>
      </c>
      <c r="D247" s="8" t="s">
        <v>10639</v>
      </c>
      <c r="E247" s="8" t="s">
        <v>73</v>
      </c>
      <c r="F247" s="8" t="s">
        <v>5622</v>
      </c>
      <c r="G247" s="8" t="n">
        <v>24.5</v>
      </c>
      <c r="H247" s="8" t="n">
        <v>-13</v>
      </c>
      <c r="I247" s="8" t="s">
        <v>10640</v>
      </c>
      <c r="J247" s="8" t="s">
        <v>10641</v>
      </c>
    </row>
    <row r="248" customFormat="false" ht="15" hidden="false" customHeight="false" outlineLevel="0" collapsed="false">
      <c r="A248" s="8" t="s">
        <v>5736</v>
      </c>
      <c r="B248" s="8" t="s">
        <v>10642</v>
      </c>
      <c r="C248" s="8" t="s">
        <v>9507</v>
      </c>
      <c r="D248" s="8" t="s">
        <v>10643</v>
      </c>
      <c r="E248" s="8" t="s">
        <v>70</v>
      </c>
      <c r="F248" s="8" t="s">
        <v>4902</v>
      </c>
      <c r="G248" s="8" t="n">
        <v>15</v>
      </c>
      <c r="H248" s="8" t="n">
        <v>48</v>
      </c>
      <c r="I248" s="8" t="s">
        <v>10589</v>
      </c>
      <c r="J248" s="8" t="s">
        <v>10644</v>
      </c>
    </row>
    <row r="249" customFormat="false" ht="15" hidden="false" customHeight="false" outlineLevel="0" collapsed="false">
      <c r="A249" s="8" t="s">
        <v>10645</v>
      </c>
      <c r="B249" s="8" t="s">
        <v>10646</v>
      </c>
      <c r="C249" s="8" t="s">
        <v>10647</v>
      </c>
      <c r="D249" s="8" t="s">
        <v>10648</v>
      </c>
      <c r="E249" s="8" t="s">
        <v>73</v>
      </c>
      <c r="F249" s="8" t="s">
        <v>5818</v>
      </c>
      <c r="G249" s="8" t="n">
        <v>-15</v>
      </c>
      <c r="H249" s="8" t="n">
        <v>30</v>
      </c>
      <c r="I249" s="8" t="s">
        <v>10649</v>
      </c>
      <c r="J249" s="8" t="s">
        <v>10650</v>
      </c>
    </row>
    <row r="250" customFormat="false" ht="15" hidden="false" customHeight="false" outlineLevel="0" collapsed="false">
      <c r="A250" s="8" t="s">
        <v>10651</v>
      </c>
      <c r="B250" s="8" t="s">
        <v>10652</v>
      </c>
      <c r="C250" s="8" t="s">
        <v>10653</v>
      </c>
      <c r="D250" s="8" t="s">
        <v>10654</v>
      </c>
      <c r="E250" s="8" t="s">
        <v>73</v>
      </c>
      <c r="F250" s="8" t="s">
        <v>5818</v>
      </c>
      <c r="G250" s="8" t="n">
        <v>-20</v>
      </c>
      <c r="H250" s="8" t="n">
        <v>30</v>
      </c>
      <c r="I250" s="8" t="s">
        <v>10655</v>
      </c>
      <c r="J250" s="8" t="s">
        <v>10656</v>
      </c>
    </row>
    <row r="251" customFormat="false" ht="15" hidden="false" customHeight="false" outlineLevel="0" collapsed="false">
      <c r="A251" s="8" t="s">
        <v>10657</v>
      </c>
      <c r="B251" s="8" t="s">
        <v>10657</v>
      </c>
      <c r="C251" s="8" t="s">
        <v>10658</v>
      </c>
      <c r="D251" s="8" t="s">
        <v>10659</v>
      </c>
      <c r="E251" s="8" t="s">
        <v>71</v>
      </c>
      <c r="F251" s="8" t="s">
        <v>4449</v>
      </c>
      <c r="G251" s="8" t="n">
        <v>60.116667</v>
      </c>
      <c r="H251" s="8" t="n">
        <v>19.9</v>
      </c>
      <c r="I251" s="8"/>
      <c r="J251" s="8" t="s">
        <v>10660</v>
      </c>
    </row>
  </sheetData>
  <autoFilter ref="A1:J2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1"/>
    <col collapsed="false" customWidth="true" hidden="false" outlineLevel="0" max="4" min="4" style="0" width="9"/>
    <col collapsed="false" customWidth="true" hidden="false" outlineLevel="0" max="5" min="5" style="0" width="24"/>
    <col collapsed="false" customWidth="true" hidden="false" outlineLevel="0" max="6" min="6" style="0" width="9"/>
    <col collapsed="false" customWidth="true" hidden="false" outlineLevel="0" max="7" min="7" style="0" width="24"/>
    <col collapsed="false" customWidth="true" hidden="false" outlineLevel="0" max="8" min="8" style="0" width="14"/>
    <col collapsed="false" customWidth="true" hidden="false" outlineLevel="0" max="9" min="9" style="0" width="9"/>
    <col collapsed="false" customWidth="true" hidden="false" outlineLevel="0" max="10" min="10" style="0" width="22"/>
    <col collapsed="false" customWidth="true" hidden="false" outlineLevel="0" max="11" min="11" style="0" width="9"/>
    <col collapsed="false" customWidth="true" hidden="false" outlineLevel="0" max="12" min="12" style="0" width="16"/>
    <col collapsed="false" customWidth="true" hidden="false" outlineLevel="0" max="13" min="13" style="0" width="9"/>
    <col collapsed="false" customWidth="true" hidden="false" outlineLevel="0" max="14" min="14" style="0" width="16"/>
  </cols>
  <sheetData>
    <row r="1" customFormat="false" ht="30" hidden="false" customHeight="true" outlineLevel="0" collapsed="false">
      <c r="A1" s="17" t="s">
        <v>10661</v>
      </c>
      <c r="B1" s="17" t="s">
        <v>10662</v>
      </c>
      <c r="C1" s="17" t="s">
        <v>10663</v>
      </c>
      <c r="D1" s="17" t="s">
        <v>10664</v>
      </c>
      <c r="E1" s="17" t="s">
        <v>10665</v>
      </c>
      <c r="F1" s="17" t="s">
        <v>10666</v>
      </c>
      <c r="G1" s="17" t="s">
        <v>10667</v>
      </c>
      <c r="H1" s="17" t="s">
        <v>10668</v>
      </c>
      <c r="I1" s="17" t="s">
        <v>10669</v>
      </c>
      <c r="J1" s="17" t="s">
        <v>5958</v>
      </c>
      <c r="K1" s="17" t="s">
        <v>10670</v>
      </c>
      <c r="L1" s="17" t="s">
        <v>10671</v>
      </c>
      <c r="M1" s="17" t="s">
        <v>10672</v>
      </c>
      <c r="N1" s="17" t="s">
        <v>10673</v>
      </c>
    </row>
    <row r="2" customFormat="false" ht="15" hidden="false" customHeight="false" outlineLevel="0" collapsed="false">
      <c r="A2" s="8" t="n">
        <v>1</v>
      </c>
      <c r="B2" s="8" t="s">
        <v>10674</v>
      </c>
      <c r="C2" s="8" t="s">
        <v>10675</v>
      </c>
      <c r="D2" s="8" t="s">
        <v>696</v>
      </c>
      <c r="E2" s="8" t="s">
        <v>697</v>
      </c>
      <c r="F2" s="8" t="s">
        <v>1284</v>
      </c>
      <c r="G2" s="8" t="s">
        <v>1285</v>
      </c>
      <c r="H2" s="8" t="s">
        <v>107</v>
      </c>
      <c r="I2" s="8" t="s">
        <v>6902</v>
      </c>
      <c r="J2" s="8" t="s">
        <v>6903</v>
      </c>
      <c r="K2" s="8" t="s">
        <v>3183</v>
      </c>
      <c r="L2" s="8" t="s">
        <v>3137</v>
      </c>
      <c r="M2" s="8" t="s">
        <v>1065</v>
      </c>
      <c r="N2" s="8" t="s">
        <v>109</v>
      </c>
    </row>
    <row r="3" customFormat="false" ht="15" hidden="false" customHeight="false" outlineLevel="0" collapsed="false">
      <c r="A3" s="8" t="n">
        <v>2</v>
      </c>
      <c r="B3" s="8" t="s">
        <v>10676</v>
      </c>
      <c r="C3" s="8" t="s">
        <v>10677</v>
      </c>
      <c r="D3" s="8" t="s">
        <v>4611</v>
      </c>
      <c r="E3" s="8" t="s">
        <v>4612</v>
      </c>
      <c r="F3" s="8" t="s">
        <v>1599</v>
      </c>
      <c r="G3" s="8" t="s">
        <v>1600</v>
      </c>
      <c r="H3" s="8" t="s">
        <v>106</v>
      </c>
      <c r="I3" s="8" t="s">
        <v>6514</v>
      </c>
      <c r="J3" s="8" t="s">
        <v>6515</v>
      </c>
      <c r="K3" s="8" t="s">
        <v>5307</v>
      </c>
      <c r="L3" s="8" t="s">
        <v>5207</v>
      </c>
      <c r="M3" s="8" t="s">
        <v>1214</v>
      </c>
      <c r="N3" s="8" t="s">
        <v>105</v>
      </c>
    </row>
    <row r="4" customFormat="false" ht="15" hidden="false" customHeight="false" outlineLevel="0" collapsed="false">
      <c r="A4" s="8" t="n">
        <v>3</v>
      </c>
      <c r="B4" s="8" t="s">
        <v>10678</v>
      </c>
      <c r="C4" s="8" t="s">
        <v>10679</v>
      </c>
      <c r="D4" s="8" t="s">
        <v>5457</v>
      </c>
      <c r="E4" s="8" t="s">
        <v>5458</v>
      </c>
      <c r="F4" s="8" t="s">
        <v>584</v>
      </c>
      <c r="G4" s="8" t="s">
        <v>585</v>
      </c>
      <c r="H4" s="8" t="s">
        <v>118</v>
      </c>
      <c r="I4" s="8" t="s">
        <v>6627</v>
      </c>
      <c r="J4" s="8" t="s">
        <v>6628</v>
      </c>
      <c r="K4" s="8" t="s">
        <v>3858</v>
      </c>
      <c r="L4" s="8" t="s">
        <v>3828</v>
      </c>
      <c r="M4" s="8" t="s">
        <v>1764</v>
      </c>
      <c r="N4" s="8" t="s">
        <v>121</v>
      </c>
    </row>
    <row r="5" customFormat="false" ht="15" hidden="false" customHeight="false" outlineLevel="0" collapsed="false">
      <c r="A5" s="8" t="n">
        <v>4</v>
      </c>
      <c r="B5" s="8" t="s">
        <v>10680</v>
      </c>
      <c r="C5" s="8" t="s">
        <v>10681</v>
      </c>
      <c r="D5" s="8" t="s">
        <v>5434</v>
      </c>
      <c r="E5" s="8" t="s">
        <v>5435</v>
      </c>
      <c r="F5" s="8" t="s">
        <v>917</v>
      </c>
      <c r="G5" s="8" t="s">
        <v>918</v>
      </c>
      <c r="H5" s="8" t="s">
        <v>104</v>
      </c>
      <c r="I5" s="8" t="s">
        <v>7000</v>
      </c>
      <c r="J5" s="8" t="s">
        <v>7001</v>
      </c>
      <c r="K5" s="8" t="s">
        <v>5569</v>
      </c>
      <c r="L5" s="8" t="s">
        <v>5544</v>
      </c>
      <c r="M5" s="8" t="s">
        <v>1012</v>
      </c>
      <c r="N5" s="8" t="s">
        <v>116</v>
      </c>
    </row>
    <row r="6" customFormat="false" ht="15" hidden="false" customHeight="false" outlineLevel="0" collapsed="false">
      <c r="A6" s="8" t="n">
        <v>5</v>
      </c>
      <c r="B6" s="8" t="s">
        <v>10682</v>
      </c>
      <c r="C6" s="8" t="s">
        <v>10683</v>
      </c>
      <c r="D6" s="8" t="s">
        <v>4285</v>
      </c>
      <c r="E6" s="8" t="s">
        <v>4286</v>
      </c>
      <c r="F6" s="8" t="s">
        <v>374</v>
      </c>
      <c r="G6" s="8" t="s">
        <v>375</v>
      </c>
      <c r="H6" s="8" t="s">
        <v>110</v>
      </c>
      <c r="I6" s="8" t="s">
        <v>6178</v>
      </c>
      <c r="J6" s="8" t="s">
        <v>6179</v>
      </c>
      <c r="K6" s="8" t="s">
        <v>5227</v>
      </c>
      <c r="L6" s="8" t="s">
        <v>5046</v>
      </c>
      <c r="M6" s="8" t="s">
        <v>859</v>
      </c>
      <c r="N6" s="8" t="s">
        <v>104</v>
      </c>
    </row>
    <row r="7" customFormat="false" ht="15" hidden="false" customHeight="false" outlineLevel="0" collapsed="false">
      <c r="A7" s="8" t="n">
        <v>6</v>
      </c>
      <c r="B7" s="8" t="s">
        <v>10684</v>
      </c>
      <c r="C7" s="8" t="s">
        <v>10685</v>
      </c>
      <c r="D7" s="8" t="s">
        <v>3209</v>
      </c>
      <c r="E7" s="8" t="s">
        <v>3210</v>
      </c>
      <c r="F7" s="8" t="s">
        <v>1799</v>
      </c>
      <c r="G7" s="8" t="s">
        <v>1800</v>
      </c>
      <c r="H7" s="8" t="s">
        <v>122</v>
      </c>
      <c r="I7" s="8" t="s">
        <v>6458</v>
      </c>
      <c r="J7" s="8" t="s">
        <v>6459</v>
      </c>
      <c r="K7" s="8" t="s">
        <v>4420</v>
      </c>
      <c r="L7" s="8" t="s">
        <v>4403</v>
      </c>
      <c r="M7" s="8" t="s">
        <v>1799</v>
      </c>
      <c r="N7" s="8" t="s">
        <v>122</v>
      </c>
    </row>
    <row r="8" customFormat="false" ht="15" hidden="false" customHeight="false" outlineLevel="0" collapsed="false">
      <c r="A8" s="8" t="n">
        <v>7</v>
      </c>
      <c r="B8" s="8" t="s">
        <v>10686</v>
      </c>
      <c r="C8" s="8" t="s">
        <v>10687</v>
      </c>
      <c r="D8" s="8" t="s">
        <v>4746</v>
      </c>
      <c r="E8" s="8" t="s">
        <v>4747</v>
      </c>
      <c r="F8" s="8" t="s">
        <v>430</v>
      </c>
      <c r="G8" s="8" t="s">
        <v>431</v>
      </c>
      <c r="H8" s="8" t="s">
        <v>108</v>
      </c>
      <c r="I8" s="8" t="s">
        <v>7027</v>
      </c>
      <c r="J8" s="8" t="s">
        <v>7028</v>
      </c>
      <c r="K8" s="8" t="s">
        <v>4710</v>
      </c>
      <c r="L8" s="8" t="s">
        <v>4713</v>
      </c>
      <c r="M8" s="8" t="s">
        <v>1235</v>
      </c>
      <c r="N8" s="8" t="s">
        <v>107</v>
      </c>
    </row>
    <row r="9" customFormat="false" ht="15" hidden="false" customHeight="false" outlineLevel="0" collapsed="false">
      <c r="A9" s="8" t="n">
        <v>8</v>
      </c>
      <c r="B9" s="8" t="s">
        <v>10688</v>
      </c>
      <c r="C9" s="8" t="s">
        <v>10675</v>
      </c>
      <c r="D9" s="8" t="s">
        <v>495</v>
      </c>
      <c r="E9" s="8" t="s">
        <v>496</v>
      </c>
      <c r="F9" s="8" t="s">
        <v>2458</v>
      </c>
      <c r="G9" s="8" t="s">
        <v>2459</v>
      </c>
      <c r="H9" s="8" t="s">
        <v>103</v>
      </c>
      <c r="I9" s="8" t="s">
        <v>6826</v>
      </c>
      <c r="J9" s="8" t="s">
        <v>6827</v>
      </c>
      <c r="K9" s="8" t="s">
        <v>4691</v>
      </c>
      <c r="L9" s="8" t="s">
        <v>4693</v>
      </c>
      <c r="M9" s="8" t="s">
        <v>980</v>
      </c>
      <c r="N9" s="8" t="s">
        <v>104</v>
      </c>
    </row>
    <row r="10" customFormat="false" ht="15" hidden="false" customHeight="false" outlineLevel="0" collapsed="false">
      <c r="A10" s="8" t="n">
        <v>9</v>
      </c>
      <c r="B10" s="8" t="s">
        <v>10689</v>
      </c>
      <c r="C10" s="8" t="s">
        <v>10677</v>
      </c>
      <c r="D10" s="8" t="s">
        <v>3518</v>
      </c>
      <c r="E10" s="8" t="s">
        <v>3519</v>
      </c>
      <c r="F10" s="8" t="s">
        <v>666</v>
      </c>
      <c r="G10" s="8" t="s">
        <v>667</v>
      </c>
      <c r="H10" s="8" t="s">
        <v>111</v>
      </c>
      <c r="I10" s="8" t="s">
        <v>6335</v>
      </c>
      <c r="J10" s="8" t="s">
        <v>6336</v>
      </c>
      <c r="K10" s="8" t="s">
        <v>2959</v>
      </c>
      <c r="L10" s="8" t="s">
        <v>2859</v>
      </c>
      <c r="M10" s="8" t="s">
        <v>1628</v>
      </c>
      <c r="N10" s="8" t="s">
        <v>106</v>
      </c>
    </row>
    <row r="11" customFormat="false" ht="15" hidden="false" customHeight="false" outlineLevel="0" collapsed="false">
      <c r="A11" s="8" t="n">
        <v>10</v>
      </c>
      <c r="B11" s="8" t="s">
        <v>10690</v>
      </c>
      <c r="C11" s="8" t="s">
        <v>10679</v>
      </c>
      <c r="D11" s="8" t="s">
        <v>4383</v>
      </c>
      <c r="E11" s="8" t="s">
        <v>4384</v>
      </c>
      <c r="F11" s="8" t="s">
        <v>1094</v>
      </c>
      <c r="G11" s="8" t="s">
        <v>1095</v>
      </c>
      <c r="H11" s="8" t="s">
        <v>105</v>
      </c>
      <c r="I11" s="8" t="s">
        <v>6347</v>
      </c>
      <c r="J11" s="8" t="s">
        <v>6348</v>
      </c>
      <c r="K11" s="8" t="s">
        <v>4376</v>
      </c>
      <c r="L11" s="8" t="s">
        <v>4325</v>
      </c>
      <c r="M11" s="8" t="s">
        <v>1548</v>
      </c>
      <c r="N11" s="8" t="s">
        <v>113</v>
      </c>
    </row>
    <row r="12" customFormat="false" ht="15" hidden="false" customHeight="false" outlineLevel="0" collapsed="false">
      <c r="A12" s="8" t="n">
        <v>11</v>
      </c>
      <c r="B12" s="8" t="s">
        <v>10691</v>
      </c>
      <c r="C12" s="8" t="s">
        <v>10681</v>
      </c>
      <c r="D12" s="8" t="s">
        <v>4866</v>
      </c>
      <c r="E12" s="8" t="s">
        <v>4867</v>
      </c>
      <c r="F12" s="8" t="s">
        <v>908</v>
      </c>
      <c r="G12" s="8" t="s">
        <v>909</v>
      </c>
      <c r="H12" s="8" t="s">
        <v>104</v>
      </c>
      <c r="I12" s="8" t="s">
        <v>7217</v>
      </c>
      <c r="J12" s="8" t="s">
        <v>7218</v>
      </c>
      <c r="K12" s="8" t="s">
        <v>4017</v>
      </c>
      <c r="L12" s="8" t="s">
        <v>3828</v>
      </c>
      <c r="M12" s="8" t="s">
        <v>1221</v>
      </c>
      <c r="N12" s="8" t="s">
        <v>105</v>
      </c>
    </row>
    <row r="13" customFormat="false" ht="15" hidden="false" customHeight="false" outlineLevel="0" collapsed="false">
      <c r="A13" s="8" t="n">
        <v>12</v>
      </c>
      <c r="B13" s="8" t="s">
        <v>10692</v>
      </c>
      <c r="C13" s="8" t="s">
        <v>10683</v>
      </c>
      <c r="D13" s="8" t="s">
        <v>5235</v>
      </c>
      <c r="E13" s="8" t="s">
        <v>5236</v>
      </c>
      <c r="F13" s="8" t="s">
        <v>1118</v>
      </c>
      <c r="G13" s="8" t="s">
        <v>1119</v>
      </c>
      <c r="H13" s="8" t="s">
        <v>105</v>
      </c>
      <c r="I13" s="8" t="s">
        <v>6024</v>
      </c>
      <c r="J13" s="8" t="s">
        <v>6025</v>
      </c>
      <c r="K13" s="8" t="s">
        <v>4285</v>
      </c>
      <c r="L13" s="8" t="s">
        <v>4081</v>
      </c>
      <c r="M13" s="8" t="s">
        <v>322</v>
      </c>
      <c r="N13" s="8" t="s">
        <v>110</v>
      </c>
    </row>
    <row r="14" customFormat="false" ht="15" hidden="false" customHeight="false" outlineLevel="0" collapsed="false">
      <c r="A14" s="8" t="n">
        <v>13</v>
      </c>
      <c r="B14" s="8" t="s">
        <v>10693</v>
      </c>
      <c r="C14" s="8" t="s">
        <v>10685</v>
      </c>
      <c r="D14" s="8" t="s">
        <v>3498</v>
      </c>
      <c r="E14" s="8" t="s">
        <v>3499</v>
      </c>
      <c r="F14" s="8" t="s">
        <v>2352</v>
      </c>
      <c r="G14" s="8" t="s">
        <v>2353</v>
      </c>
      <c r="H14" s="8" t="s">
        <v>103</v>
      </c>
      <c r="I14" s="8" t="s">
        <v>6401</v>
      </c>
      <c r="J14" s="8" t="s">
        <v>6402</v>
      </c>
      <c r="K14" s="8" t="s">
        <v>3727</v>
      </c>
      <c r="L14" s="8" t="s">
        <v>3729</v>
      </c>
      <c r="M14" s="8" t="s">
        <v>1336</v>
      </c>
      <c r="N14" s="8" t="s">
        <v>107</v>
      </c>
    </row>
    <row r="15" customFormat="false" ht="15" hidden="false" customHeight="false" outlineLevel="0" collapsed="false">
      <c r="A15" s="8" t="n">
        <v>14</v>
      </c>
      <c r="B15" s="8" t="s">
        <v>10694</v>
      </c>
      <c r="C15" s="8" t="s">
        <v>10687</v>
      </c>
      <c r="D15" s="8" t="s">
        <v>2061</v>
      </c>
      <c r="E15" s="8" t="s">
        <v>2062</v>
      </c>
      <c r="F15" s="8" t="s">
        <v>572</v>
      </c>
      <c r="G15" s="8" t="s">
        <v>573</v>
      </c>
      <c r="H15" s="8" t="s">
        <v>118</v>
      </c>
      <c r="I15" s="8" t="s">
        <v>6066</v>
      </c>
      <c r="J15" s="8" t="s">
        <v>6067</v>
      </c>
      <c r="K15" s="8" t="s">
        <v>4469</v>
      </c>
      <c r="L15" s="8" t="s">
        <v>4448</v>
      </c>
      <c r="M15" s="8" t="s">
        <v>238</v>
      </c>
      <c r="N15" s="8" t="s">
        <v>110</v>
      </c>
    </row>
    <row r="16" customFormat="false" ht="15" hidden="false" customHeight="false" outlineLevel="0" collapsed="false">
      <c r="A16" s="8" t="n">
        <v>15</v>
      </c>
      <c r="B16" s="8" t="s">
        <v>10695</v>
      </c>
      <c r="C16" s="8" t="s">
        <v>10675</v>
      </c>
      <c r="D16" s="8" t="s">
        <v>5643</v>
      </c>
      <c r="E16" s="8" t="s">
        <v>5644</v>
      </c>
      <c r="F16" s="8" t="s">
        <v>495</v>
      </c>
      <c r="G16" s="8" t="s">
        <v>496</v>
      </c>
      <c r="H16" s="8" t="s">
        <v>112</v>
      </c>
      <c r="I16" s="8" t="s">
        <v>6597</v>
      </c>
      <c r="J16" s="8" t="s">
        <v>6598</v>
      </c>
      <c r="K16" s="8" t="s">
        <v>3990</v>
      </c>
      <c r="L16" s="8" t="s">
        <v>3828</v>
      </c>
      <c r="M16" s="8" t="s">
        <v>364</v>
      </c>
      <c r="N16" s="8" t="s">
        <v>108</v>
      </c>
    </row>
    <row r="17" customFormat="false" ht="15" hidden="false" customHeight="false" outlineLevel="0" collapsed="false">
      <c r="A17" s="8" t="n">
        <v>16</v>
      </c>
      <c r="B17" s="8" t="s">
        <v>10696</v>
      </c>
      <c r="C17" s="8" t="s">
        <v>10677</v>
      </c>
      <c r="D17" s="8" t="s">
        <v>4462</v>
      </c>
      <c r="E17" s="8" t="s">
        <v>4463</v>
      </c>
      <c r="F17" s="8" t="s">
        <v>2144</v>
      </c>
      <c r="G17" s="8" t="s">
        <v>2145</v>
      </c>
      <c r="H17" s="8" t="s">
        <v>103</v>
      </c>
      <c r="I17" s="8" t="s">
        <v>6152</v>
      </c>
      <c r="J17" s="8" t="s">
        <v>6153</v>
      </c>
      <c r="K17" s="8" t="s">
        <v>5172</v>
      </c>
      <c r="L17" s="8" t="s">
        <v>5046</v>
      </c>
      <c r="M17" s="8" t="s">
        <v>1100</v>
      </c>
      <c r="N17" s="8" t="s">
        <v>105</v>
      </c>
    </row>
    <row r="18" customFormat="false" ht="15" hidden="false" customHeight="false" outlineLevel="0" collapsed="false">
      <c r="A18" s="8" t="n">
        <v>17</v>
      </c>
      <c r="B18" s="8" t="s">
        <v>10697</v>
      </c>
      <c r="C18" s="8" t="s">
        <v>10679</v>
      </c>
      <c r="D18" s="8" t="s">
        <v>5343</v>
      </c>
      <c r="E18" s="8" t="s">
        <v>5344</v>
      </c>
      <c r="F18" s="8" t="s">
        <v>1499</v>
      </c>
      <c r="G18" s="8" t="s">
        <v>1500</v>
      </c>
      <c r="H18" s="8" t="s">
        <v>114</v>
      </c>
      <c r="I18" s="8" t="s">
        <v>6984</v>
      </c>
      <c r="J18" s="8" t="s">
        <v>6985</v>
      </c>
      <c r="K18" s="8" t="s">
        <v>4183</v>
      </c>
      <c r="L18" s="8" t="s">
        <v>4081</v>
      </c>
      <c r="M18" s="8" t="s">
        <v>948</v>
      </c>
      <c r="N18" s="8" t="s">
        <v>104</v>
      </c>
    </row>
    <row r="19" customFormat="false" ht="15" hidden="false" customHeight="false" outlineLevel="0" collapsed="false">
      <c r="A19" s="8" t="n">
        <v>18</v>
      </c>
      <c r="B19" s="8" t="s">
        <v>10698</v>
      </c>
      <c r="C19" s="8" t="s">
        <v>10681</v>
      </c>
      <c r="D19" s="8" t="s">
        <v>4542</v>
      </c>
      <c r="E19" s="8" t="s">
        <v>4543</v>
      </c>
      <c r="F19" s="8" t="s">
        <v>1407</v>
      </c>
      <c r="G19" s="8" t="s">
        <v>1408</v>
      </c>
      <c r="H19" s="8" t="s">
        <v>109</v>
      </c>
      <c r="I19" s="8" t="s">
        <v>6855</v>
      </c>
      <c r="J19" s="8" t="s">
        <v>6856</v>
      </c>
      <c r="K19" s="8" t="s">
        <v>5676</v>
      </c>
      <c r="L19" s="8" t="s">
        <v>5609</v>
      </c>
      <c r="M19" s="8" t="s">
        <v>1228</v>
      </c>
      <c r="N19" s="8" t="s">
        <v>105</v>
      </c>
    </row>
    <row r="20" customFormat="false" ht="15" hidden="false" customHeight="false" outlineLevel="0" collapsed="false">
      <c r="A20" s="8" t="n">
        <v>19</v>
      </c>
      <c r="B20" s="8" t="s">
        <v>10699</v>
      </c>
      <c r="C20" s="8" t="s">
        <v>10683</v>
      </c>
      <c r="D20" s="8" t="s">
        <v>5227</v>
      </c>
      <c r="E20" s="8" t="s">
        <v>5228</v>
      </c>
      <c r="F20" s="8" t="s">
        <v>282</v>
      </c>
      <c r="G20" s="8" t="s">
        <v>283</v>
      </c>
      <c r="H20" s="8" t="s">
        <v>110</v>
      </c>
      <c r="I20" s="8" t="s">
        <v>7120</v>
      </c>
      <c r="J20" s="8" t="s">
        <v>7121</v>
      </c>
      <c r="K20" s="8" t="s">
        <v>5235</v>
      </c>
      <c r="L20" s="8" t="s">
        <v>5046</v>
      </c>
      <c r="M20" s="8" t="s">
        <v>1588</v>
      </c>
      <c r="N20" s="8" t="s">
        <v>106</v>
      </c>
    </row>
    <row r="21" customFormat="false" ht="15" hidden="false" customHeight="false" outlineLevel="0" collapsed="false">
      <c r="A21" s="8" t="n">
        <v>20</v>
      </c>
      <c r="B21" s="8" t="s">
        <v>10700</v>
      </c>
      <c r="C21" s="8" t="s">
        <v>10685</v>
      </c>
      <c r="D21" s="8" t="s">
        <v>4035</v>
      </c>
      <c r="E21" s="8" t="s">
        <v>4036</v>
      </c>
      <c r="F21" s="8" t="s">
        <v>1425</v>
      </c>
      <c r="G21" s="8" t="s">
        <v>1426</v>
      </c>
      <c r="H21" s="8" t="s">
        <v>109</v>
      </c>
      <c r="I21" s="8" t="s">
        <v>6265</v>
      </c>
      <c r="J21" s="8" t="s">
        <v>6266</v>
      </c>
      <c r="K21" s="8" t="s">
        <v>4163</v>
      </c>
      <c r="L21" s="8" t="s">
        <v>4081</v>
      </c>
      <c r="M21" s="8" t="s">
        <v>647</v>
      </c>
      <c r="N21" s="8" t="s">
        <v>115</v>
      </c>
    </row>
    <row r="22" customFormat="false" ht="15" hidden="false" customHeight="false" outlineLevel="0" collapsed="false">
      <c r="A22" s="8" t="n">
        <v>21</v>
      </c>
      <c r="B22" s="8" t="s">
        <v>10701</v>
      </c>
      <c r="C22" s="8" t="s">
        <v>10687</v>
      </c>
      <c r="D22" s="8" t="s">
        <v>2176</v>
      </c>
      <c r="E22" s="8" t="s">
        <v>2177</v>
      </c>
      <c r="F22" s="8" t="s">
        <v>1048</v>
      </c>
      <c r="G22" s="8" t="s">
        <v>1049</v>
      </c>
      <c r="H22" s="8" t="s">
        <v>105</v>
      </c>
      <c r="I22" s="8" t="s">
        <v>6110</v>
      </c>
      <c r="J22" s="8" t="s">
        <v>6111</v>
      </c>
      <c r="K22" s="8" t="s">
        <v>5486</v>
      </c>
      <c r="L22" s="8" t="s">
        <v>5478</v>
      </c>
      <c r="M22" s="8" t="s">
        <v>850</v>
      </c>
      <c r="N22" s="8" t="s">
        <v>104</v>
      </c>
    </row>
    <row r="23" customFormat="false" ht="15" hidden="false" customHeight="false" outlineLevel="0" collapsed="false">
      <c r="A23" s="8" t="n">
        <v>22</v>
      </c>
      <c r="B23" s="8" t="s">
        <v>10702</v>
      </c>
      <c r="C23" s="8" t="s">
        <v>10675</v>
      </c>
      <c r="D23" s="8" t="s">
        <v>5607</v>
      </c>
      <c r="E23" s="8" t="s">
        <v>5608</v>
      </c>
      <c r="F23" s="8" t="s">
        <v>2176</v>
      </c>
      <c r="G23" s="8" t="s">
        <v>2177</v>
      </c>
      <c r="H23" s="8" t="s">
        <v>103</v>
      </c>
      <c r="I23" s="8" t="s">
        <v>6844</v>
      </c>
      <c r="J23" s="8" t="s">
        <v>6845</v>
      </c>
      <c r="K23" s="8" t="s">
        <v>4672</v>
      </c>
      <c r="L23" s="8" t="s">
        <v>4613</v>
      </c>
      <c r="M23" s="8" t="s">
        <v>696</v>
      </c>
      <c r="N23" s="8" t="s">
        <v>111</v>
      </c>
    </row>
    <row r="24" customFormat="false" ht="15" hidden="false" customHeight="false" outlineLevel="0" collapsed="false">
      <c r="A24" s="8" t="n">
        <v>23</v>
      </c>
      <c r="B24" s="8" t="s">
        <v>10703</v>
      </c>
      <c r="C24" s="8" t="s">
        <v>10677</v>
      </c>
      <c r="D24" s="8" t="s">
        <v>5619</v>
      </c>
      <c r="E24" s="8" t="s">
        <v>5620</v>
      </c>
      <c r="F24" s="8" t="s">
        <v>450</v>
      </c>
      <c r="G24" s="8" t="s">
        <v>451</v>
      </c>
      <c r="H24" s="8" t="s">
        <v>108</v>
      </c>
      <c r="I24" s="8" t="s">
        <v>6122</v>
      </c>
      <c r="J24" s="8" t="s">
        <v>6123</v>
      </c>
      <c r="K24" s="8" t="s">
        <v>3166</v>
      </c>
      <c r="L24" s="8" t="s">
        <v>3137</v>
      </c>
      <c r="M24" s="8" t="s">
        <v>1756</v>
      </c>
      <c r="N24" s="8" t="s">
        <v>119</v>
      </c>
    </row>
    <row r="25" customFormat="false" ht="15" hidden="false" customHeight="false" outlineLevel="0" collapsed="false">
      <c r="A25" s="8" t="n">
        <v>24</v>
      </c>
      <c r="B25" s="8" t="s">
        <v>10704</v>
      </c>
      <c r="C25" s="8" t="s">
        <v>10679</v>
      </c>
      <c r="D25" s="8" t="s">
        <v>2839</v>
      </c>
      <c r="E25" s="8" t="s">
        <v>2840</v>
      </c>
      <c r="F25" s="8" t="s">
        <v>1293</v>
      </c>
      <c r="G25" s="8" t="s">
        <v>1294</v>
      </c>
      <c r="H25" s="8" t="s">
        <v>107</v>
      </c>
      <c r="I25" s="8" t="s">
        <v>6168</v>
      </c>
      <c r="J25" s="8" t="s">
        <v>6169</v>
      </c>
      <c r="K25" s="8" t="s">
        <v>2817</v>
      </c>
      <c r="L25" s="8" t="s">
        <v>2532</v>
      </c>
      <c r="M25" s="8" t="s">
        <v>1656</v>
      </c>
      <c r="N25" s="8" t="s">
        <v>106</v>
      </c>
    </row>
    <row r="26" customFormat="false" ht="15" hidden="false" customHeight="false" outlineLevel="0" collapsed="false">
      <c r="A26" s="8" t="n">
        <v>25</v>
      </c>
      <c r="B26" s="8" t="s">
        <v>10705</v>
      </c>
      <c r="C26" s="8" t="s">
        <v>10681</v>
      </c>
      <c r="D26" s="8" t="s">
        <v>5801</v>
      </c>
      <c r="E26" s="8" t="s">
        <v>5802</v>
      </c>
      <c r="F26" s="8" t="s">
        <v>1866</v>
      </c>
      <c r="G26" s="8" t="s">
        <v>1867</v>
      </c>
      <c r="H26" s="8" t="s">
        <v>124</v>
      </c>
      <c r="I26" s="8" t="s">
        <v>6637</v>
      </c>
      <c r="J26" s="8" t="s">
        <v>6638</v>
      </c>
      <c r="K26" s="8" t="s">
        <v>3921</v>
      </c>
      <c r="L26" s="8" t="s">
        <v>3828</v>
      </c>
      <c r="M26" s="8" t="s">
        <v>1509</v>
      </c>
      <c r="N26" s="8" t="s">
        <v>114</v>
      </c>
    </row>
    <row r="27" customFormat="false" ht="15" hidden="false" customHeight="false" outlineLevel="0" collapsed="false">
      <c r="A27" s="8" t="n">
        <v>26</v>
      </c>
      <c r="B27" s="8" t="s">
        <v>10706</v>
      </c>
      <c r="C27" s="8" t="s">
        <v>10683</v>
      </c>
      <c r="D27" s="8" t="s">
        <v>3115</v>
      </c>
      <c r="E27" s="8" t="s">
        <v>3116</v>
      </c>
      <c r="F27" s="8" t="s">
        <v>2185</v>
      </c>
      <c r="G27" s="8" t="s">
        <v>2186</v>
      </c>
      <c r="H27" s="8" t="s">
        <v>103</v>
      </c>
      <c r="I27" s="8" t="s">
        <v>7192</v>
      </c>
      <c r="J27" s="8" t="s">
        <v>7193</v>
      </c>
      <c r="K27" s="8" t="s">
        <v>4888</v>
      </c>
      <c r="L27" s="8" t="s">
        <v>4890</v>
      </c>
      <c r="M27" s="8" t="s">
        <v>1195</v>
      </c>
      <c r="N27" s="8" t="s">
        <v>105</v>
      </c>
    </row>
    <row r="28" customFormat="false" ht="15" hidden="false" customHeight="false" outlineLevel="0" collapsed="false">
      <c r="A28" s="8" t="n">
        <v>27</v>
      </c>
      <c r="B28" s="8" t="s">
        <v>10707</v>
      </c>
      <c r="C28" s="8" t="s">
        <v>10685</v>
      </c>
      <c r="D28" s="8" t="s">
        <v>3385</v>
      </c>
      <c r="E28" s="8" t="s">
        <v>3386</v>
      </c>
      <c r="F28" s="8" t="s">
        <v>1509</v>
      </c>
      <c r="G28" s="8" t="s">
        <v>1510</v>
      </c>
      <c r="H28" s="8" t="s">
        <v>114</v>
      </c>
      <c r="I28" s="8" t="s">
        <v>6440</v>
      </c>
      <c r="J28" s="8" t="s">
        <v>6441</v>
      </c>
      <c r="K28" s="8" t="s">
        <v>3050</v>
      </c>
      <c r="L28" s="8" t="s">
        <v>2859</v>
      </c>
      <c r="M28" s="8" t="s">
        <v>1677</v>
      </c>
      <c r="N28" s="8" t="s">
        <v>106</v>
      </c>
    </row>
    <row r="29" customFormat="false" ht="15" hidden="false" customHeight="false" outlineLevel="0" collapsed="false">
      <c r="A29" s="8" t="n">
        <v>28</v>
      </c>
      <c r="B29" s="8" t="s">
        <v>10708</v>
      </c>
      <c r="C29" s="8" t="s">
        <v>10687</v>
      </c>
      <c r="D29" s="8" t="s">
        <v>833</v>
      </c>
      <c r="E29" s="8" t="s">
        <v>834</v>
      </c>
      <c r="F29" s="8" t="s">
        <v>1779</v>
      </c>
      <c r="G29" s="8" t="s">
        <v>1780</v>
      </c>
      <c r="H29" s="8" t="s">
        <v>122</v>
      </c>
      <c r="I29" s="8" t="s">
        <v>5994</v>
      </c>
      <c r="J29" s="8" t="s">
        <v>5995</v>
      </c>
      <c r="K29" s="8" t="s">
        <v>3433</v>
      </c>
      <c r="L29" s="8" t="s">
        <v>3435</v>
      </c>
      <c r="M29" s="8" t="s">
        <v>1398</v>
      </c>
      <c r="N29" s="8" t="s">
        <v>109</v>
      </c>
    </row>
    <row r="30" customFormat="false" ht="15" hidden="false" customHeight="false" outlineLevel="0" collapsed="false">
      <c r="A30" s="8" t="n">
        <v>29</v>
      </c>
      <c r="B30" s="8" t="s">
        <v>10709</v>
      </c>
      <c r="C30" s="8" t="s">
        <v>10675</v>
      </c>
      <c r="D30" s="8" t="s">
        <v>5486</v>
      </c>
      <c r="E30" s="8" t="s">
        <v>5487</v>
      </c>
      <c r="F30" s="8" t="s">
        <v>958</v>
      </c>
      <c r="G30" s="8" t="s">
        <v>959</v>
      </c>
      <c r="H30" s="8" t="s">
        <v>104</v>
      </c>
      <c r="I30" s="8" t="s">
        <v>6733</v>
      </c>
      <c r="J30" s="8" t="s">
        <v>6734</v>
      </c>
      <c r="K30" s="8" t="s">
        <v>2530</v>
      </c>
      <c r="L30" s="8" t="s">
        <v>2532</v>
      </c>
      <c r="M30" s="8" t="s">
        <v>2449</v>
      </c>
      <c r="N30" s="8" t="s">
        <v>105</v>
      </c>
    </row>
    <row r="31" customFormat="false" ht="15" hidden="false" customHeight="false" outlineLevel="0" collapsed="false">
      <c r="A31" s="8" t="n">
        <v>30</v>
      </c>
      <c r="B31" s="8" t="s">
        <v>10710</v>
      </c>
      <c r="C31" s="8" t="s">
        <v>10677</v>
      </c>
      <c r="D31" s="8" t="s">
        <v>225</v>
      </c>
      <c r="E31" s="8" t="s">
        <v>226</v>
      </c>
      <c r="F31" s="8" t="s">
        <v>1819</v>
      </c>
      <c r="G31" s="8" t="s">
        <v>1820</v>
      </c>
      <c r="H31" s="8" t="s">
        <v>117</v>
      </c>
      <c r="I31" s="8" t="s">
        <v>6768</v>
      </c>
      <c r="J31" s="8" t="s">
        <v>6769</v>
      </c>
      <c r="K31" s="8" t="s">
        <v>4323</v>
      </c>
      <c r="L31" s="8" t="s">
        <v>4325</v>
      </c>
      <c r="M31" s="8" t="s">
        <v>343</v>
      </c>
      <c r="N31" s="8" t="s">
        <v>108</v>
      </c>
    </row>
    <row r="32" customFormat="false" ht="15" hidden="false" customHeight="false" outlineLevel="0" collapsed="false">
      <c r="A32" s="8" t="n">
        <v>31</v>
      </c>
      <c r="B32" s="8" t="s">
        <v>10711</v>
      </c>
      <c r="C32" s="8" t="s">
        <v>10679</v>
      </c>
      <c r="D32" s="8" t="s">
        <v>2697</v>
      </c>
      <c r="E32" s="8" t="s">
        <v>2698</v>
      </c>
      <c r="F32" s="8" t="s">
        <v>2021</v>
      </c>
      <c r="G32" s="8" t="s">
        <v>2022</v>
      </c>
      <c r="H32" s="8" t="s">
        <v>103</v>
      </c>
      <c r="I32" s="8" t="s">
        <v>6431</v>
      </c>
      <c r="J32" s="8" t="s">
        <v>6432</v>
      </c>
      <c r="K32" s="8" t="s">
        <v>5948</v>
      </c>
      <c r="L32" s="8" t="s">
        <v>5046</v>
      </c>
      <c r="M32" s="8" t="s">
        <v>2506</v>
      </c>
      <c r="N32" s="8" t="s">
        <v>105</v>
      </c>
    </row>
    <row r="33" customFormat="false" ht="15" hidden="false" customHeight="false" outlineLevel="0" collapsed="false">
      <c r="A33" s="8" t="n">
        <v>32</v>
      </c>
      <c r="B33" s="8" t="s">
        <v>10712</v>
      </c>
      <c r="C33" s="8" t="s">
        <v>10681</v>
      </c>
      <c r="D33" s="8" t="s">
        <v>4961</v>
      </c>
      <c r="E33" s="8" t="s">
        <v>4962</v>
      </c>
      <c r="F33" s="8" t="s">
        <v>2506</v>
      </c>
      <c r="G33" s="8" t="s">
        <v>2507</v>
      </c>
      <c r="H33" s="8" t="s">
        <v>105</v>
      </c>
      <c r="I33" s="8" t="s">
        <v>7046</v>
      </c>
      <c r="J33" s="8" t="s">
        <v>7047</v>
      </c>
      <c r="K33" s="8" t="s">
        <v>3710</v>
      </c>
      <c r="L33" s="8" t="s">
        <v>3653</v>
      </c>
      <c r="M33" s="8" t="s">
        <v>1572</v>
      </c>
      <c r="N33" s="8" t="s">
        <v>113</v>
      </c>
    </row>
    <row r="34" customFormat="false" ht="15" hidden="false" customHeight="false" outlineLevel="0" collapsed="false">
      <c r="A34" s="8" t="n">
        <v>33</v>
      </c>
      <c r="B34" s="8" t="s">
        <v>10713</v>
      </c>
      <c r="C34" s="8" t="s">
        <v>10683</v>
      </c>
      <c r="D34" s="8" t="s">
        <v>4888</v>
      </c>
      <c r="E34" s="8" t="s">
        <v>4889</v>
      </c>
      <c r="F34" s="8" t="s">
        <v>1637</v>
      </c>
      <c r="G34" s="8" t="s">
        <v>1638</v>
      </c>
      <c r="H34" s="8" t="s">
        <v>106</v>
      </c>
      <c r="I34" s="8" t="s">
        <v>6665</v>
      </c>
      <c r="J34" s="8" t="s">
        <v>6666</v>
      </c>
      <c r="K34" s="8" t="s">
        <v>3115</v>
      </c>
      <c r="L34" s="8" t="s">
        <v>2859</v>
      </c>
      <c r="M34" s="8" t="s">
        <v>1819</v>
      </c>
      <c r="N34" s="8" t="s">
        <v>117</v>
      </c>
    </row>
    <row r="35" customFormat="false" ht="15" hidden="false" customHeight="false" outlineLevel="0" collapsed="false">
      <c r="A35" s="8" t="n">
        <v>34</v>
      </c>
      <c r="B35" s="8" t="s">
        <v>10714</v>
      </c>
      <c r="C35" s="8" t="s">
        <v>10685</v>
      </c>
      <c r="D35" s="8" t="s">
        <v>5333</v>
      </c>
      <c r="E35" s="8" t="s">
        <v>5334</v>
      </c>
      <c r="F35" s="8" t="s">
        <v>1369</v>
      </c>
      <c r="G35" s="8" t="s">
        <v>1370</v>
      </c>
      <c r="H35" s="8" t="s">
        <v>107</v>
      </c>
      <c r="I35" s="8" t="s">
        <v>6450</v>
      </c>
      <c r="J35" s="8" t="s">
        <v>6451</v>
      </c>
      <c r="K35" s="8" t="s">
        <v>5753</v>
      </c>
      <c r="L35" s="8" t="s">
        <v>5747</v>
      </c>
      <c r="M35" s="8" t="s">
        <v>881</v>
      </c>
      <c r="N35" s="8" t="s">
        <v>104</v>
      </c>
    </row>
    <row r="36" customFormat="false" ht="15" hidden="false" customHeight="false" outlineLevel="0" collapsed="false">
      <c r="A36" s="8" t="n">
        <v>35</v>
      </c>
      <c r="B36" s="8" t="s">
        <v>10715</v>
      </c>
      <c r="C36" s="8" t="s">
        <v>10687</v>
      </c>
      <c r="D36" s="8" t="s">
        <v>2951</v>
      </c>
      <c r="E36" s="8" t="s">
        <v>2952</v>
      </c>
      <c r="F36" s="8" t="s">
        <v>2360</v>
      </c>
      <c r="G36" s="8" t="s">
        <v>2361</v>
      </c>
      <c r="H36" s="8" t="s">
        <v>106</v>
      </c>
      <c r="I36" s="8" t="s">
        <v>6937</v>
      </c>
      <c r="J36" s="8" t="s">
        <v>6938</v>
      </c>
      <c r="K36" s="8" t="s">
        <v>4899</v>
      </c>
      <c r="L36" s="8" t="s">
        <v>4901</v>
      </c>
      <c r="M36" s="8" t="s">
        <v>607</v>
      </c>
      <c r="N36" s="8" t="s">
        <v>115</v>
      </c>
    </row>
    <row r="37" customFormat="false" ht="15" hidden="false" customHeight="false" outlineLevel="0" collapsed="false">
      <c r="A37" s="8" t="n">
        <v>36</v>
      </c>
      <c r="B37" s="8" t="s">
        <v>10716</v>
      </c>
      <c r="C37" s="8" t="s">
        <v>10675</v>
      </c>
      <c r="D37" s="8" t="s">
        <v>430</v>
      </c>
      <c r="E37" s="8" t="s">
        <v>431</v>
      </c>
      <c r="F37" s="8" t="s">
        <v>1346</v>
      </c>
      <c r="G37" s="8" t="s">
        <v>1347</v>
      </c>
      <c r="H37" s="8" t="s">
        <v>107</v>
      </c>
      <c r="I37" s="8" t="s">
        <v>7127</v>
      </c>
      <c r="J37" s="8" t="s">
        <v>7128</v>
      </c>
      <c r="K37" s="8" t="s">
        <v>5086</v>
      </c>
      <c r="L37" s="8" t="s">
        <v>5046</v>
      </c>
      <c r="M37" s="8" t="s">
        <v>495</v>
      </c>
      <c r="N37" s="8" t="s">
        <v>112</v>
      </c>
    </row>
    <row r="38" customFormat="false" ht="15" hidden="false" customHeight="false" outlineLevel="0" collapsed="false">
      <c r="A38" s="8" t="n">
        <v>37</v>
      </c>
      <c r="B38" s="8" t="s">
        <v>10717</v>
      </c>
      <c r="C38" s="8" t="s">
        <v>10677</v>
      </c>
      <c r="D38" s="8" t="s">
        <v>4996</v>
      </c>
      <c r="E38" s="8" t="s">
        <v>4997</v>
      </c>
      <c r="F38" s="8" t="s">
        <v>1994</v>
      </c>
      <c r="G38" s="8" t="s">
        <v>1995</v>
      </c>
      <c r="H38" s="8" t="s">
        <v>103</v>
      </c>
      <c r="I38" s="8" t="s">
        <v>6382</v>
      </c>
      <c r="J38" s="8" t="s">
        <v>6383</v>
      </c>
      <c r="K38" s="8" t="s">
        <v>3506</v>
      </c>
      <c r="L38" s="8" t="s">
        <v>3508</v>
      </c>
      <c r="M38" s="8" t="s">
        <v>799</v>
      </c>
      <c r="N38" s="8" t="s">
        <v>104</v>
      </c>
    </row>
    <row r="39" customFormat="false" ht="15" hidden="false" customHeight="false" outlineLevel="0" collapsed="false">
      <c r="A39" s="8" t="n">
        <v>38</v>
      </c>
      <c r="B39" s="8" t="s">
        <v>10718</v>
      </c>
      <c r="C39" s="8" t="s">
        <v>10679</v>
      </c>
      <c r="D39" s="8" t="s">
        <v>5697</v>
      </c>
      <c r="E39" s="8" t="s">
        <v>5698</v>
      </c>
      <c r="F39" s="8" t="s">
        <v>1666</v>
      </c>
      <c r="G39" s="8" t="s">
        <v>1667</v>
      </c>
      <c r="H39" s="8" t="s">
        <v>106</v>
      </c>
      <c r="I39" s="8" t="s">
        <v>6160</v>
      </c>
      <c r="J39" s="8" t="s">
        <v>6161</v>
      </c>
      <c r="K39" s="8" t="s">
        <v>3097</v>
      </c>
      <c r="L39" s="8" t="s">
        <v>2859</v>
      </c>
      <c r="M39" s="8" t="s">
        <v>729</v>
      </c>
      <c r="N39" s="8" t="s">
        <v>111</v>
      </c>
    </row>
    <row r="40" customFormat="false" ht="15" hidden="false" customHeight="false" outlineLevel="0" collapsed="false">
      <c r="A40" s="8" t="n">
        <v>39</v>
      </c>
      <c r="B40" s="8" t="s">
        <v>10719</v>
      </c>
      <c r="C40" s="8" t="s">
        <v>10681</v>
      </c>
      <c r="D40" s="8" t="s">
        <v>5496</v>
      </c>
      <c r="E40" s="8" t="s">
        <v>5497</v>
      </c>
      <c r="F40" s="8" t="s">
        <v>1556</v>
      </c>
      <c r="G40" s="8" t="s">
        <v>1557</v>
      </c>
      <c r="H40" s="8" t="s">
        <v>113</v>
      </c>
      <c r="I40" s="8" t="s">
        <v>6223</v>
      </c>
      <c r="J40" s="8" t="s">
        <v>6224</v>
      </c>
      <c r="K40" s="8" t="s">
        <v>5860</v>
      </c>
      <c r="L40" s="8" t="s">
        <v>5862</v>
      </c>
      <c r="M40" s="8" t="s">
        <v>440</v>
      </c>
      <c r="N40" s="8" t="s">
        <v>108</v>
      </c>
    </row>
    <row r="41" customFormat="false" ht="15" hidden="false" customHeight="false" outlineLevel="0" collapsed="false">
      <c r="A41" s="8" t="n">
        <v>40</v>
      </c>
      <c r="B41" s="8" t="s">
        <v>10720</v>
      </c>
      <c r="C41" s="8" t="s">
        <v>10683</v>
      </c>
      <c r="D41" s="8" t="s">
        <v>1346</v>
      </c>
      <c r="E41" s="8" t="s">
        <v>1347</v>
      </c>
      <c r="F41" s="8" t="s">
        <v>1588</v>
      </c>
      <c r="G41" s="8" t="s">
        <v>1589</v>
      </c>
      <c r="H41" s="8" t="s">
        <v>106</v>
      </c>
      <c r="I41" s="8" t="s">
        <v>6919</v>
      </c>
      <c r="J41" s="8" t="s">
        <v>6920</v>
      </c>
      <c r="K41" s="8" t="s">
        <v>2880</v>
      </c>
      <c r="L41" s="8" t="s">
        <v>2859</v>
      </c>
      <c r="M41" s="8" t="s">
        <v>1692</v>
      </c>
      <c r="N41" s="8" t="s">
        <v>106</v>
      </c>
    </row>
    <row r="42" customFormat="false" ht="15" hidden="false" customHeight="false" outlineLevel="0" collapsed="false">
      <c r="A42" s="8" t="n">
        <v>41</v>
      </c>
      <c r="B42" s="8" t="s">
        <v>10721</v>
      </c>
      <c r="C42" s="8" t="s">
        <v>10685</v>
      </c>
      <c r="D42" s="8" t="s">
        <v>5753</v>
      </c>
      <c r="E42" s="8" t="s">
        <v>5754</v>
      </c>
      <c r="F42" s="8" t="s">
        <v>507</v>
      </c>
      <c r="G42" s="8" t="s">
        <v>508</v>
      </c>
      <c r="H42" s="8" t="s">
        <v>112</v>
      </c>
      <c r="I42" s="8" t="s">
        <v>6133</v>
      </c>
      <c r="J42" s="8" t="s">
        <v>6134</v>
      </c>
      <c r="K42" s="8" t="s">
        <v>3209</v>
      </c>
      <c r="L42" s="8" t="s">
        <v>3137</v>
      </c>
      <c r="M42" s="8" t="s">
        <v>1499</v>
      </c>
      <c r="N42" s="8" t="s">
        <v>114</v>
      </c>
    </row>
    <row r="43" customFormat="false" ht="15" hidden="false" customHeight="false" outlineLevel="0" collapsed="false">
      <c r="A43" s="8" t="n">
        <v>42</v>
      </c>
      <c r="B43" s="8" t="s">
        <v>10722</v>
      </c>
      <c r="C43" s="8" t="s">
        <v>10687</v>
      </c>
      <c r="D43" s="8" t="s">
        <v>2545</v>
      </c>
      <c r="E43" s="8" t="s">
        <v>2546</v>
      </c>
      <c r="F43" s="8" t="s">
        <v>2439</v>
      </c>
      <c r="G43" s="8" t="s">
        <v>2440</v>
      </c>
      <c r="H43" s="8" t="s">
        <v>103</v>
      </c>
      <c r="I43" s="8" t="s">
        <v>6540</v>
      </c>
      <c r="J43" s="8" t="s">
        <v>6541</v>
      </c>
      <c r="K43" s="8" t="s">
        <v>4240</v>
      </c>
      <c r="L43" s="8" t="s">
        <v>4081</v>
      </c>
      <c r="M43" s="8" t="s">
        <v>572</v>
      </c>
      <c r="N43" s="8" t="s">
        <v>118</v>
      </c>
    </row>
    <row r="44" customFormat="false" ht="15" hidden="false" customHeight="false" outlineLevel="0" collapsed="false">
      <c r="A44" s="8" t="n">
        <v>43</v>
      </c>
      <c r="B44" s="8" t="s">
        <v>10723</v>
      </c>
      <c r="C44" s="8" t="s">
        <v>10675</v>
      </c>
      <c r="D44" s="8" t="s">
        <v>4110</v>
      </c>
      <c r="E44" s="8" t="s">
        <v>4111</v>
      </c>
      <c r="F44" s="8" t="s">
        <v>1756</v>
      </c>
      <c r="G44" s="8" t="s">
        <v>1757</v>
      </c>
      <c r="H44" s="8" t="s">
        <v>119</v>
      </c>
      <c r="I44" s="8" t="s">
        <v>7107</v>
      </c>
      <c r="J44" s="8" t="s">
        <v>7108</v>
      </c>
      <c r="K44" s="8" t="s">
        <v>5403</v>
      </c>
      <c r="L44" s="8" t="s">
        <v>5405</v>
      </c>
      <c r="M44" s="8" t="s">
        <v>1048</v>
      </c>
      <c r="N44" s="8" t="s">
        <v>105</v>
      </c>
    </row>
    <row r="45" customFormat="false" ht="15" hidden="false" customHeight="false" outlineLevel="0" collapsed="false">
      <c r="A45" s="8" t="n">
        <v>44</v>
      </c>
      <c r="B45" s="8" t="s">
        <v>10724</v>
      </c>
      <c r="C45" s="8" t="s">
        <v>10677</v>
      </c>
      <c r="D45" s="8" t="s">
        <v>2857</v>
      </c>
      <c r="E45" s="8" t="s">
        <v>2858</v>
      </c>
      <c r="F45" s="8" t="s">
        <v>315</v>
      </c>
      <c r="G45" s="8" t="s">
        <v>316</v>
      </c>
      <c r="H45" s="8" t="s">
        <v>110</v>
      </c>
      <c r="I45" s="8" t="s">
        <v>6701</v>
      </c>
      <c r="J45" s="8" t="s">
        <v>6702</v>
      </c>
      <c r="K45" s="8" t="s">
        <v>4765</v>
      </c>
      <c r="L45" s="8" t="s">
        <v>4768</v>
      </c>
      <c r="M45" s="8" t="s">
        <v>833</v>
      </c>
      <c r="N45" s="8" t="s">
        <v>104</v>
      </c>
    </row>
    <row r="46" customFormat="false" ht="15" hidden="false" customHeight="false" outlineLevel="0" collapsed="false">
      <c r="A46" s="8" t="n">
        <v>45</v>
      </c>
      <c r="B46" s="8" t="s">
        <v>10725</v>
      </c>
      <c r="C46" s="8" t="s">
        <v>10679</v>
      </c>
      <c r="D46" s="8" t="s">
        <v>5734</v>
      </c>
      <c r="E46" s="8" t="s">
        <v>5735</v>
      </c>
      <c r="F46" s="8" t="s">
        <v>1228</v>
      </c>
      <c r="G46" s="8" t="s">
        <v>1229</v>
      </c>
      <c r="H46" s="8" t="s">
        <v>105</v>
      </c>
      <c r="I46" s="8" t="s">
        <v>6295</v>
      </c>
      <c r="J46" s="8" t="s">
        <v>6296</v>
      </c>
      <c r="K46" s="8" t="s">
        <v>4501</v>
      </c>
      <c r="L46" s="8" t="s">
        <v>4448</v>
      </c>
      <c r="M46" s="8" t="s">
        <v>1126</v>
      </c>
      <c r="N46" s="8" t="s">
        <v>105</v>
      </c>
    </row>
    <row r="47" customFormat="false" ht="15" hidden="false" customHeight="false" outlineLevel="0" collapsed="false">
      <c r="A47" s="8" t="n">
        <v>46</v>
      </c>
      <c r="B47" s="8" t="s">
        <v>10726</v>
      </c>
      <c r="C47" s="8" t="s">
        <v>10681</v>
      </c>
      <c r="D47" s="8" t="s">
        <v>3088</v>
      </c>
      <c r="E47" s="8" t="s">
        <v>3089</v>
      </c>
      <c r="F47" s="8" t="s">
        <v>1656</v>
      </c>
      <c r="G47" s="8" t="s">
        <v>1657</v>
      </c>
      <c r="H47" s="8" t="s">
        <v>106</v>
      </c>
      <c r="I47" s="8" t="s">
        <v>6944</v>
      </c>
      <c r="J47" s="8" t="s">
        <v>6945</v>
      </c>
      <c r="K47" s="8" t="s">
        <v>4758</v>
      </c>
      <c r="L47" s="8" t="s">
        <v>4735</v>
      </c>
      <c r="M47" s="8" t="s">
        <v>1529</v>
      </c>
      <c r="N47" s="8" t="s">
        <v>113</v>
      </c>
    </row>
    <row r="48" customFormat="false" ht="15" hidden="false" customHeight="false" outlineLevel="0" collapsed="false">
      <c r="A48" s="8" t="n">
        <v>47</v>
      </c>
      <c r="B48" s="8" t="s">
        <v>10727</v>
      </c>
      <c r="C48" s="8" t="s">
        <v>10683</v>
      </c>
      <c r="D48" s="8" t="s">
        <v>1789</v>
      </c>
      <c r="E48" s="8" t="s">
        <v>1790</v>
      </c>
      <c r="F48" s="8" t="s">
        <v>343</v>
      </c>
      <c r="G48" s="8" t="s">
        <v>344</v>
      </c>
      <c r="H48" s="8" t="s">
        <v>108</v>
      </c>
      <c r="I48" s="8" t="s">
        <v>6055</v>
      </c>
      <c r="J48" s="8" t="s">
        <v>6056</v>
      </c>
      <c r="K48" s="8" t="s">
        <v>2545</v>
      </c>
      <c r="L48" s="8" t="s">
        <v>2532</v>
      </c>
      <c r="M48" s="8" t="s">
        <v>597</v>
      </c>
      <c r="N48" s="8" t="s">
        <v>115</v>
      </c>
    </row>
    <row r="49" customFormat="false" ht="15" hidden="false" customHeight="false" outlineLevel="0" collapsed="false">
      <c r="A49" s="8" t="n">
        <v>48</v>
      </c>
      <c r="B49" s="8" t="s">
        <v>10728</v>
      </c>
      <c r="C49" s="8" t="s">
        <v>10685</v>
      </c>
      <c r="D49" s="8" t="s">
        <v>5352</v>
      </c>
      <c r="E49" s="8" t="s">
        <v>5353</v>
      </c>
      <c r="F49" s="8" t="s">
        <v>707</v>
      </c>
      <c r="G49" s="8" t="s">
        <v>708</v>
      </c>
      <c r="H49" s="8" t="s">
        <v>111</v>
      </c>
      <c r="I49" s="8" t="s">
        <v>6326</v>
      </c>
      <c r="J49" s="8" t="s">
        <v>6327</v>
      </c>
      <c r="K49" s="8" t="s">
        <v>3717</v>
      </c>
      <c r="L49" s="8" t="s">
        <v>3719</v>
      </c>
      <c r="M49" s="8" t="s">
        <v>1884</v>
      </c>
      <c r="N49" s="8" t="s">
        <v>120</v>
      </c>
    </row>
    <row r="50" customFormat="false" ht="15" hidden="false" customHeight="false" outlineLevel="0" collapsed="false">
      <c r="A50" s="8" t="n">
        <v>49</v>
      </c>
      <c r="B50" s="8" t="s">
        <v>10729</v>
      </c>
      <c r="C50" s="8" t="s">
        <v>10687</v>
      </c>
      <c r="D50" s="8" t="s">
        <v>2941</v>
      </c>
      <c r="E50" s="8" t="s">
        <v>2942</v>
      </c>
      <c r="F50" s="8" t="s">
        <v>2093</v>
      </c>
      <c r="G50" s="8" t="s">
        <v>2094</v>
      </c>
      <c r="H50" s="8" t="s">
        <v>103</v>
      </c>
      <c r="I50" s="8" t="s">
        <v>6577</v>
      </c>
      <c r="J50" s="8" t="s">
        <v>6578</v>
      </c>
      <c r="K50" s="8" t="s">
        <v>4343</v>
      </c>
      <c r="L50" s="8" t="s">
        <v>4325</v>
      </c>
      <c r="M50" s="8" t="s">
        <v>430</v>
      </c>
      <c r="N50" s="8" t="s">
        <v>108</v>
      </c>
    </row>
    <row r="51" customFormat="false" ht="15" hidden="false" customHeight="false" outlineLevel="0" collapsed="false">
      <c r="A51" s="8" t="n">
        <v>50</v>
      </c>
      <c r="B51" s="8" t="s">
        <v>10730</v>
      </c>
      <c r="C51" s="8" t="s">
        <v>10675</v>
      </c>
      <c r="D51" s="8" t="s">
        <v>3307</v>
      </c>
      <c r="E51" s="8" t="s">
        <v>3308</v>
      </c>
      <c r="F51" s="8" t="s">
        <v>238</v>
      </c>
      <c r="G51" s="8" t="s">
        <v>239</v>
      </c>
      <c r="H51" s="8" t="s">
        <v>110</v>
      </c>
      <c r="I51" s="8" t="s">
        <v>7089</v>
      </c>
      <c r="J51" s="8" t="s">
        <v>7090</v>
      </c>
      <c r="K51" s="8" t="s">
        <v>2941</v>
      </c>
      <c r="L51" s="8" t="s">
        <v>2859</v>
      </c>
      <c r="M51" s="8" t="s">
        <v>821</v>
      </c>
      <c r="N51" s="8" t="s">
        <v>104</v>
      </c>
    </row>
    <row r="52" customFormat="false" ht="15" hidden="false" customHeight="false" outlineLevel="0" collapsed="false">
      <c r="A52" s="8" t="n">
        <v>51</v>
      </c>
      <c r="B52" s="8" t="s">
        <v>10731</v>
      </c>
      <c r="C52" s="8" t="s">
        <v>10677</v>
      </c>
      <c r="D52" s="8" t="s">
        <v>2467</v>
      </c>
      <c r="E52" s="8" t="s">
        <v>2468</v>
      </c>
      <c r="F52" s="8" t="s">
        <v>1950</v>
      </c>
      <c r="G52" s="8" t="s">
        <v>1951</v>
      </c>
      <c r="H52" s="8" t="s">
        <v>103</v>
      </c>
      <c r="I52" s="8" t="s">
        <v>6654</v>
      </c>
      <c r="J52" s="8" t="s">
        <v>6655</v>
      </c>
      <c r="K52" s="8" t="s">
        <v>3360</v>
      </c>
      <c r="L52" s="8" t="s">
        <v>3309</v>
      </c>
      <c r="M52" s="8" t="s">
        <v>484</v>
      </c>
      <c r="N52" s="8" t="s">
        <v>112</v>
      </c>
    </row>
    <row r="53" customFormat="false" ht="15" hidden="false" customHeight="false" outlineLevel="0" collapsed="false">
      <c r="A53" s="8" t="n">
        <v>52</v>
      </c>
      <c r="B53" s="8" t="s">
        <v>10732</v>
      </c>
      <c r="C53" s="8" t="s">
        <v>10679</v>
      </c>
      <c r="D53" s="8" t="s">
        <v>3256</v>
      </c>
      <c r="E53" s="8" t="s">
        <v>3257</v>
      </c>
      <c r="F53" s="8" t="s">
        <v>1028</v>
      </c>
      <c r="G53" s="8" t="s">
        <v>1029</v>
      </c>
      <c r="H53" s="8" t="s">
        <v>116</v>
      </c>
      <c r="I53" s="8" t="s">
        <v>6647</v>
      </c>
      <c r="J53" s="8" t="s">
        <v>6648</v>
      </c>
      <c r="K53" s="8" t="s">
        <v>3247</v>
      </c>
      <c r="L53" s="8" t="s">
        <v>3137</v>
      </c>
      <c r="M53" s="8" t="s">
        <v>868</v>
      </c>
      <c r="N53" s="8" t="s">
        <v>104</v>
      </c>
    </row>
    <row r="54" customFormat="false" ht="15" hidden="false" customHeight="false" outlineLevel="0" collapsed="false">
      <c r="A54" s="8" t="n">
        <v>53</v>
      </c>
      <c r="B54" s="8" t="s">
        <v>10733</v>
      </c>
      <c r="C54" s="8" t="s">
        <v>10681</v>
      </c>
      <c r="D54" s="8" t="s">
        <v>4150</v>
      </c>
      <c r="E54" s="8" t="s">
        <v>4151</v>
      </c>
      <c r="F54" s="8" t="s">
        <v>1417</v>
      </c>
      <c r="G54" s="8" t="s">
        <v>1418</v>
      </c>
      <c r="H54" s="8" t="s">
        <v>109</v>
      </c>
      <c r="I54" s="8" t="s">
        <v>6718</v>
      </c>
      <c r="J54" s="8" t="s">
        <v>6719</v>
      </c>
      <c r="K54" s="8" t="s">
        <v>2801</v>
      </c>
      <c r="L54" s="8" t="s">
        <v>2532</v>
      </c>
      <c r="M54" s="8" t="s">
        <v>1164</v>
      </c>
      <c r="N54" s="8" t="s">
        <v>105</v>
      </c>
    </row>
    <row r="55" customFormat="false" ht="15" hidden="false" customHeight="false" outlineLevel="0" collapsed="false">
      <c r="A55" s="8" t="n">
        <v>54</v>
      </c>
      <c r="B55" s="8" t="s">
        <v>10734</v>
      </c>
      <c r="C55" s="8" t="s">
        <v>10683</v>
      </c>
      <c r="D55" s="8" t="s">
        <v>3661</v>
      </c>
      <c r="E55" s="8" t="s">
        <v>3662</v>
      </c>
      <c r="F55" s="8" t="s">
        <v>1195</v>
      </c>
      <c r="G55" s="8" t="s">
        <v>1196</v>
      </c>
      <c r="H55" s="8" t="s">
        <v>105</v>
      </c>
      <c r="I55" s="8" t="s">
        <v>6507</v>
      </c>
      <c r="J55" s="8" t="s">
        <v>6508</v>
      </c>
      <c r="K55" s="8" t="s">
        <v>4231</v>
      </c>
      <c r="L55" s="8" t="s">
        <v>4081</v>
      </c>
      <c r="M55" s="8" t="s">
        <v>332</v>
      </c>
      <c r="N55" s="8" t="s">
        <v>108</v>
      </c>
    </row>
    <row r="56" customFormat="false" ht="15" hidden="false" customHeight="false" outlineLevel="0" collapsed="false">
      <c r="A56" s="8" t="n">
        <v>55</v>
      </c>
      <c r="B56" s="8" t="s">
        <v>10735</v>
      </c>
      <c r="C56" s="8" t="s">
        <v>10685</v>
      </c>
      <c r="D56" s="8" t="s">
        <v>5840</v>
      </c>
      <c r="E56" s="8" t="s">
        <v>5841</v>
      </c>
      <c r="F56" s="8" t="s">
        <v>2228</v>
      </c>
      <c r="G56" s="8" t="s">
        <v>2229</v>
      </c>
      <c r="H56" s="8" t="s">
        <v>103</v>
      </c>
      <c r="I56" s="8" t="s">
        <v>6353</v>
      </c>
      <c r="J56" s="8" t="s">
        <v>6354</v>
      </c>
      <c r="K56" s="8" t="s">
        <v>3059</v>
      </c>
      <c r="L56" s="8" t="s">
        <v>2859</v>
      </c>
      <c r="M56" s="8" t="s">
        <v>249</v>
      </c>
      <c r="N56" s="8" t="s">
        <v>110</v>
      </c>
    </row>
    <row r="57" customFormat="false" ht="15" hidden="false" customHeight="false" outlineLevel="0" collapsed="false">
      <c r="A57" s="8" t="n">
        <v>56</v>
      </c>
      <c r="B57" s="8" t="s">
        <v>10736</v>
      </c>
      <c r="C57" s="8" t="s">
        <v>10687</v>
      </c>
      <c r="D57" s="8" t="s">
        <v>3316</v>
      </c>
      <c r="E57" s="8" t="s">
        <v>3317</v>
      </c>
      <c r="F57" s="8" t="s">
        <v>1110</v>
      </c>
      <c r="G57" s="8" t="s">
        <v>1111</v>
      </c>
      <c r="H57" s="8" t="s">
        <v>105</v>
      </c>
      <c r="I57" s="8" t="s">
        <v>6393</v>
      </c>
      <c r="J57" s="8" t="s">
        <v>6394</v>
      </c>
      <c r="K57" s="8" t="s">
        <v>4157</v>
      </c>
      <c r="L57" s="8" t="s">
        <v>4081</v>
      </c>
      <c r="M57" s="8" t="s">
        <v>2360</v>
      </c>
      <c r="N57" s="8" t="s">
        <v>106</v>
      </c>
    </row>
    <row r="58" customFormat="false" ht="15" hidden="false" customHeight="false" outlineLevel="0" collapsed="false">
      <c r="A58" s="8" t="n">
        <v>57</v>
      </c>
      <c r="B58" s="8" t="s">
        <v>10737</v>
      </c>
      <c r="C58" s="8" t="s">
        <v>10675</v>
      </c>
      <c r="D58" s="8" t="s">
        <v>5542</v>
      </c>
      <c r="E58" s="8" t="s">
        <v>5543</v>
      </c>
      <c r="F58" s="8" t="s">
        <v>1608</v>
      </c>
      <c r="G58" s="8" t="s">
        <v>1609</v>
      </c>
      <c r="H58" s="8" t="s">
        <v>106</v>
      </c>
      <c r="I58" s="8" t="s">
        <v>6142</v>
      </c>
      <c r="J58" s="8" t="s">
        <v>6143</v>
      </c>
      <c r="K58" s="8" t="s">
        <v>2713</v>
      </c>
      <c r="L58" s="8" t="s">
        <v>2532</v>
      </c>
      <c r="M58" s="8" t="s">
        <v>420</v>
      </c>
      <c r="N58" s="8" t="s">
        <v>108</v>
      </c>
    </row>
    <row r="59" customFormat="false" ht="15" hidden="false" customHeight="false" outlineLevel="0" collapsed="false">
      <c r="A59" s="8" t="n">
        <v>58</v>
      </c>
      <c r="B59" s="8" t="s">
        <v>10738</v>
      </c>
      <c r="C59" s="8" t="s">
        <v>10677</v>
      </c>
      <c r="D59" s="8" t="s">
        <v>980</v>
      </c>
      <c r="E59" s="8" t="s">
        <v>981</v>
      </c>
      <c r="F59" s="8" t="s">
        <v>518</v>
      </c>
      <c r="G59" s="8" t="s">
        <v>519</v>
      </c>
      <c r="H59" s="8" t="s">
        <v>112</v>
      </c>
      <c r="I59" s="8" t="s">
        <v>6677</v>
      </c>
      <c r="J59" s="8" t="s">
        <v>6678</v>
      </c>
      <c r="K59" s="8" t="s">
        <v>3610</v>
      </c>
      <c r="L59" s="8" t="s">
        <v>2788</v>
      </c>
      <c r="M59" s="8" t="s">
        <v>969</v>
      </c>
      <c r="N59" s="8" t="s">
        <v>104</v>
      </c>
    </row>
    <row r="60" customFormat="false" ht="15" hidden="false" customHeight="false" outlineLevel="0" collapsed="false">
      <c r="A60" s="8" t="n">
        <v>59</v>
      </c>
      <c r="B60" s="8" t="s">
        <v>10739</v>
      </c>
      <c r="C60" s="8" t="s">
        <v>10679</v>
      </c>
      <c r="D60" s="8" t="s">
        <v>3921</v>
      </c>
      <c r="E60" s="8" t="s">
        <v>3922</v>
      </c>
      <c r="F60" s="8" t="s">
        <v>1572</v>
      </c>
      <c r="G60" s="8" t="s">
        <v>1573</v>
      </c>
      <c r="H60" s="8" t="s">
        <v>113</v>
      </c>
      <c r="I60" s="8" t="s">
        <v>6960</v>
      </c>
      <c r="J60" s="8" t="s">
        <v>6961</v>
      </c>
      <c r="K60" s="8" t="s">
        <v>5324</v>
      </c>
      <c r="L60" s="8" t="s">
        <v>5207</v>
      </c>
      <c r="M60" s="8" t="s">
        <v>1155</v>
      </c>
      <c r="N60" s="8" t="s">
        <v>105</v>
      </c>
    </row>
    <row r="61" customFormat="false" ht="15" hidden="false" customHeight="false" outlineLevel="0" collapsed="false">
      <c r="A61" s="8" t="n">
        <v>60</v>
      </c>
      <c r="B61" s="8" t="s">
        <v>10740</v>
      </c>
      <c r="C61" s="8" t="s">
        <v>10681</v>
      </c>
      <c r="D61" s="8" t="s">
        <v>4412</v>
      </c>
      <c r="E61" s="8" t="s">
        <v>4413</v>
      </c>
      <c r="F61" s="8" t="s">
        <v>2271</v>
      </c>
      <c r="G61" s="8" t="s">
        <v>2272</v>
      </c>
      <c r="H61" s="8" t="s">
        <v>103</v>
      </c>
      <c r="I61" s="8" t="s">
        <v>6411</v>
      </c>
      <c r="J61" s="8" t="s">
        <v>6412</v>
      </c>
      <c r="K61" s="8" t="s">
        <v>5016</v>
      </c>
      <c r="L61" s="8" t="s">
        <v>4987</v>
      </c>
      <c r="M61" s="8" t="s">
        <v>1319</v>
      </c>
      <c r="N61" s="8" t="s">
        <v>107</v>
      </c>
    </row>
    <row r="62" customFormat="false" ht="15" hidden="false" customHeight="false" outlineLevel="0" collapsed="false">
      <c r="A62" s="8" t="n">
        <v>61</v>
      </c>
      <c r="B62" s="8" t="s">
        <v>10741</v>
      </c>
      <c r="C62" s="8" t="s">
        <v>10683</v>
      </c>
      <c r="D62" s="8" t="s">
        <v>5057</v>
      </c>
      <c r="E62" s="8" t="s">
        <v>5058</v>
      </c>
      <c r="F62" s="8" t="s">
        <v>771</v>
      </c>
      <c r="G62" s="8" t="s">
        <v>772</v>
      </c>
      <c r="H62" s="8" t="s">
        <v>111</v>
      </c>
      <c r="I62" s="8" t="s">
        <v>6476</v>
      </c>
      <c r="J62" s="8" t="s">
        <v>6477</v>
      </c>
      <c r="K62" s="8" t="s">
        <v>2567</v>
      </c>
      <c r="L62" s="8" t="s">
        <v>2532</v>
      </c>
      <c r="M62" s="8" t="s">
        <v>1479</v>
      </c>
      <c r="N62" s="8" t="s">
        <v>114</v>
      </c>
    </row>
    <row r="63" customFormat="false" ht="15" hidden="false" customHeight="false" outlineLevel="0" collapsed="false">
      <c r="A63" s="8" t="n">
        <v>62</v>
      </c>
      <c r="B63" s="8" t="s">
        <v>10742</v>
      </c>
      <c r="C63" s="8" t="s">
        <v>10685</v>
      </c>
      <c r="D63" s="8" t="s">
        <v>3247</v>
      </c>
      <c r="E63" s="8" t="s">
        <v>3248</v>
      </c>
      <c r="F63" s="8" t="s">
        <v>2413</v>
      </c>
      <c r="G63" s="8" t="s">
        <v>2414</v>
      </c>
      <c r="H63" s="8" t="s">
        <v>108</v>
      </c>
      <c r="I63" s="8" t="s">
        <v>6372</v>
      </c>
      <c r="J63" s="8" t="s">
        <v>6373</v>
      </c>
      <c r="K63" s="8" t="s">
        <v>3689</v>
      </c>
      <c r="L63" s="8" t="s">
        <v>3653</v>
      </c>
      <c r="M63" s="8" t="s">
        <v>1293</v>
      </c>
      <c r="N63" s="8" t="s">
        <v>107</v>
      </c>
    </row>
    <row r="64" customFormat="false" ht="15" hidden="false" customHeight="false" outlineLevel="0" collapsed="false">
      <c r="A64" s="8" t="n">
        <v>63</v>
      </c>
      <c r="B64" s="8" t="s">
        <v>10743</v>
      </c>
      <c r="C64" s="8" t="s">
        <v>10687</v>
      </c>
      <c r="D64" s="8" t="s">
        <v>2723</v>
      </c>
      <c r="E64" s="8" t="s">
        <v>2724</v>
      </c>
      <c r="F64" s="8" t="s">
        <v>1057</v>
      </c>
      <c r="G64" s="8" t="s">
        <v>1058</v>
      </c>
      <c r="H64" s="8" t="s">
        <v>105</v>
      </c>
      <c r="I64" s="8" t="s">
        <v>6551</v>
      </c>
      <c r="J64" s="8" t="s">
        <v>6552</v>
      </c>
      <c r="K64" s="8" t="s">
        <v>2610</v>
      </c>
      <c r="L64" s="8" t="s">
        <v>2532</v>
      </c>
      <c r="M64" s="8" t="s">
        <v>771</v>
      </c>
      <c r="N64" s="8" t="s">
        <v>111</v>
      </c>
    </row>
    <row r="65" customFormat="false" ht="15" hidden="false" customHeight="false" outlineLevel="0" collapsed="false">
      <c r="A65" s="8" t="n">
        <v>64</v>
      </c>
      <c r="B65" s="8" t="s">
        <v>10744</v>
      </c>
      <c r="C65" s="8" t="s">
        <v>10675</v>
      </c>
      <c r="D65" s="8" t="s">
        <v>4581</v>
      </c>
      <c r="E65" s="8" t="s">
        <v>4582</v>
      </c>
      <c r="F65" s="8" t="s">
        <v>271</v>
      </c>
      <c r="G65" s="8" t="s">
        <v>272</v>
      </c>
      <c r="H65" s="8" t="s">
        <v>110</v>
      </c>
      <c r="I65" s="8" t="s">
        <v>6311</v>
      </c>
      <c r="J65" s="8" t="s">
        <v>6312</v>
      </c>
      <c r="K65" s="8" t="s">
        <v>3935</v>
      </c>
      <c r="L65" s="8" t="s">
        <v>3828</v>
      </c>
      <c r="M65" s="8" t="s">
        <v>1489</v>
      </c>
      <c r="N65" s="8" t="s">
        <v>114</v>
      </c>
    </row>
    <row r="66" customFormat="false" ht="15" hidden="false" customHeight="false" outlineLevel="0" collapsed="false">
      <c r="A66" s="8" t="n">
        <v>65</v>
      </c>
      <c r="B66" s="8" t="s">
        <v>10745</v>
      </c>
      <c r="C66" s="8" t="s">
        <v>10677</v>
      </c>
      <c r="D66" s="8" t="s">
        <v>5307</v>
      </c>
      <c r="E66" s="8" t="s">
        <v>5308</v>
      </c>
      <c r="F66" s="8" t="s">
        <v>597</v>
      </c>
      <c r="G66" s="8" t="s">
        <v>598</v>
      </c>
      <c r="H66" s="8" t="s">
        <v>115</v>
      </c>
      <c r="I66" s="8" t="s">
        <v>6004</v>
      </c>
      <c r="J66" s="8" t="s">
        <v>6005</v>
      </c>
      <c r="K66" s="8" t="s">
        <v>3580</v>
      </c>
      <c r="L66" s="8" t="s">
        <v>3547</v>
      </c>
      <c r="M66" s="8" t="s">
        <v>1252</v>
      </c>
      <c r="N66" s="8" t="s">
        <v>107</v>
      </c>
    </row>
    <row r="67" customFormat="false" ht="15" hidden="false" customHeight="false" outlineLevel="0" collapsed="false">
      <c r="A67" s="8" t="n">
        <v>66</v>
      </c>
      <c r="B67" s="8" t="s">
        <v>10746</v>
      </c>
      <c r="C67" s="8" t="s">
        <v>10679</v>
      </c>
      <c r="D67" s="8" t="s">
        <v>2740</v>
      </c>
      <c r="E67" s="8" t="s">
        <v>2741</v>
      </c>
      <c r="F67" s="8" t="s">
        <v>1040</v>
      </c>
      <c r="G67" s="8" t="s">
        <v>1041</v>
      </c>
      <c r="H67" s="8" t="s">
        <v>116</v>
      </c>
      <c r="I67" s="8" t="s">
        <v>6955</v>
      </c>
      <c r="J67" s="8" t="s">
        <v>6956</v>
      </c>
      <c r="K67" s="8" t="s">
        <v>3772</v>
      </c>
      <c r="L67" s="8" t="s">
        <v>3774</v>
      </c>
      <c r="M67" s="8" t="s">
        <v>1462</v>
      </c>
      <c r="N67" s="8" t="s">
        <v>109</v>
      </c>
    </row>
    <row r="68" customFormat="false" ht="15" hidden="false" customHeight="false" outlineLevel="0" collapsed="false">
      <c r="A68" s="8" t="n">
        <v>67</v>
      </c>
      <c r="B68" s="8" t="s">
        <v>10747</v>
      </c>
      <c r="C68" s="8" t="s">
        <v>10681</v>
      </c>
      <c r="D68" s="8" t="s">
        <v>5361</v>
      </c>
      <c r="E68" s="8" t="s">
        <v>5362</v>
      </c>
      <c r="F68" s="8" t="s">
        <v>2424</v>
      </c>
      <c r="G68" s="8" t="s">
        <v>2425</v>
      </c>
      <c r="H68" s="8" t="s">
        <v>103</v>
      </c>
      <c r="I68" s="8" t="s">
        <v>6231</v>
      </c>
      <c r="J68" s="8" t="s">
        <v>6232</v>
      </c>
      <c r="K68" s="8" t="s">
        <v>3754</v>
      </c>
      <c r="L68" s="8" t="s">
        <v>3756</v>
      </c>
      <c r="M68" s="8" t="s">
        <v>1327</v>
      </c>
      <c r="N68" s="8" t="s">
        <v>107</v>
      </c>
    </row>
    <row r="69" customFormat="false" ht="15" hidden="false" customHeight="false" outlineLevel="0" collapsed="false">
      <c r="A69" s="8" t="n">
        <v>68</v>
      </c>
      <c r="B69" s="8" t="s">
        <v>10748</v>
      </c>
      <c r="C69" s="8" t="s">
        <v>10683</v>
      </c>
      <c r="D69" s="8" t="s">
        <v>1002</v>
      </c>
      <c r="E69" s="8" t="s">
        <v>1003</v>
      </c>
      <c r="F69" s="8" t="s">
        <v>203</v>
      </c>
      <c r="G69" s="8" t="s">
        <v>204</v>
      </c>
      <c r="H69" s="8" t="s">
        <v>108</v>
      </c>
      <c r="I69" s="8" t="s">
        <v>6421</v>
      </c>
      <c r="J69" s="8" t="s">
        <v>6422</v>
      </c>
      <c r="K69" s="8" t="s">
        <v>3867</v>
      </c>
      <c r="L69" s="8" t="s">
        <v>3828</v>
      </c>
      <c r="M69" s="8" t="s">
        <v>1002</v>
      </c>
      <c r="N69" s="8" t="s">
        <v>116</v>
      </c>
    </row>
    <row r="70" customFormat="false" ht="15" hidden="false" customHeight="false" outlineLevel="0" collapsed="false">
      <c r="A70" s="8" t="n">
        <v>69</v>
      </c>
      <c r="B70" s="8" t="s">
        <v>10749</v>
      </c>
      <c r="C70" s="8" t="s">
        <v>10685</v>
      </c>
      <c r="D70" s="8" t="s">
        <v>4278</v>
      </c>
      <c r="E70" s="8" t="s">
        <v>4279</v>
      </c>
      <c r="F70" s="8" t="s">
        <v>2077</v>
      </c>
      <c r="G70" s="8" t="s">
        <v>2078</v>
      </c>
      <c r="H70" s="8" t="s">
        <v>103</v>
      </c>
      <c r="I70" s="8" t="s">
        <v>6929</v>
      </c>
      <c r="J70" s="8" t="s">
        <v>6930</v>
      </c>
      <c r="K70" s="8" t="s">
        <v>5289</v>
      </c>
      <c r="L70" s="8" t="s">
        <v>5207</v>
      </c>
      <c r="M70" s="8" t="s">
        <v>304</v>
      </c>
      <c r="N70" s="8" t="s">
        <v>110</v>
      </c>
    </row>
    <row r="71" customFormat="false" ht="15" hidden="false" customHeight="false" outlineLevel="0" collapsed="false">
      <c r="A71" s="8" t="n">
        <v>70</v>
      </c>
      <c r="B71" s="8" t="s">
        <v>10750</v>
      </c>
      <c r="C71" s="8" t="s">
        <v>10687</v>
      </c>
      <c r="D71" s="8" t="s">
        <v>2053</v>
      </c>
      <c r="E71" s="8" t="s">
        <v>2054</v>
      </c>
      <c r="F71" s="8" t="s">
        <v>749</v>
      </c>
      <c r="G71" s="8" t="s">
        <v>750</v>
      </c>
      <c r="H71" s="8" t="s">
        <v>111</v>
      </c>
      <c r="I71" s="8" t="s">
        <v>6015</v>
      </c>
      <c r="J71" s="8" t="s">
        <v>6016</v>
      </c>
      <c r="K71" s="8" t="s">
        <v>3157</v>
      </c>
      <c r="L71" s="8" t="s">
        <v>3137</v>
      </c>
      <c r="M71" s="8" t="s">
        <v>529</v>
      </c>
      <c r="N71" s="8" t="s">
        <v>112</v>
      </c>
    </row>
    <row r="72" customFormat="false" ht="15" hidden="false" customHeight="false" outlineLevel="0" collapsed="false">
      <c r="A72" s="8" t="n">
        <v>71</v>
      </c>
      <c r="B72" s="8" t="s">
        <v>10751</v>
      </c>
      <c r="C72" s="8" t="s">
        <v>10675</v>
      </c>
      <c r="D72" s="8" t="s">
        <v>5205</v>
      </c>
      <c r="E72" s="8" t="s">
        <v>5206</v>
      </c>
      <c r="F72" s="8" t="s">
        <v>1647</v>
      </c>
      <c r="G72" s="8" t="s">
        <v>1648</v>
      </c>
      <c r="H72" s="8" t="s">
        <v>106</v>
      </c>
      <c r="I72" s="8" t="s">
        <v>6100</v>
      </c>
      <c r="J72" s="8" t="s">
        <v>6101</v>
      </c>
      <c r="K72" s="8" t="s">
        <v>3369</v>
      </c>
      <c r="L72" s="8" t="s">
        <v>3309</v>
      </c>
      <c r="M72" s="8" t="s">
        <v>225</v>
      </c>
      <c r="N72" s="8" t="s">
        <v>110</v>
      </c>
    </row>
    <row r="73" customFormat="false" ht="15" hidden="false" customHeight="false" outlineLevel="0" collapsed="false">
      <c r="A73" s="8" t="n">
        <v>72</v>
      </c>
      <c r="B73" s="8" t="s">
        <v>10752</v>
      </c>
      <c r="C73" s="8" t="s">
        <v>10677</v>
      </c>
      <c r="D73" s="8" t="s">
        <v>842</v>
      </c>
      <c r="E73" s="8" t="s">
        <v>843</v>
      </c>
      <c r="F73" s="8" t="s">
        <v>2449</v>
      </c>
      <c r="G73" s="8" t="s">
        <v>2450</v>
      </c>
      <c r="H73" s="8" t="s">
        <v>105</v>
      </c>
      <c r="I73" s="8" t="s">
        <v>6761</v>
      </c>
      <c r="J73" s="8" t="s">
        <v>6762</v>
      </c>
      <c r="K73" s="8" t="s">
        <v>4930</v>
      </c>
      <c r="L73" s="8" t="s">
        <v>4923</v>
      </c>
      <c r="M73" s="8" t="s">
        <v>1186</v>
      </c>
      <c r="N73" s="8" t="s">
        <v>107</v>
      </c>
    </row>
    <row r="74" customFormat="false" ht="15" hidden="false" customHeight="false" outlineLevel="0" collapsed="false">
      <c r="A74" s="8" t="n">
        <v>73</v>
      </c>
      <c r="B74" s="8" t="s">
        <v>10753</v>
      </c>
      <c r="C74" s="8" t="s">
        <v>10679</v>
      </c>
      <c r="D74" s="8" t="s">
        <v>4572</v>
      </c>
      <c r="E74" s="8" t="s">
        <v>4573</v>
      </c>
      <c r="F74" s="8" t="s">
        <v>2512</v>
      </c>
      <c r="G74" s="8" t="s">
        <v>2513</v>
      </c>
      <c r="H74" s="8" t="s">
        <v>109</v>
      </c>
      <c r="I74" s="8" t="s">
        <v>6726</v>
      </c>
      <c r="J74" s="8" t="s">
        <v>6727</v>
      </c>
      <c r="K74" s="8" t="s">
        <v>2765</v>
      </c>
      <c r="L74" s="8" t="s">
        <v>2532</v>
      </c>
      <c r="M74" s="8" t="s">
        <v>1388</v>
      </c>
      <c r="N74" s="8" t="s">
        <v>109</v>
      </c>
    </row>
    <row r="75" customFormat="false" ht="15" hidden="false" customHeight="false" outlineLevel="0" collapsed="false">
      <c r="A75" s="8" t="n">
        <v>74</v>
      </c>
      <c r="B75" s="8" t="s">
        <v>10754</v>
      </c>
      <c r="C75" s="8" t="s">
        <v>10681</v>
      </c>
      <c r="D75" s="8" t="s">
        <v>3059</v>
      </c>
      <c r="E75" s="8" t="s">
        <v>3060</v>
      </c>
      <c r="F75" s="8" t="s">
        <v>2373</v>
      </c>
      <c r="G75" s="8" t="s">
        <v>2374</v>
      </c>
      <c r="H75" s="8" t="s">
        <v>103</v>
      </c>
      <c r="I75" s="8" t="s">
        <v>6969</v>
      </c>
      <c r="J75" s="8" t="s">
        <v>6970</v>
      </c>
      <c r="K75" s="8" t="s">
        <v>3385</v>
      </c>
      <c r="L75" s="8" t="s">
        <v>3309</v>
      </c>
      <c r="M75" s="8" t="s">
        <v>1377</v>
      </c>
      <c r="N75" s="8" t="s">
        <v>107</v>
      </c>
    </row>
    <row r="76" customFormat="false" ht="15" hidden="false" customHeight="false" outlineLevel="0" collapsed="false">
      <c r="A76" s="8" t="n">
        <v>75</v>
      </c>
      <c r="B76" s="8" t="s">
        <v>10755</v>
      </c>
      <c r="C76" s="8" t="s">
        <v>10683</v>
      </c>
      <c r="D76" s="8" t="s">
        <v>1398</v>
      </c>
      <c r="E76" s="8" t="s">
        <v>1399</v>
      </c>
      <c r="F76" s="8" t="s">
        <v>980</v>
      </c>
      <c r="G76" s="8" t="s">
        <v>981</v>
      </c>
      <c r="H76" s="8" t="s">
        <v>104</v>
      </c>
      <c r="I76" s="8" t="s">
        <v>5973</v>
      </c>
      <c r="J76" s="8" t="s">
        <v>5974</v>
      </c>
      <c r="K76" s="8" t="s">
        <v>3461</v>
      </c>
      <c r="L76" s="8" t="s">
        <v>3435</v>
      </c>
      <c r="M76" s="8" t="s">
        <v>398</v>
      </c>
      <c r="N76" s="8" t="s">
        <v>108</v>
      </c>
    </row>
    <row r="77" customFormat="false" ht="15" hidden="false" customHeight="false" outlineLevel="0" collapsed="false">
      <c r="A77" s="8" t="n">
        <v>76</v>
      </c>
      <c r="B77" s="8" t="s">
        <v>10756</v>
      </c>
      <c r="C77" s="8" t="s">
        <v>10685</v>
      </c>
      <c r="D77" s="8" t="s">
        <v>4783</v>
      </c>
      <c r="E77" s="8" t="s">
        <v>4784</v>
      </c>
      <c r="F77" s="8" t="s">
        <v>1616</v>
      </c>
      <c r="G77" s="8" t="s">
        <v>1617</v>
      </c>
      <c r="H77" s="8" t="s">
        <v>106</v>
      </c>
      <c r="I77" s="8" t="s">
        <v>6837</v>
      </c>
      <c r="J77" s="8" t="s">
        <v>6838</v>
      </c>
      <c r="K77" s="8" t="s">
        <v>5415</v>
      </c>
      <c r="L77" s="8" t="s">
        <v>5405</v>
      </c>
      <c r="M77" s="8" t="s">
        <v>1094</v>
      </c>
      <c r="N77" s="8" t="s">
        <v>105</v>
      </c>
    </row>
    <row r="78" customFormat="false" ht="15" hidden="false" customHeight="false" outlineLevel="0" collapsed="false">
      <c r="A78" s="8" t="n">
        <v>77</v>
      </c>
      <c r="B78" s="8" t="s">
        <v>10757</v>
      </c>
      <c r="C78" s="8" t="s">
        <v>10687</v>
      </c>
      <c r="D78" s="8" t="s">
        <v>2555</v>
      </c>
      <c r="E78" s="8" t="s">
        <v>2556</v>
      </c>
      <c r="F78" s="8" t="s">
        <v>1186</v>
      </c>
      <c r="G78" s="8" t="s">
        <v>1187</v>
      </c>
      <c r="H78" s="8" t="s">
        <v>107</v>
      </c>
      <c r="I78" s="8" t="s">
        <v>6690</v>
      </c>
      <c r="J78" s="8" t="s">
        <v>6691</v>
      </c>
      <c r="K78" s="8" t="s">
        <v>5476</v>
      </c>
      <c r="L78" s="8" t="s">
        <v>5478</v>
      </c>
      <c r="M78" s="8" t="s">
        <v>315</v>
      </c>
      <c r="N78" s="8" t="s">
        <v>110</v>
      </c>
    </row>
    <row r="79" customFormat="false" ht="15" hidden="false" customHeight="false" outlineLevel="0" collapsed="false">
      <c r="A79" s="8" t="n">
        <v>78</v>
      </c>
      <c r="B79" s="8" t="s">
        <v>10758</v>
      </c>
      <c r="C79" s="8" t="s">
        <v>10675</v>
      </c>
      <c r="D79" s="8" t="s">
        <v>1756</v>
      </c>
      <c r="E79" s="8" t="s">
        <v>1757</v>
      </c>
      <c r="F79" s="8" t="s">
        <v>1967</v>
      </c>
      <c r="G79" s="8" t="s">
        <v>1968</v>
      </c>
      <c r="H79" s="8" t="s">
        <v>103</v>
      </c>
      <c r="I79" s="8" t="s">
        <v>7065</v>
      </c>
      <c r="J79" s="8" t="s">
        <v>7066</v>
      </c>
      <c r="K79" s="8" t="s">
        <v>2988</v>
      </c>
      <c r="L79" s="8" t="s">
        <v>2859</v>
      </c>
      <c r="M79" s="8" t="s">
        <v>1346</v>
      </c>
      <c r="N79" s="8" t="s">
        <v>107</v>
      </c>
    </row>
    <row r="80" customFormat="false" ht="15" hidden="false" customHeight="false" outlineLevel="0" collapsed="false">
      <c r="A80" s="8" t="n">
        <v>79</v>
      </c>
      <c r="B80" s="8" t="s">
        <v>10759</v>
      </c>
      <c r="C80" s="8" t="s">
        <v>10677</v>
      </c>
      <c r="D80" s="8" t="s">
        <v>4118</v>
      </c>
      <c r="E80" s="8" t="s">
        <v>4119</v>
      </c>
      <c r="F80" s="8" t="s">
        <v>1083</v>
      </c>
      <c r="G80" s="8" t="s">
        <v>1084</v>
      </c>
      <c r="H80" s="8" t="s">
        <v>105</v>
      </c>
      <c r="I80" s="8" t="s">
        <v>6497</v>
      </c>
      <c r="J80" s="8" t="s">
        <v>6498</v>
      </c>
      <c r="K80" s="8" t="s">
        <v>4843</v>
      </c>
      <c r="L80" s="8" t="s">
        <v>4833</v>
      </c>
      <c r="M80" s="8" t="s">
        <v>1647</v>
      </c>
      <c r="N80" s="8" t="s">
        <v>106</v>
      </c>
    </row>
    <row r="81" customFormat="false" ht="15" hidden="false" customHeight="false" outlineLevel="0" collapsed="false">
      <c r="A81" s="8" t="n">
        <v>80</v>
      </c>
      <c r="B81" s="8" t="s">
        <v>10760</v>
      </c>
      <c r="C81" s="8" t="s">
        <v>10679</v>
      </c>
      <c r="D81" s="8" t="s">
        <v>2648</v>
      </c>
      <c r="E81" s="8" t="s">
        <v>2649</v>
      </c>
      <c r="F81" s="8" t="s">
        <v>1304</v>
      </c>
      <c r="G81" s="8" t="s">
        <v>1305</v>
      </c>
      <c r="H81" s="8" t="s">
        <v>107</v>
      </c>
      <c r="I81" s="8" t="s">
        <v>6252</v>
      </c>
      <c r="J81" s="8" t="s">
        <v>6253</v>
      </c>
      <c r="K81" s="8" t="s">
        <v>3587</v>
      </c>
      <c r="L81" s="8" t="s">
        <v>3547</v>
      </c>
      <c r="M81" s="8" t="s">
        <v>739</v>
      </c>
      <c r="N81" s="8" t="s">
        <v>111</v>
      </c>
    </row>
    <row r="82" customFormat="false" ht="15" hidden="false" customHeight="false" outlineLevel="0" collapsed="false">
      <c r="A82" s="8" t="n">
        <v>81</v>
      </c>
      <c r="B82" s="8" t="s">
        <v>10761</v>
      </c>
      <c r="C82" s="8" t="s">
        <v>10681</v>
      </c>
      <c r="D82" s="8" t="s">
        <v>4202</v>
      </c>
      <c r="E82" s="8" t="s">
        <v>4203</v>
      </c>
      <c r="F82" s="8" t="s">
        <v>2432</v>
      </c>
      <c r="G82" s="8" t="s">
        <v>2433</v>
      </c>
      <c r="H82" s="8" t="s">
        <v>103</v>
      </c>
      <c r="I82" s="8" t="s">
        <v>6245</v>
      </c>
      <c r="J82" s="8" t="s">
        <v>6246</v>
      </c>
      <c r="K82" s="8" t="s">
        <v>3956</v>
      </c>
      <c r="L82" s="8" t="s">
        <v>3828</v>
      </c>
      <c r="M82" s="8" t="s">
        <v>2475</v>
      </c>
      <c r="N82" s="8" t="s">
        <v>104</v>
      </c>
    </row>
    <row r="83" customFormat="false" ht="15" hidden="false" customHeight="false" outlineLevel="0" collapsed="false">
      <c r="A83" s="8" t="n">
        <v>82</v>
      </c>
      <c r="B83" s="8" t="s">
        <v>10762</v>
      </c>
      <c r="C83" s="8" t="s">
        <v>10683</v>
      </c>
      <c r="D83" s="8" t="s">
        <v>1958</v>
      </c>
      <c r="E83" s="8" t="s">
        <v>1959</v>
      </c>
      <c r="F83" s="8" t="s">
        <v>810</v>
      </c>
      <c r="G83" s="8" t="s">
        <v>811</v>
      </c>
      <c r="H83" s="8" t="s">
        <v>104</v>
      </c>
      <c r="I83" s="8" t="s">
        <v>5961</v>
      </c>
      <c r="J83" s="8" t="s">
        <v>5962</v>
      </c>
      <c r="K83" s="8" t="s">
        <v>2857</v>
      </c>
      <c r="L83" s="8" t="s">
        <v>2859</v>
      </c>
      <c r="M83" s="8" t="s">
        <v>637</v>
      </c>
      <c r="N83" s="8" t="s">
        <v>115</v>
      </c>
    </row>
    <row r="84" customFormat="false" ht="15" hidden="false" customHeight="false" outlineLevel="0" collapsed="false">
      <c r="A84" s="8" t="n">
        <v>83</v>
      </c>
      <c r="B84" s="8" t="s">
        <v>10763</v>
      </c>
      <c r="C84" s="8" t="s">
        <v>10685</v>
      </c>
      <c r="D84" s="8" t="s">
        <v>3106</v>
      </c>
      <c r="E84" s="8" t="s">
        <v>3107</v>
      </c>
      <c r="F84" s="8" t="s">
        <v>2070</v>
      </c>
      <c r="G84" s="8" t="s">
        <v>2071</v>
      </c>
      <c r="H84" s="8" t="s">
        <v>103</v>
      </c>
      <c r="I84" s="8" t="s">
        <v>6532</v>
      </c>
      <c r="J84" s="8" t="s">
        <v>6533</v>
      </c>
      <c r="K84" s="8" t="s">
        <v>4440</v>
      </c>
      <c r="L84" s="8" t="s">
        <v>4403</v>
      </c>
      <c r="M84" s="8" t="s">
        <v>1469</v>
      </c>
      <c r="N84" s="8" t="s">
        <v>109</v>
      </c>
    </row>
    <row r="85" customFormat="false" ht="15" hidden="false" customHeight="false" outlineLevel="0" collapsed="false">
      <c r="A85" s="8" t="n">
        <v>84</v>
      </c>
      <c r="B85" s="8" t="s">
        <v>10764</v>
      </c>
      <c r="C85" s="8" t="s">
        <v>10687</v>
      </c>
      <c r="D85" s="8" t="s">
        <v>1057</v>
      </c>
      <c r="E85" s="8" t="s">
        <v>1058</v>
      </c>
      <c r="F85" s="8" t="s">
        <v>364</v>
      </c>
      <c r="G85" s="8" t="s">
        <v>365</v>
      </c>
      <c r="H85" s="8" t="s">
        <v>108</v>
      </c>
      <c r="I85" s="8" t="s">
        <v>6586</v>
      </c>
      <c r="J85" s="8" t="s">
        <v>6587</v>
      </c>
      <c r="K85" s="8" t="s">
        <v>3326</v>
      </c>
      <c r="L85" s="8" t="s">
        <v>3309</v>
      </c>
      <c r="M85" s="8" t="s">
        <v>473</v>
      </c>
      <c r="N85" s="8" t="s">
        <v>115</v>
      </c>
    </row>
    <row r="86" customFormat="false" ht="15" hidden="false" customHeight="false" outlineLevel="0" collapsed="false">
      <c r="A86" s="8" t="n">
        <v>85</v>
      </c>
      <c r="B86" s="8" t="s">
        <v>10765</v>
      </c>
      <c r="C86" s="8" t="s">
        <v>10675</v>
      </c>
      <c r="D86" s="8" t="s">
        <v>4131</v>
      </c>
      <c r="E86" s="8" t="s">
        <v>4132</v>
      </c>
      <c r="F86" s="8" t="s">
        <v>2124</v>
      </c>
      <c r="G86" s="8" t="s">
        <v>2125</v>
      </c>
      <c r="H86" s="8" t="s">
        <v>103</v>
      </c>
      <c r="I86" s="8" t="s">
        <v>6045</v>
      </c>
      <c r="J86" s="8" t="s">
        <v>6046</v>
      </c>
      <c r="K86" s="8" t="s">
        <v>4621</v>
      </c>
      <c r="L86" s="8" t="s">
        <v>4613</v>
      </c>
      <c r="M86" s="8" t="s">
        <v>1608</v>
      </c>
      <c r="N86" s="8" t="s">
        <v>106</v>
      </c>
    </row>
    <row r="87" customFormat="false" ht="15" hidden="false" customHeight="false" outlineLevel="0" collapsed="false">
      <c r="A87" s="8" t="n">
        <v>86</v>
      </c>
      <c r="B87" s="8" t="s">
        <v>10766</v>
      </c>
      <c r="C87" s="8" t="s">
        <v>10677</v>
      </c>
      <c r="D87" s="8" t="s">
        <v>4765</v>
      </c>
      <c r="E87" s="8" t="s">
        <v>4766</v>
      </c>
      <c r="F87" s="8" t="s">
        <v>1214</v>
      </c>
      <c r="G87" s="8" t="s">
        <v>1215</v>
      </c>
      <c r="H87" s="8" t="s">
        <v>105</v>
      </c>
      <c r="I87" s="8" t="s">
        <v>5983</v>
      </c>
      <c r="J87" s="8" t="s">
        <v>5984</v>
      </c>
      <c r="K87" s="8" t="s">
        <v>5282</v>
      </c>
      <c r="L87" s="8" t="s">
        <v>5207</v>
      </c>
      <c r="M87" s="8" t="s">
        <v>261</v>
      </c>
      <c r="N87" s="8" t="s">
        <v>110</v>
      </c>
    </row>
    <row r="88" customFormat="false" ht="15" hidden="false" customHeight="false" outlineLevel="0" collapsed="false">
      <c r="A88" s="8" t="n">
        <v>87</v>
      </c>
      <c r="B88" s="8" t="s">
        <v>10767</v>
      </c>
      <c r="C88" s="8" t="s">
        <v>10679</v>
      </c>
      <c r="D88" s="8" t="s">
        <v>3480</v>
      </c>
      <c r="E88" s="8" t="s">
        <v>3481</v>
      </c>
      <c r="F88" s="8" t="s">
        <v>1529</v>
      </c>
      <c r="G88" s="8" t="s">
        <v>1530</v>
      </c>
      <c r="H88" s="8" t="s">
        <v>113</v>
      </c>
      <c r="I88" s="8" t="s">
        <v>6976</v>
      </c>
      <c r="J88" s="8" t="s">
        <v>6977</v>
      </c>
      <c r="K88" s="8" t="s">
        <v>5003</v>
      </c>
      <c r="L88" s="8" t="s">
        <v>4987</v>
      </c>
      <c r="M88" s="8" t="s">
        <v>1565</v>
      </c>
      <c r="N88" s="8" t="s">
        <v>113</v>
      </c>
    </row>
    <row r="89" customFormat="false" ht="15" hidden="false" customHeight="false" outlineLevel="0" collapsed="false">
      <c r="A89" s="8" t="n">
        <v>88</v>
      </c>
      <c r="B89" s="8" t="s">
        <v>10768</v>
      </c>
      <c r="C89" s="8" t="s">
        <v>10681</v>
      </c>
      <c r="D89" s="8" t="s">
        <v>4005</v>
      </c>
      <c r="E89" s="8" t="s">
        <v>4006</v>
      </c>
      <c r="F89" s="8" t="s">
        <v>1137</v>
      </c>
      <c r="G89" s="8" t="s">
        <v>1138</v>
      </c>
      <c r="H89" s="8" t="s">
        <v>105</v>
      </c>
      <c r="I89" s="8" t="s">
        <v>6486</v>
      </c>
      <c r="J89" s="8" t="s">
        <v>6487</v>
      </c>
      <c r="K89" s="8" t="s">
        <v>3498</v>
      </c>
      <c r="L89" s="8" t="s">
        <v>3435</v>
      </c>
      <c r="M89" s="8" t="s">
        <v>2520</v>
      </c>
      <c r="N89" s="8" t="s">
        <v>106</v>
      </c>
    </row>
    <row r="90" customFormat="false" ht="15" hidden="false" customHeight="false" outlineLevel="0" collapsed="false">
      <c r="A90" s="8" t="n">
        <v>89</v>
      </c>
      <c r="B90" s="8" t="s">
        <v>10769</v>
      </c>
      <c r="C90" s="8" t="s">
        <v>10683</v>
      </c>
      <c r="D90" s="8" t="s">
        <v>2880</v>
      </c>
      <c r="E90" s="8" t="s">
        <v>2881</v>
      </c>
      <c r="F90" s="8" t="s">
        <v>969</v>
      </c>
      <c r="G90" s="8" t="s">
        <v>970</v>
      </c>
      <c r="H90" s="8" t="s">
        <v>104</v>
      </c>
      <c r="I90" s="8" t="s">
        <v>7203</v>
      </c>
      <c r="J90" s="8" t="s">
        <v>7204</v>
      </c>
      <c r="K90" s="8" t="s">
        <v>3518</v>
      </c>
      <c r="L90" s="8" t="s">
        <v>3508</v>
      </c>
      <c r="M90" s="8" t="s">
        <v>295</v>
      </c>
      <c r="N90" s="8" t="s">
        <v>110</v>
      </c>
    </row>
    <row r="91" customFormat="false" ht="15" hidden="false" customHeight="false" outlineLevel="0" collapsed="false">
      <c r="A91" s="8" t="n">
        <v>90</v>
      </c>
      <c r="B91" s="8" t="s">
        <v>10770</v>
      </c>
      <c r="C91" s="8" t="s">
        <v>10685</v>
      </c>
      <c r="D91" s="8" t="s">
        <v>5569</v>
      </c>
      <c r="E91" s="8" t="s">
        <v>5570</v>
      </c>
      <c r="F91" s="8" t="s">
        <v>2338</v>
      </c>
      <c r="G91" s="8" t="s">
        <v>2339</v>
      </c>
      <c r="H91" s="8" t="s">
        <v>103</v>
      </c>
      <c r="I91" s="8" t="s">
        <v>6817</v>
      </c>
      <c r="J91" s="8" t="s">
        <v>6818</v>
      </c>
      <c r="K91" s="8" t="s">
        <v>3780</v>
      </c>
      <c r="L91" s="8" t="s">
        <v>3782</v>
      </c>
      <c r="M91" s="8" t="s">
        <v>1828</v>
      </c>
      <c r="N91" s="8" t="s">
        <v>117</v>
      </c>
    </row>
  </sheetData>
  <autoFilter ref="A1:N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2026-10-16T22:58:32Z</dcterms:created>
  <dc:creator>openpyxl</dc:creator>
  <dc:description/>
  <dc:language>en-US</dc:language>
  <cp:lastModifiedBy/>
  <dcterms:modified xsi:type="dcterms:W3CDTF">2026-10-16T22:58:33Z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